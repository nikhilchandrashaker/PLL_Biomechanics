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ad_Model_Assumptions" sheetId="2" state="visible" r:id="rId4"/>
    <sheet name="Load_Model_Cumulative" sheetId="3" state="visible" r:id="rId5"/>
    <sheet name="Player_Season" sheetId="4" state="visible" r:id="rId6"/>
    <sheet name="Season_Summary" sheetId="5" state="visible" r:id="rId7"/>
    <sheet name="Position_Summary" sheetId="6" state="visible" r:id="rId8"/>
    <sheet name="Career_Exposure" sheetId="7" state="visible" r:id="rId9"/>
    <sheet name="Literature" sheetId="8" state="visible" r:id="rId10"/>
  </sheets>
  <definedNames>
    <definedName function="false" hidden="true" localSheetId="3" name="_xlnm._FilterDatabase" vbProcedure="false">Player_Season!$A$1:$O$1869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<sst xmlns="http://schemas.openxmlformats.org/spreadsheetml/2006/main" count="9482" uniqueCount="694">
  <si>
    <t xml:space="preserve">PLL Throwing Exposure Workbook, 2019–2026</t>
  </si>
  <si>
    <t xml:space="preserve">Source: official PLL stats table exports (8 season files, assumed regular season). Seasons assigned from team lists/player counts; please verify.</t>
  </si>
  <si>
    <t xml:space="preserve">Passes and Touches are not recorded by PLL for 2019–2021 (shown as 0 in source; Passes Available = FALSE).</t>
  </si>
  <si>
    <t xml:space="preserve">Eligible = Games Played ≥ 3 and field position (A, M, D, SSDM, LSM). Summary sheets use formulas over Player_Season.</t>
  </si>
  <si>
    <t xml:space="preserve">Shots/passes are exposure proxies, NOT shoulder load, tissue damage, or injury risk.</t>
  </si>
  <si>
    <t xml:space="preserve">Literature values (Vincent et al. 2015) are lab results, not PLL player measurements.</t>
  </si>
  <si>
    <t xml:space="preserve">Shoulder-load model: assumptions (edit blue cells; model sheets recalculate)</t>
  </si>
  <si>
    <t xml:space="preserve">Reference ball speed, km/h (Vincent 2015, pro mean)</t>
  </si>
  <si>
    <t xml:space="preserve">Assumed typical pass speed, km/h (ASSUMPTION, not measured)</t>
  </si>
  <si>
    <t xml:space="preserve">Pass weight = (pass speed / shot speed)^2</t>
  </si>
  <si>
    <t xml:space="preserve">Shot weight (reference unit)</t>
  </si>
  <si>
    <t xml:space="preserve">Method: relative load = shots x 1 + passes x pass weight. Squared speed is a kinetic-energy proxy for throwing demand.</t>
  </si>
  <si>
    <t xml:space="preserve">Output unit: full-effort-shot equivalents. This is a relative exposure index, not joules, joint torque, tissue stress or injury risk.</t>
  </si>
  <si>
    <t xml:space="preserve">Pass speeds are assumptions; range tested 55–85 km/h (weights 0.16–0.38). Passes recorded 2022+ only.</t>
  </si>
  <si>
    <t xml:space="preserve">Player</t>
  </si>
  <si>
    <t xml:space="preserve">Position</t>
  </si>
  <si>
    <t xml:space="preserve">Seasons 2022–26</t>
  </si>
  <si>
    <t xml:space="preserve">Games</t>
  </si>
  <si>
    <t xml:space="preserve">Shots</t>
  </si>
  <si>
    <t xml:space="preserve">Passes</t>
  </si>
  <si>
    <t xml:space="preserve">Modeled cumulative load</t>
  </si>
  <si>
    <t xml:space="preserve">Load per game</t>
  </si>
  <si>
    <t xml:space="preserve">Pass share of load</t>
  </si>
  <si>
    <t xml:space="preserve">Marcus Holman</t>
  </si>
  <si>
    <t xml:space="preserve">A</t>
  </si>
  <si>
    <t xml:space="preserve">Michael Sowers</t>
  </si>
  <si>
    <t xml:space="preserve">Rob Pannell</t>
  </si>
  <si>
    <t xml:space="preserve">Kieran McArdle</t>
  </si>
  <si>
    <t xml:space="preserve">Connor Fields</t>
  </si>
  <si>
    <t xml:space="preserve">M</t>
  </si>
  <si>
    <t xml:space="preserve">Ryder Garnsey</t>
  </si>
  <si>
    <t xml:space="preserve">Jeff Teat</t>
  </si>
  <si>
    <t xml:space="preserve">Bryan Costabile</t>
  </si>
  <si>
    <t xml:space="preserve">Mac O'Keefe</t>
  </si>
  <si>
    <t xml:space="preserve">Tom Schreiber</t>
  </si>
  <si>
    <t xml:space="preserve">Brennan O'Neill</t>
  </si>
  <si>
    <t xml:space="preserve">Logan Wisnauskas</t>
  </si>
  <si>
    <t xml:space="preserve">Asher Nolting</t>
  </si>
  <si>
    <t xml:space="preserve">Dylan Molloy</t>
  </si>
  <si>
    <t xml:space="preserve">Connor Kelly</t>
  </si>
  <si>
    <t xml:space="preserve">Jack Hannah</t>
  </si>
  <si>
    <t xml:space="preserve">TJ Malone</t>
  </si>
  <si>
    <t xml:space="preserve">Matt Rambo</t>
  </si>
  <si>
    <t xml:space="preserve">Ryan Drenner</t>
  </si>
  <si>
    <t xml:space="preserve">Chris Gray</t>
  </si>
  <si>
    <t xml:space="preserve">Matt Campbell</t>
  </si>
  <si>
    <t xml:space="preserve">Zach Currier</t>
  </si>
  <si>
    <t xml:space="preserve">Xander Dickson</t>
  </si>
  <si>
    <t xml:space="preserve">Tre Leclaire</t>
  </si>
  <si>
    <t xml:space="preserve">Justin Anderson</t>
  </si>
  <si>
    <t xml:space="preserve">Zed Williams</t>
  </si>
  <si>
    <t xml:space="preserve">Connor Shellenberger</t>
  </si>
  <si>
    <t xml:space="preserve">Ryan Ambler</t>
  </si>
  <si>
    <t xml:space="preserve">Pat Kavanagh</t>
  </si>
  <si>
    <t xml:space="preserve">Grant Ament</t>
  </si>
  <si>
    <t xml:space="preserve">Mike Chanenchuk</t>
  </si>
  <si>
    <t xml:space="preserve">Chris Kavanagh</t>
  </si>
  <si>
    <t xml:space="preserve">Ethan Walker</t>
  </si>
  <si>
    <t xml:space="preserve">Romar Dennis</t>
  </si>
  <si>
    <t xml:space="preserve">Charlie Bertrand</t>
  </si>
  <si>
    <t xml:space="preserve">Graham Bundy</t>
  </si>
  <si>
    <t xml:space="preserve">Coulter Mackesy</t>
  </si>
  <si>
    <t xml:space="preserve">Josh Byrne</t>
  </si>
  <si>
    <t xml:space="preserve">Ross Scott</t>
  </si>
  <si>
    <t xml:space="preserve">Will Manny</t>
  </si>
  <si>
    <t xml:space="preserve">Aidan Carroll</t>
  </si>
  <si>
    <t xml:space="preserve">Colin Heacock</t>
  </si>
  <si>
    <t xml:space="preserve">Matt Moore</t>
  </si>
  <si>
    <t xml:space="preserve">Eric Law</t>
  </si>
  <si>
    <t xml:space="preserve">Matt Kavanagh</t>
  </si>
  <si>
    <t xml:space="preserve">Brad Smith</t>
  </si>
  <si>
    <t xml:space="preserve">Matt Brandau</t>
  </si>
  <si>
    <t xml:space="preserve">Shane Knobloch</t>
  </si>
  <si>
    <t xml:space="preserve">Jules Heningburg</t>
  </si>
  <si>
    <t xml:space="preserve">Myles Jones</t>
  </si>
  <si>
    <t xml:space="preserve">Chris Aslanian</t>
  </si>
  <si>
    <t xml:space="preserve">Sam King</t>
  </si>
  <si>
    <t xml:space="preserve">Adam Poitras</t>
  </si>
  <si>
    <t xml:space="preserve">Kyle Jackson</t>
  </si>
  <si>
    <t xml:space="preserve">Brendan Nichtern</t>
  </si>
  <si>
    <t xml:space="preserve">Andrew McAdorey</t>
  </si>
  <si>
    <t xml:space="preserve">Jackson Eicher</t>
  </si>
  <si>
    <t xml:space="preserve">Connor Kirst</t>
  </si>
  <si>
    <t xml:space="preserve">SSDM</t>
  </si>
  <si>
    <t xml:space="preserve">Dalton Young</t>
  </si>
  <si>
    <t xml:space="preserve">Cross Ferrara</t>
  </si>
  <si>
    <t xml:space="preserve">Sergio Perkovic</t>
  </si>
  <si>
    <t xml:space="preserve">Matt Traynor</t>
  </si>
  <si>
    <t xml:space="preserve">Sam Handley</t>
  </si>
  <si>
    <t xml:space="preserve">Josh Zawada</t>
  </si>
  <si>
    <t xml:space="preserve">Ryan Terefenko</t>
  </si>
  <si>
    <t xml:space="preserve">CJ Kirst</t>
  </si>
  <si>
    <t xml:space="preserve">Brian Minicus</t>
  </si>
  <si>
    <t xml:space="preserve">Adam Charalambides</t>
  </si>
  <si>
    <t xml:space="preserve">Jared Bernhardt</t>
  </si>
  <si>
    <t xml:space="preserve">Ryan Conrad</t>
  </si>
  <si>
    <t xml:space="preserve">Jackson Morrill</t>
  </si>
  <si>
    <t xml:space="preserve">Owen Hiltz</t>
  </si>
  <si>
    <t xml:space="preserve">Dhane Smith</t>
  </si>
  <si>
    <t xml:space="preserve">Jonathan Donville</t>
  </si>
  <si>
    <t xml:space="preserve">Aidan Danenza</t>
  </si>
  <si>
    <t xml:space="preserve">Mic Kelly</t>
  </si>
  <si>
    <t xml:space="preserve">Dox Aitken</t>
  </si>
  <si>
    <t xml:space="preserve">Levi Anderson</t>
  </si>
  <si>
    <t xml:space="preserve">Wes Berg</t>
  </si>
  <si>
    <t xml:space="preserve">Brian Tevlin</t>
  </si>
  <si>
    <t xml:space="preserve">Tucker Dordevic</t>
  </si>
  <si>
    <t xml:space="preserve">Joey Spallina</t>
  </si>
  <si>
    <t xml:space="preserve">Jake Carraway</t>
  </si>
  <si>
    <t xml:space="preserve">Nakeie Montgomery</t>
  </si>
  <si>
    <t xml:space="preserve">Zach Geddes</t>
  </si>
  <si>
    <t xml:space="preserve">Jeff Trainor</t>
  </si>
  <si>
    <t xml:space="preserve">Ryan Stines</t>
  </si>
  <si>
    <t xml:space="preserve">Piper Bond</t>
  </si>
  <si>
    <t xml:space="preserve">Troy Reh</t>
  </si>
  <si>
    <t xml:space="preserve">LSM</t>
  </si>
  <si>
    <t xml:space="preserve">Michael Manley</t>
  </si>
  <si>
    <t xml:space="preserve">D</t>
  </si>
  <si>
    <t xml:space="preserve">Brian Kelly</t>
  </si>
  <si>
    <t xml:space="preserve">Thomas McConvey</t>
  </si>
  <si>
    <t xml:space="preserve">Jake Stevens</t>
  </si>
  <si>
    <t xml:space="preserve">Jared Conners</t>
  </si>
  <si>
    <t xml:space="preserve">Tye Kurtz</t>
  </si>
  <si>
    <t xml:space="preserve">Danny Logan</t>
  </si>
  <si>
    <t xml:space="preserve">Matt Whitcher</t>
  </si>
  <si>
    <t xml:space="preserve">Lyle Thompson</t>
  </si>
  <si>
    <t xml:space="preserve">Jordan MacIntosh</t>
  </si>
  <si>
    <t xml:space="preserve">Reid Bowering</t>
  </si>
  <si>
    <t xml:space="preserve">Brett Makar</t>
  </si>
  <si>
    <t xml:space="preserve">Chris Cloutier</t>
  </si>
  <si>
    <t xml:space="preserve">Ben Randall</t>
  </si>
  <si>
    <t xml:space="preserve">Mikey Weisshaar</t>
  </si>
  <si>
    <t xml:space="preserve">Cole Kirst</t>
  </si>
  <si>
    <t xml:space="preserve">Chase Fraser</t>
  </si>
  <si>
    <t xml:space="preserve">Graydon Hogg</t>
  </si>
  <si>
    <t xml:space="preserve">Hugh Kelleher</t>
  </si>
  <si>
    <t xml:space="preserve">Josh Balcarcel</t>
  </si>
  <si>
    <t xml:space="preserve">Keegan Khan</t>
  </si>
  <si>
    <t xml:space="preserve">Sam English</t>
  </si>
  <si>
    <t xml:space="preserve">Jake Piseno</t>
  </si>
  <si>
    <t xml:space="preserve">Mason Woodward</t>
  </si>
  <si>
    <t xml:space="preserve">Ryan Smith</t>
  </si>
  <si>
    <t xml:space="preserve">Matthew Dunn</t>
  </si>
  <si>
    <t xml:space="preserve">Tim Muller</t>
  </si>
  <si>
    <t xml:space="preserve">JT Giles-Harris</t>
  </si>
  <si>
    <t xml:space="preserve">Chad Palumbo</t>
  </si>
  <si>
    <t xml:space="preserve">Jarrod Neumann</t>
  </si>
  <si>
    <t xml:space="preserve">Stephen Rehfuss</t>
  </si>
  <si>
    <t xml:space="preserve">Cade van Raaphorst</t>
  </si>
  <si>
    <t xml:space="preserve">Josh Yago</t>
  </si>
  <si>
    <t xml:space="preserve">Ian MacKay</t>
  </si>
  <si>
    <t xml:space="preserve">Teddy Malone</t>
  </si>
  <si>
    <t xml:space="preserve">Ajax Zappitello</t>
  </si>
  <si>
    <t xml:space="preserve">Graeme Hossack</t>
  </si>
  <si>
    <t xml:space="preserve">Michael Boehm</t>
  </si>
  <si>
    <t xml:space="preserve">Garrett Epple</t>
  </si>
  <si>
    <t xml:space="preserve">Jack Regnery</t>
  </si>
  <si>
    <t xml:space="preserve">Justin Guterding</t>
  </si>
  <si>
    <t xml:space="preserve">Bubba Fairman</t>
  </si>
  <si>
    <t xml:space="preserve">Jack Rowlett</t>
  </si>
  <si>
    <t xml:space="preserve">Connor Maher</t>
  </si>
  <si>
    <t xml:space="preserve">Jesse Bernhardt</t>
  </si>
  <si>
    <t xml:space="preserve">Michael Rexrode</t>
  </si>
  <si>
    <t xml:space="preserve">Roman Puglise</t>
  </si>
  <si>
    <t xml:space="preserve">Zach Goodrich</t>
  </si>
  <si>
    <t xml:space="preserve">Patrick Resch</t>
  </si>
  <si>
    <t xml:space="preserve">Jake Taylor</t>
  </si>
  <si>
    <t xml:space="preserve">Leo Johnson</t>
  </si>
  <si>
    <t xml:space="preserve">Tyler Carpenter</t>
  </si>
  <si>
    <t xml:space="preserve">Jack Kielty</t>
  </si>
  <si>
    <t xml:space="preserve">Evan Plunkett</t>
  </si>
  <si>
    <t xml:space="preserve">Christian Scarpello</t>
  </si>
  <si>
    <t xml:space="preserve">Challen Rogers</t>
  </si>
  <si>
    <t xml:space="preserve">Garrett Degnon</t>
  </si>
  <si>
    <t xml:space="preserve">Beau Pederson</t>
  </si>
  <si>
    <t xml:space="preserve">Liam Byrnes</t>
  </si>
  <si>
    <t xml:space="preserve">Alexander Vardaro</t>
  </si>
  <si>
    <t xml:space="preserve">Eric Spanos</t>
  </si>
  <si>
    <t xml:space="preserve">Michael Ehrhardt</t>
  </si>
  <si>
    <t xml:space="preserve">Jake Bernhardt</t>
  </si>
  <si>
    <t xml:space="preserve">Mikie Schlosser</t>
  </si>
  <si>
    <t xml:space="preserve">Matt Collison</t>
  </si>
  <si>
    <t xml:space="preserve">Bryan Cole</t>
  </si>
  <si>
    <t xml:space="preserve">Chet Comizio</t>
  </si>
  <si>
    <t xml:space="preserve">CJ Costabile</t>
  </si>
  <si>
    <t xml:space="preserve">Ethan Rall</t>
  </si>
  <si>
    <t xml:space="preserve">Owen Grant</t>
  </si>
  <si>
    <t xml:space="preserve">Chris Conlin</t>
  </si>
  <si>
    <t xml:space="preserve">Will Haus</t>
  </si>
  <si>
    <t xml:space="preserve">Dyson Williams</t>
  </si>
  <si>
    <t xml:space="preserve">Eli Gobrecht</t>
  </si>
  <si>
    <t xml:space="preserve">Chris Fake</t>
  </si>
  <si>
    <t xml:space="preserve">Ben Ramsey</t>
  </si>
  <si>
    <t xml:space="preserve">Will Perry</t>
  </si>
  <si>
    <t xml:space="preserve">Jake Richard</t>
  </si>
  <si>
    <t xml:space="preserve">Eric Dobson</t>
  </si>
  <si>
    <t xml:space="preserve">Silas Richmond</t>
  </si>
  <si>
    <t xml:space="preserve">Gavin Adler</t>
  </si>
  <si>
    <t xml:space="preserve">Bryce Young</t>
  </si>
  <si>
    <t xml:space="preserve">Connor DeSimone</t>
  </si>
  <si>
    <t xml:space="preserve">Ryan Aughavin</t>
  </si>
  <si>
    <t xml:space="preserve">Ryan Brown</t>
  </si>
  <si>
    <t xml:space="preserve">Mike Messenger</t>
  </si>
  <si>
    <t xml:space="preserve">Chris Merle</t>
  </si>
  <si>
    <t xml:space="preserve">JJ Sillstrop</t>
  </si>
  <si>
    <t xml:space="preserve">Brendan Curry</t>
  </si>
  <si>
    <t xml:space="preserve">Colin Squires</t>
  </si>
  <si>
    <t xml:space="preserve">Ryan Tierney</t>
  </si>
  <si>
    <t xml:space="preserve">Daniel Bucaro</t>
  </si>
  <si>
    <t xml:space="preserve">Ryland Rees</t>
  </si>
  <si>
    <t xml:space="preserve">Shayne Jackson</t>
  </si>
  <si>
    <t xml:space="preserve">Max Krevsky</t>
  </si>
  <si>
    <t xml:space="preserve">Cole Williams</t>
  </si>
  <si>
    <t xml:space="preserve">Jimmy Freehill</t>
  </si>
  <si>
    <t xml:space="preserve">Jack Myers</t>
  </si>
  <si>
    <t xml:space="preserve">Mark Glicini</t>
  </si>
  <si>
    <t xml:space="preserve">Garrett Leadmon</t>
  </si>
  <si>
    <t xml:space="preserve">Eddy Glazener</t>
  </si>
  <si>
    <t xml:space="preserve">Kyle Lewis</t>
  </si>
  <si>
    <t xml:space="preserve">Kevin Rogers</t>
  </si>
  <si>
    <t xml:space="preserve">Arden Cohen</t>
  </si>
  <si>
    <t xml:space="preserve">Warren Jeffrey</t>
  </si>
  <si>
    <t xml:space="preserve">Jake Froccaro</t>
  </si>
  <si>
    <t xml:space="preserve">Jack VanOverbeke</t>
  </si>
  <si>
    <t xml:space="preserve">Latrell Harris</t>
  </si>
  <si>
    <t xml:space="preserve">Isaiah Davis-Allen</t>
  </si>
  <si>
    <t xml:space="preserve">Jay Carlson</t>
  </si>
  <si>
    <t xml:space="preserve">Charlie Hayes</t>
  </si>
  <si>
    <t xml:space="preserve">Brendan Lavelle</t>
  </si>
  <si>
    <t xml:space="preserve">John Crawley</t>
  </si>
  <si>
    <t xml:space="preserve">Brayden Mayea</t>
  </si>
  <si>
    <t xml:space="preserve">Koby Smith</t>
  </si>
  <si>
    <t xml:space="preserve">Wheaton Jackoboice</t>
  </si>
  <si>
    <t xml:space="preserve">Ben Wayer</t>
  </si>
  <si>
    <t xml:space="preserve">Scott Smith</t>
  </si>
  <si>
    <t xml:space="preserve">Ronan Jacoby</t>
  </si>
  <si>
    <t xml:space="preserve">Kevin Winkoff</t>
  </si>
  <si>
    <t xml:space="preserve">Mark Cockerton</t>
  </si>
  <si>
    <t xml:space="preserve">Will Bowen</t>
  </si>
  <si>
    <t xml:space="preserve">Scott Ratliff</t>
  </si>
  <si>
    <t xml:space="preserve">Eli Salama</t>
  </si>
  <si>
    <t xml:space="preserve">Alexander Smith</t>
  </si>
  <si>
    <t xml:space="preserve">Richie Connell</t>
  </si>
  <si>
    <t xml:space="preserve">Cam Wyers</t>
  </si>
  <si>
    <t xml:space="preserve">Alex Ross</t>
  </si>
  <si>
    <t xml:space="preserve">Tyler Warner</t>
  </si>
  <si>
    <t xml:space="preserve">CK Giancola</t>
  </si>
  <si>
    <t xml:space="preserve">Jackson Reid</t>
  </si>
  <si>
    <t xml:space="preserve">Ty English</t>
  </si>
  <si>
    <t xml:space="preserve">Marcus Hudgins</t>
  </si>
  <si>
    <t xml:space="preserve">Jesse King</t>
  </si>
  <si>
    <t xml:space="preserve">Ray Dearth</t>
  </si>
  <si>
    <t xml:space="preserve">Jack Koras</t>
  </si>
  <si>
    <t xml:space="preserve">Jon Robbins</t>
  </si>
  <si>
    <t xml:space="preserve">Carter Rice</t>
  </si>
  <si>
    <t xml:space="preserve">Nick Grill</t>
  </si>
  <si>
    <t xml:space="preserve">Kenny Brower</t>
  </si>
  <si>
    <t xml:space="preserve">Michael Leo</t>
  </si>
  <si>
    <t xml:space="preserve">Tommy Palasek</t>
  </si>
  <si>
    <t xml:space="preserve">Truitt Sunderland</t>
  </si>
  <si>
    <t xml:space="preserve">Austin Staats</t>
  </si>
  <si>
    <t xml:space="preserve">Aidan Maguire</t>
  </si>
  <si>
    <t xml:space="preserve">Brendan Staub</t>
  </si>
  <si>
    <t xml:space="preserve">Jake Higgins</t>
  </si>
  <si>
    <t xml:space="preserve">Chris Sabia</t>
  </si>
  <si>
    <t xml:space="preserve">Marc O'Rourke</t>
  </si>
  <si>
    <t xml:space="preserve">Dylan Hess</t>
  </si>
  <si>
    <t xml:space="preserve">Peter Detwiler</t>
  </si>
  <si>
    <t xml:space="preserve">Craig Chick</t>
  </si>
  <si>
    <t xml:space="preserve">Kyle Hartzell</t>
  </si>
  <si>
    <t xml:space="preserve">Jake Pulver</t>
  </si>
  <si>
    <t xml:space="preserve">Brendan Bomberry</t>
  </si>
  <si>
    <t xml:space="preserve">BJ Farrare</t>
  </si>
  <si>
    <t xml:space="preserve">Anthony DeMaio</t>
  </si>
  <si>
    <t xml:space="preserve">Christian Mazur</t>
  </si>
  <si>
    <t xml:space="preserve">Peter Dearth</t>
  </si>
  <si>
    <t xml:space="preserve">Logan McGovern</t>
  </si>
  <si>
    <t xml:space="preserve">Matt Rees</t>
  </si>
  <si>
    <t xml:space="preserve">Tanner Cook</t>
  </si>
  <si>
    <t xml:space="preserve">Sean Lulley</t>
  </si>
  <si>
    <t xml:space="preserve">Finn Thomson</t>
  </si>
  <si>
    <t xml:space="preserve">Alex Mazzone</t>
  </si>
  <si>
    <t xml:space="preserve">Greg Weyl</t>
  </si>
  <si>
    <t xml:space="preserve">Holden Garlent</t>
  </si>
  <si>
    <t xml:space="preserve">Matt Abbott</t>
  </si>
  <si>
    <t xml:space="preserve">John Sexton</t>
  </si>
  <si>
    <t xml:space="preserve">Michael Grace</t>
  </si>
  <si>
    <t xml:space="preserve">Greg Langermeier</t>
  </si>
  <si>
    <t xml:space="preserve">Bradley Voigt</t>
  </si>
  <si>
    <t xml:space="preserve">Cullen Brown</t>
  </si>
  <si>
    <t xml:space="preserve">Bryce Wasserman</t>
  </si>
  <si>
    <t xml:space="preserve">Pat Aslanian</t>
  </si>
  <si>
    <t xml:space="preserve">Dominique Alexander</t>
  </si>
  <si>
    <t xml:space="preserve">Logan Ip</t>
  </si>
  <si>
    <t xml:space="preserve">Nolan Byrne</t>
  </si>
  <si>
    <t xml:space="preserve">Christian Cuccinello</t>
  </si>
  <si>
    <t xml:space="preserve">Marcus Wertheim</t>
  </si>
  <si>
    <t xml:space="preserve">Payton Rezanka</t>
  </si>
  <si>
    <t xml:space="preserve">Tyson Bell</t>
  </si>
  <si>
    <t xml:space="preserve">Matt Rahill</t>
  </si>
  <si>
    <t xml:space="preserve">Dylan Gergar</t>
  </si>
  <si>
    <t xml:space="preserve">John Dunphey</t>
  </si>
  <si>
    <t xml:space="preserve">Payton Cormier</t>
  </si>
  <si>
    <t xml:space="preserve">Bryce Ford</t>
  </si>
  <si>
    <t xml:space="preserve">Tucker Durkin</t>
  </si>
  <si>
    <t xml:space="preserve">Vinny Butrico</t>
  </si>
  <si>
    <t xml:space="preserve">Mitchell Dunham</t>
  </si>
  <si>
    <t xml:space="preserve">Levi Verch</t>
  </si>
  <si>
    <t xml:space="preserve">Jack McDonald</t>
  </si>
  <si>
    <t xml:space="preserve">Matt McMahon</t>
  </si>
  <si>
    <t xml:space="preserve">Jack Posey</t>
  </si>
  <si>
    <t xml:space="preserve">Joe Juengerkes</t>
  </si>
  <si>
    <t xml:space="preserve">Jack Pilling</t>
  </si>
  <si>
    <t xml:space="preserve">Jack Jasinski</t>
  </si>
  <si>
    <t xml:space="preserve">Andrew Kew</t>
  </si>
  <si>
    <t xml:space="preserve">Blake Eiland</t>
  </si>
  <si>
    <t xml:space="preserve">Luke Rhoa</t>
  </si>
  <si>
    <t xml:space="preserve">Joe Robertson</t>
  </si>
  <si>
    <t xml:space="preserve">Eric Kolar</t>
  </si>
  <si>
    <t xml:space="preserve">Ryan Kennedy</t>
  </si>
  <si>
    <t xml:space="preserve">Cole Kastner</t>
  </si>
  <si>
    <t xml:space="preserve">Jeff Conner</t>
  </si>
  <si>
    <t xml:space="preserve">John Ranagan</t>
  </si>
  <si>
    <t xml:space="preserve">Jack Near</t>
  </si>
  <si>
    <t xml:space="preserve">Will Donovan</t>
  </si>
  <si>
    <t xml:space="preserve">Brett Kennedy</t>
  </si>
  <si>
    <t xml:space="preserve">Kyle Borda</t>
  </si>
  <si>
    <t xml:space="preserve">Jack Taylor</t>
  </si>
  <si>
    <t xml:space="preserve">Jack Gray</t>
  </si>
  <si>
    <t xml:space="preserve">Evan Zinn</t>
  </si>
  <si>
    <t xml:space="preserve">Max Wayne</t>
  </si>
  <si>
    <t xml:space="preserve">Hunter Drouin</t>
  </si>
  <si>
    <t xml:space="preserve">Kevin Parnham</t>
  </si>
  <si>
    <t xml:space="preserve">Billy Dwan</t>
  </si>
  <si>
    <t xml:space="preserve">Hunter Smith</t>
  </si>
  <si>
    <t xml:space="preserve">Brennan Kamish</t>
  </si>
  <si>
    <t xml:space="preserve">Michael Lampert</t>
  </si>
  <si>
    <t xml:space="preserve">Mark McNeill</t>
  </si>
  <si>
    <t xml:space="preserve">Kevin Lindley</t>
  </si>
  <si>
    <t xml:space="preserve">Max Merklinger</t>
  </si>
  <si>
    <t xml:space="preserve">Brodie Merrill</t>
  </si>
  <si>
    <t xml:space="preserve">Henry Bard</t>
  </si>
  <si>
    <t xml:space="preserve">Casey Wilson</t>
  </si>
  <si>
    <t xml:space="preserve">Jakob Patterson</t>
  </si>
  <si>
    <t xml:space="preserve">Finn Sullivan</t>
  </si>
  <si>
    <t xml:space="preserve">Liam Kammar</t>
  </si>
  <si>
    <t xml:space="preserve">Steven DeNapoli</t>
  </si>
  <si>
    <t xml:space="preserve">Patrick Harbeson</t>
  </si>
  <si>
    <t xml:space="preserve">Ryan Hallenbeck</t>
  </si>
  <si>
    <t xml:space="preserve">Brent Adams</t>
  </si>
  <si>
    <t xml:space="preserve">Mike Robinson</t>
  </si>
  <si>
    <t xml:space="preserve">Gannon Matthews</t>
  </si>
  <si>
    <t xml:space="preserve">Troy Hettinger</t>
  </si>
  <si>
    <t xml:space="preserve">Remington Reynolds</t>
  </si>
  <si>
    <t xml:space="preserve">James Shipley</t>
  </si>
  <si>
    <t xml:space="preserve">Nikko DiPonio</t>
  </si>
  <si>
    <t xml:space="preserve">TJ Comizio</t>
  </si>
  <si>
    <t xml:space="preserve">Clarke Petterson</t>
  </si>
  <si>
    <t xml:space="preserve">Andrew Newbold</t>
  </si>
  <si>
    <t xml:space="preserve">Charlie Kitchen</t>
  </si>
  <si>
    <t xml:space="preserve">Aidan McLane</t>
  </si>
  <si>
    <t xml:space="preserve">Alex Simmons</t>
  </si>
  <si>
    <t xml:space="preserve">Jack DiBenedetto</t>
  </si>
  <si>
    <t xml:space="preserve">Kyle Aldridge</t>
  </si>
  <si>
    <t xml:space="preserve">Ricky Miezan</t>
  </si>
  <si>
    <t xml:space="preserve">Tate Gallagher</t>
  </si>
  <si>
    <t xml:space="preserve">John Geppert</t>
  </si>
  <si>
    <t xml:space="preserve">Bryan McIntosh</t>
  </si>
  <si>
    <t xml:space="preserve">Richard Checo</t>
  </si>
  <si>
    <t xml:space="preserve">Christian Mazzone</t>
  </si>
  <si>
    <t xml:space="preserve">Matt Wright</t>
  </si>
  <si>
    <t xml:space="preserve">Colin Sharkey</t>
  </si>
  <si>
    <t xml:space="preserve">Ryan McNulty</t>
  </si>
  <si>
    <t xml:space="preserve">Matthew Hossack</t>
  </si>
  <si>
    <t xml:space="preserve">Stephen Zupicich</t>
  </si>
  <si>
    <t xml:space="preserve">AJ Pilate</t>
  </si>
  <si>
    <t xml:space="preserve">Dante Bowen</t>
  </si>
  <si>
    <t xml:space="preserve">James Barclay</t>
  </si>
  <si>
    <t xml:space="preserve">Cooper Frankenheimer</t>
  </si>
  <si>
    <t xml:space="preserve">Tommy Stull</t>
  </si>
  <si>
    <t xml:space="preserve">Johnny Surdick</t>
  </si>
  <si>
    <t xml:space="preserve">AJ Mercurio</t>
  </si>
  <si>
    <t xml:space="preserve">Grayson Sallade</t>
  </si>
  <si>
    <t xml:space="preserve">Carter Parlette</t>
  </si>
  <si>
    <t xml:space="preserve">Patty Eldredge</t>
  </si>
  <si>
    <t xml:space="preserve">Leif Hagerup</t>
  </si>
  <si>
    <t xml:space="preserve">Scott Hooper</t>
  </si>
  <si>
    <t xml:space="preserve">Reece Eddy</t>
  </si>
  <si>
    <t xml:space="preserve">Colby Barsz</t>
  </si>
  <si>
    <t xml:space="preserve">Carson Billig</t>
  </si>
  <si>
    <t xml:space="preserve">Mitch Bartolo</t>
  </si>
  <si>
    <t xml:space="preserve">Christian Fournier</t>
  </si>
  <si>
    <t xml:space="preserve">Ron John</t>
  </si>
  <si>
    <t xml:space="preserve">Saam Olexo</t>
  </si>
  <si>
    <t xml:space="preserve">Season</t>
  </si>
  <si>
    <t xml:space="preserve">Team</t>
  </si>
  <si>
    <t xml:space="preserve">Games Played</t>
  </si>
  <si>
    <t xml:space="preserve">Shots On Goal</t>
  </si>
  <si>
    <t xml:space="preserve">Total Goals</t>
  </si>
  <si>
    <t xml:space="preserve">Assists</t>
  </si>
  <si>
    <t xml:space="preserve">Touches</t>
  </si>
  <si>
    <t xml:space="preserve">Passes Available</t>
  </si>
  <si>
    <t xml:space="preserve">Eligible</t>
  </si>
  <si>
    <t xml:space="preserve">Shots per Game</t>
  </si>
  <si>
    <t xml:space="preserve">Passes per Game</t>
  </si>
  <si>
    <t xml:space="preserve">Redwoods</t>
  </si>
  <si>
    <t xml:space="preserve">Yes</t>
  </si>
  <si>
    <t xml:space="preserve">Drew Adams</t>
  </si>
  <si>
    <t xml:space="preserve">Archers</t>
  </si>
  <si>
    <t xml:space="preserve">G</t>
  </si>
  <si>
    <t xml:space="preserve">No</t>
  </si>
  <si>
    <t xml:space="preserve">Trevor Baptiste</t>
  </si>
  <si>
    <t xml:space="preserve">Atlas</t>
  </si>
  <si>
    <t xml:space="preserve">FO</t>
  </si>
  <si>
    <t xml:space="preserve">Whipsnakes</t>
  </si>
  <si>
    <t xml:space="preserve">Kylor Bellistri</t>
  </si>
  <si>
    <t xml:space="preserve">Kyle Bernlohr</t>
  </si>
  <si>
    <t xml:space="preserve">Chris Bocklet</t>
  </si>
  <si>
    <t xml:space="preserve">Chrome</t>
  </si>
  <si>
    <t xml:space="preserve">Mike Bocklet</t>
  </si>
  <si>
    <t xml:space="preserve">Chaos</t>
  </si>
  <si>
    <t xml:space="preserve">Steven Brooks</t>
  </si>
  <si>
    <t xml:space="preserve">Kevin Buchanan</t>
  </si>
  <si>
    <t xml:space="preserve">Connor Buczek</t>
  </si>
  <si>
    <t xml:space="preserve">Charlie Cipriano</t>
  </si>
  <si>
    <t xml:space="preserve">Deemer Class</t>
  </si>
  <si>
    <t xml:space="preserve">Dan Coates</t>
  </si>
  <si>
    <t xml:space="preserve">Greg Coholan</t>
  </si>
  <si>
    <t xml:space="preserve">Jack Concannon</t>
  </si>
  <si>
    <t xml:space="preserve">Evan Connell</t>
  </si>
  <si>
    <t xml:space="preserve">Curtis Corley</t>
  </si>
  <si>
    <t xml:space="preserve">Ned Crotty</t>
  </si>
  <si>
    <t xml:space="preserve">Matt Danowski</t>
  </si>
  <si>
    <t xml:space="preserve">Tyler Dunn</t>
  </si>
  <si>
    <t xml:space="preserve">Luke Duprey</t>
  </si>
  <si>
    <t xml:space="preserve">Dan Eipp</t>
  </si>
  <si>
    <t xml:space="preserve">Davey Emala</t>
  </si>
  <si>
    <t xml:space="preserve">Connor Farrell</t>
  </si>
  <si>
    <t xml:space="preserve">Ryan Flanagan</t>
  </si>
  <si>
    <t xml:space="preserve">Joe Fletcher</t>
  </si>
  <si>
    <t xml:space="preserve">Brendan Fowler</t>
  </si>
  <si>
    <t xml:space="preserve">John Galloway</t>
  </si>
  <si>
    <t xml:space="preserve">Adam Ghitelman</t>
  </si>
  <si>
    <t xml:space="preserve">BJ Grill</t>
  </si>
  <si>
    <t xml:space="preserve">Greg Gurenlian</t>
  </si>
  <si>
    <t xml:space="preserve">Kyle Harrison</t>
  </si>
  <si>
    <t xml:space="preserve">John Haus</t>
  </si>
  <si>
    <t xml:space="preserve">Austin Henningsen</t>
  </si>
  <si>
    <t xml:space="preserve">Brent Hiken</t>
  </si>
  <si>
    <t xml:space="preserve">Andrew Hodgson</t>
  </si>
  <si>
    <t xml:space="preserve">Brian Karalunas</t>
  </si>
  <si>
    <t xml:space="preserve">Jack Kelly</t>
  </si>
  <si>
    <t xml:space="preserve">Stephen Kelly</t>
  </si>
  <si>
    <t xml:space="preserve">Thomas Kelly</t>
  </si>
  <si>
    <t xml:space="preserve">Larken Kemp</t>
  </si>
  <si>
    <t xml:space="preserve">Matthew Landis</t>
  </si>
  <si>
    <t xml:space="preserve">Joe LoCascio</t>
  </si>
  <si>
    <t xml:space="preserve">Dylan Maltz</t>
  </si>
  <si>
    <t xml:space="preserve">JoJo Marasco</t>
  </si>
  <si>
    <t xml:space="preserve">Simon Mathias</t>
  </si>
  <si>
    <t xml:space="preserve">Joseph McCallion</t>
  </si>
  <si>
    <t xml:space="preserve">Kyle McClancy</t>
  </si>
  <si>
    <t xml:space="preserve">Ben McIntosh</t>
  </si>
  <si>
    <t xml:space="preserve">John Moderski</t>
  </si>
  <si>
    <t xml:space="preserve">Dan Morris</t>
  </si>
  <si>
    <t xml:space="preserve">Brandon Mullins</t>
  </si>
  <si>
    <t xml:space="preserve">Goran Murray</t>
  </si>
  <si>
    <t xml:space="preserve">Joseph Nardella</t>
  </si>
  <si>
    <t xml:space="preserve">Michael Noone</t>
  </si>
  <si>
    <t xml:space="preserve">Brent Noseworthy</t>
  </si>
  <si>
    <t xml:space="preserve">Mike O'Neil</t>
  </si>
  <si>
    <t xml:space="preserve">Nick Ossello</t>
  </si>
  <si>
    <t xml:space="preserve">James Pannell</t>
  </si>
  <si>
    <t xml:space="preserve">Isaac Paparo</t>
  </si>
  <si>
    <t xml:space="preserve">Tyler Pfister</t>
  </si>
  <si>
    <t xml:space="preserve">Austin Pifani</t>
  </si>
  <si>
    <t xml:space="preserve">Jackson Place</t>
  </si>
  <si>
    <t xml:space="preserve">John Prendergast</t>
  </si>
  <si>
    <t xml:space="preserve">Brett Queener</t>
  </si>
  <si>
    <t xml:space="preserve">Paul Rabil</t>
  </si>
  <si>
    <t xml:space="preserve">Jerry Ragonese</t>
  </si>
  <si>
    <t xml:space="preserve">Alex Ready</t>
  </si>
  <si>
    <t xml:space="preserve">Ben Reeves</t>
  </si>
  <si>
    <t xml:space="preserve">Joe Resetarits</t>
  </si>
  <si>
    <t xml:space="preserve">Jeff Reynolds</t>
  </si>
  <si>
    <t xml:space="preserve">Kevin Rice</t>
  </si>
  <si>
    <t xml:space="preserve">Noah Richard</t>
  </si>
  <si>
    <t xml:space="preserve">Blaze Riorden</t>
  </si>
  <si>
    <t xml:space="preserve">Callum Robinson</t>
  </si>
  <si>
    <t xml:space="preserve">Scott Rodgers</t>
  </si>
  <si>
    <t xml:space="preserve">Tim Rotanz</t>
  </si>
  <si>
    <t xml:space="preserve">Sergio Salcido</t>
  </si>
  <si>
    <t xml:space="preserve">Joey Sankey</t>
  </si>
  <si>
    <t xml:space="preserve">Brett Schmidt</t>
  </si>
  <si>
    <t xml:space="preserve">Eric Scott</t>
  </si>
  <si>
    <t xml:space="preserve">Brad Self</t>
  </si>
  <si>
    <t xml:space="preserve">Jeremy Sieverts</t>
  </si>
  <si>
    <t xml:space="preserve">Mike Simon</t>
  </si>
  <si>
    <t xml:space="preserve">Drew Simoneau</t>
  </si>
  <si>
    <t xml:space="preserve">Austin Sims</t>
  </si>
  <si>
    <t xml:space="preserve">Drew Snider</t>
  </si>
  <si>
    <t xml:space="preserve">Jacob Stover</t>
  </si>
  <si>
    <t xml:space="preserve">Jeremy Thompson</t>
  </si>
  <si>
    <t xml:space="preserve">Miles Thompson</t>
  </si>
  <si>
    <t xml:space="preserve">Ty Thompson</t>
  </si>
  <si>
    <t xml:space="preserve">Joel Tinney</t>
  </si>
  <si>
    <t xml:space="preserve">Nicholas Tintle</t>
  </si>
  <si>
    <t xml:space="preserve">Greyson Torain</t>
  </si>
  <si>
    <t xml:space="preserve">Tim Troutner</t>
  </si>
  <si>
    <t xml:space="preserve">Alec Tulett</t>
  </si>
  <si>
    <t xml:space="preserve">Max Tuttle</t>
  </si>
  <si>
    <t xml:space="preserve">Kevin Unterstein</t>
  </si>
  <si>
    <t xml:space="preserve">Steven Waldeck</t>
  </si>
  <si>
    <t xml:space="preserve">Gunnar Waldt</t>
  </si>
  <si>
    <t xml:space="preserve">Joe Walters</t>
  </si>
  <si>
    <t xml:space="preserve">Joel White</t>
  </si>
  <si>
    <t xml:space="preserve">Jordan Wolf</t>
  </si>
  <si>
    <t xml:space="preserve">Pat Young</t>
  </si>
  <si>
    <t xml:space="preserve">Waterdogs</t>
  </si>
  <si>
    <t xml:space="preserve">Tate Boyce</t>
  </si>
  <si>
    <t xml:space="preserve">Hugh Crance</t>
  </si>
  <si>
    <t xml:space="preserve">Josh Currier</t>
  </si>
  <si>
    <t xml:space="preserve">Matt DeLuca</t>
  </si>
  <si>
    <t xml:space="preserve">Curtis Dickson</t>
  </si>
  <si>
    <t xml:space="preserve">Sam Duggan</t>
  </si>
  <si>
    <t xml:space="preserve">Patrick Foley</t>
  </si>
  <si>
    <t xml:space="preserve">Hunter Forbes</t>
  </si>
  <si>
    <t xml:space="preserve">Matt Gaudet</t>
  </si>
  <si>
    <t xml:space="preserve">Brendan Gleason</t>
  </si>
  <si>
    <t xml:space="preserve">Matt Hubler</t>
  </si>
  <si>
    <t xml:space="preserve">Brendan Kavanagh</t>
  </si>
  <si>
    <t xml:space="preserve">Donny Moss</t>
  </si>
  <si>
    <t xml:space="preserve">Sean New</t>
  </si>
  <si>
    <t xml:space="preserve">Jason Noble</t>
  </si>
  <si>
    <t xml:space="preserve">Chris Price</t>
  </si>
  <si>
    <t xml:space="preserve">Greg Puskuldjian</t>
  </si>
  <si>
    <t xml:space="preserve">Jack Rapine</t>
  </si>
  <si>
    <t xml:space="preserve">Peyton Smith</t>
  </si>
  <si>
    <t xml:space="preserve">Justin Turri</t>
  </si>
  <si>
    <t xml:space="preserve">Dillon Ward</t>
  </si>
  <si>
    <t xml:space="preserve">Jake Withers</t>
  </si>
  <si>
    <t xml:space="preserve">Max Adler</t>
  </si>
  <si>
    <t xml:space="preserve">Luke Anderson</t>
  </si>
  <si>
    <t xml:space="preserve">Player Pool</t>
  </si>
  <si>
    <t xml:space="preserve">Gerard Arceri</t>
  </si>
  <si>
    <t xml:space="preserve">Cannons</t>
  </si>
  <si>
    <t xml:space="preserve">Ryan Beville</t>
  </si>
  <si>
    <t xml:space="preserve">Frank Brown</t>
  </si>
  <si>
    <t xml:space="preserve">Michael Brown</t>
  </si>
  <si>
    <t xml:space="preserve">JD Colarusso</t>
  </si>
  <si>
    <t xml:space="preserve">Dalton Crossan</t>
  </si>
  <si>
    <t xml:space="preserve">Casey Dowd</t>
  </si>
  <si>
    <t xml:space="preserve">Tim Edwards</t>
  </si>
  <si>
    <t xml:space="preserve">Conor Gaffney</t>
  </si>
  <si>
    <t xml:space="preserve">Kyle Gallagher</t>
  </si>
  <si>
    <t xml:space="preserve">Chris Hogan</t>
  </si>
  <si>
    <t xml:space="preserve">Foster Huggins</t>
  </si>
  <si>
    <t xml:space="preserve">Aidan Hynes</t>
  </si>
  <si>
    <t xml:space="preserve">TD Ierlan</t>
  </si>
  <si>
    <t xml:space="preserve">Reed Junkin</t>
  </si>
  <si>
    <t xml:space="preserve">Austin Kaut</t>
  </si>
  <si>
    <t xml:space="preserve">Michael Kraus</t>
  </si>
  <si>
    <t xml:space="preserve">Ryan Lee</t>
  </si>
  <si>
    <t xml:space="preserve">Charlie Leonard</t>
  </si>
  <si>
    <t xml:space="preserve">Chase Levesque</t>
  </si>
  <si>
    <t xml:space="preserve">Sam Lucchesi</t>
  </si>
  <si>
    <t xml:space="preserve">Nick Manis</t>
  </si>
  <si>
    <t xml:space="preserve">Nick Marrocco</t>
  </si>
  <si>
    <t xml:space="preserve">Chris Mattes</t>
  </si>
  <si>
    <t xml:space="preserve">Ryan McNamara</t>
  </si>
  <si>
    <t xml:space="preserve">Brian Phipps</t>
  </si>
  <si>
    <t xml:space="preserve">Kyle Pless</t>
  </si>
  <si>
    <t xml:space="preserve">Justin Pugal</t>
  </si>
  <si>
    <t xml:space="preserve">Noah Rak</t>
  </si>
  <si>
    <t xml:space="preserve">Kevin Reisman</t>
  </si>
  <si>
    <t xml:space="preserve">Eric Rubak</t>
  </si>
  <si>
    <t xml:space="preserve">Sean Sconone</t>
  </si>
  <si>
    <t xml:space="preserve">Nate Solomon</t>
  </si>
  <si>
    <t xml:space="preserve">Alex Spring</t>
  </si>
  <si>
    <t xml:space="preserve">Randy Staats</t>
  </si>
  <si>
    <t xml:space="preserve">Brendan Sunday</t>
  </si>
  <si>
    <t xml:space="preserve">Kyle Thornton</t>
  </si>
  <si>
    <t xml:space="preserve">Jamie Trimboli</t>
  </si>
  <si>
    <t xml:space="preserve">John Uppgren</t>
  </si>
  <si>
    <t xml:space="preserve">Nick Washuta</t>
  </si>
  <si>
    <t xml:space="preserve">Bobby Abshire</t>
  </si>
  <si>
    <t xml:space="preserve">Kevin Crowley</t>
  </si>
  <si>
    <t xml:space="preserve">Brett Dobson</t>
  </si>
  <si>
    <t xml:space="preserve">Jack Dolan</t>
  </si>
  <si>
    <t xml:space="preserve">Tyrell Hamer-Jackson</t>
  </si>
  <si>
    <t xml:space="preserve">Colin Hinton</t>
  </si>
  <si>
    <t xml:space="preserve">Justin Inacio</t>
  </si>
  <si>
    <t xml:space="preserve">Will Jones</t>
  </si>
  <si>
    <t xml:space="preserve">Colin Kirst</t>
  </si>
  <si>
    <t xml:space="preserve">Frankie Labetti</t>
  </si>
  <si>
    <t xml:space="preserve">Owen McElroy</t>
  </si>
  <si>
    <t xml:space="preserve">Tehoka Nanticoke</t>
  </si>
  <si>
    <t xml:space="preserve">Tyler Pace</t>
  </si>
  <si>
    <t xml:space="preserve">Jakob Phaup</t>
  </si>
  <si>
    <t xml:space="preserve">John Piatelli</t>
  </si>
  <si>
    <t xml:space="preserve">Joe Post</t>
  </si>
  <si>
    <t xml:space="preserve">Bailey Savio</t>
  </si>
  <si>
    <t xml:space="preserve">Gibson Smith IV</t>
  </si>
  <si>
    <t xml:space="preserve">Zac Tucci</t>
  </si>
  <si>
    <t xml:space="preserve">Alex Woodall</t>
  </si>
  <si>
    <t xml:space="preserve">Mike Adler</t>
  </si>
  <si>
    <t xml:space="preserve">Grant Ammann</t>
  </si>
  <si>
    <t xml:space="preserve">Nick Cardile</t>
  </si>
  <si>
    <t xml:space="preserve">Zach Cole</t>
  </si>
  <si>
    <t xml:space="preserve">Elijah Gash</t>
  </si>
  <si>
    <t xml:space="preserve">Brendan Krebs</t>
  </si>
  <si>
    <t xml:space="preserve">Petey LaSalla</t>
  </si>
  <si>
    <t xml:space="preserve">Eli McLaughlin</t>
  </si>
  <si>
    <t xml:space="preserve">Drake Porter</t>
  </si>
  <si>
    <t xml:space="preserve">James Reilly</t>
  </si>
  <si>
    <t xml:space="preserve">Jason Rose</t>
  </si>
  <si>
    <t xml:space="preserve">Nick Rowlett</t>
  </si>
  <si>
    <t xml:space="preserve">Cade Saustad</t>
  </si>
  <si>
    <t xml:space="preserve">Patrick Shoemay</t>
  </si>
  <si>
    <t xml:space="preserve">Mike Sisselberger</t>
  </si>
  <si>
    <t xml:space="preserve">Josh Stout</t>
  </si>
  <si>
    <t xml:space="preserve">Jack Traynor</t>
  </si>
  <si>
    <t xml:space="preserve">Outlaws</t>
  </si>
  <si>
    <t xml:space="preserve">Scott Cole</t>
  </si>
  <si>
    <t xml:space="preserve">Mac Costin</t>
  </si>
  <si>
    <t xml:space="preserve">Liam Entenmann</t>
  </si>
  <si>
    <t xml:space="preserve">Eli Fisher</t>
  </si>
  <si>
    <t xml:space="preserve">Chayse Ierlan</t>
  </si>
  <si>
    <t xml:space="preserve">Matt Knote</t>
  </si>
  <si>
    <t xml:space="preserve">Devon McLane</t>
  </si>
  <si>
    <t xml:space="preserve">Jacob Morin</t>
  </si>
  <si>
    <t xml:space="preserve">Carter Page</t>
  </si>
  <si>
    <t xml:space="preserve">Alec Stathakis</t>
  </si>
  <si>
    <t xml:space="preserve">Luke Wierman</t>
  </si>
  <si>
    <t xml:space="preserve">Chase Yager</t>
  </si>
  <si>
    <t xml:space="preserve">Pace Billings</t>
  </si>
  <si>
    <t xml:space="preserve">Emmet Carroll</t>
  </si>
  <si>
    <t xml:space="preserve">Connor Cmiel</t>
  </si>
  <si>
    <t xml:space="preserve">Christopher Davis</t>
  </si>
  <si>
    <t xml:space="preserve">John DeFazio</t>
  </si>
  <si>
    <t xml:space="preserve">JC Higginbotham</t>
  </si>
  <si>
    <t xml:space="preserve">Nathan Laliberte</t>
  </si>
  <si>
    <t xml:space="preserve">Will Lynch</t>
  </si>
  <si>
    <t xml:space="preserve">Will Mark</t>
  </si>
  <si>
    <t xml:space="preserve">Logan McNaney</t>
  </si>
  <si>
    <t xml:space="preserve">Jake Naso</t>
  </si>
  <si>
    <t xml:space="preserve">Matthew Paolatto</t>
  </si>
  <si>
    <t xml:space="preserve">Dylan Renner</t>
  </si>
  <si>
    <t xml:space="preserve">Griffin Schutz</t>
  </si>
  <si>
    <t xml:space="preserve">Zach Vigue</t>
  </si>
  <si>
    <t xml:space="preserve">Marquez White</t>
  </si>
  <si>
    <t xml:space="preserve">Sean Byrne</t>
  </si>
  <si>
    <t xml:space="preserve">Ryan Cohen</t>
  </si>
  <si>
    <t xml:space="preserve">Ryan Croddick</t>
  </si>
  <si>
    <t xml:space="preserve">Braden Erksa</t>
  </si>
  <si>
    <t xml:space="preserve">Riley Hastings</t>
  </si>
  <si>
    <t xml:space="preserve">Shun Ito</t>
  </si>
  <si>
    <t xml:space="preserve">Nathan Kapp</t>
  </si>
  <si>
    <t xml:space="preserve">Blake Malamphy</t>
  </si>
  <si>
    <t xml:space="preserve">Andrew McMeekin</t>
  </si>
  <si>
    <t xml:space="preserve">Aidan O'Neil</t>
  </si>
  <si>
    <t xml:space="preserve">Will Schaller</t>
  </si>
  <si>
    <t xml:space="preserve">Player rows</t>
  </si>
  <si>
    <t xml:space="preserve">Eligible players</t>
  </si>
  <si>
    <t xml:space="preserve">Total shots (all rows)</t>
  </si>
  <si>
    <t xml:space="preserve">Mean shots/game (eligible)</t>
  </si>
  <si>
    <t xml:space="preserve">Mean passes/game (eligible)</t>
  </si>
  <si>
    <t xml:space="preserve">Eligible rows 2022–2026</t>
  </si>
  <si>
    <t xml:space="preserve">Mean shots/game</t>
  </si>
  <si>
    <t xml:space="preserve">Mean passes/game</t>
  </si>
  <si>
    <t xml:space="preserve">Seasons</t>
  </si>
  <si>
    <t xml:space="preserve">First</t>
  </si>
  <si>
    <t xml:space="preserve">Last</t>
  </si>
  <si>
    <t xml:space="preserve">Career Shots</t>
  </si>
  <si>
    <t xml:space="preserve">Position (first listed)</t>
  </si>
  <si>
    <t xml:space="preserve">Study</t>
  </si>
  <si>
    <t xml:space="preserve">Population</t>
  </si>
  <si>
    <t xml:space="preserve">Measure</t>
  </si>
  <si>
    <t xml:space="preserve">Value</t>
  </si>
  <si>
    <t xml:space="preserve">SD</t>
  </si>
  <si>
    <t xml:space="preserve">Unit</t>
  </si>
  <si>
    <t xml:space="preserve">Note</t>
  </si>
  <si>
    <t xml:space="preserve">Vincent et al. 2015 (DOI 10.1080/14763141.2015.1084034)</t>
  </si>
  <si>
    <t xml:space="preserve">Professional players (n=6 of 39)</t>
  </si>
  <si>
    <t xml:space="preserve">Ball speed</t>
  </si>
  <si>
    <t xml:space="preserve">km/h</t>
  </si>
  <si>
    <t xml:space="preserve">Lab overhead shot; not PLL-specific</t>
  </si>
  <si>
    <t xml:space="preserve">Vincent et al. 2015</t>
  </si>
  <si>
    <t xml:space="preserve">High-school players</t>
  </si>
  <si>
    <t xml:space="preserve">Comparison group</t>
  </si>
  <si>
    <t xml:space="preserve">Professional vs HS/collegiate</t>
  </si>
  <si>
    <t xml:space="preserve">Crosse angular velocity</t>
  </si>
  <si>
    <t xml:space="preserve">% faster</t>
  </si>
  <si>
    <t xml:space="preserve">Published comparison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</si>
</sst>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0.00"/>
    <numFmt numFmtId="168" formatCode="0%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0B0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3" t="s">
        <v>6</v>
      </c>
    </row>
    <row r="3" customFormat="false" ht="15" hidden="false" customHeight="false" outlineLevel="0" collapsed="false">
      <c r="A3" s="2" t="s">
        <v>7</v>
      </c>
      <c r="B3" s="4" t="n">
        <v>138</v>
      </c>
    </row>
    <row r="4" customFormat="false" ht="15" hidden="false" customHeight="false" outlineLevel="0" collapsed="false">
      <c r="A4" s="2" t="s">
        <v>8</v>
      </c>
      <c r="B4" s="4" t="n">
        <v>70</v>
      </c>
    </row>
    <row r="5" customFormat="false" ht="15" hidden="false" customHeight="false" outlineLevel="0" collapsed="false">
      <c r="A5" s="2" t="s">
        <v>9</v>
      </c>
      <c r="B5" s="5" t="n">
        <f aca="false">(B4/B3)^2</f>
        <v>0.25729888678849</v>
      </c>
    </row>
    <row r="6" customFormat="false" ht="15" hidden="false" customHeight="false" outlineLevel="0" collapsed="false">
      <c r="A6" s="2" t="s">
        <v>10</v>
      </c>
      <c r="B6" s="0" t="n">
        <v>1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11</v>
      </c>
    </row>
    <row r="9" customFormat="false" ht="15" hidden="false" customHeight="false" outlineLevel="0" collapsed="false">
      <c r="A9" s="2" t="s">
        <v>12</v>
      </c>
    </row>
    <row r="10" customFormat="false" ht="15" hidden="false" customHeight="false" outlineLevel="0" collapsed="false">
      <c r="A1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3"/>
  </cols>
  <sheetData>
    <row r="1" customFormat="false" ht="39.55" hidden="false" customHeight="fals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n">
        <v>5</v>
      </c>
      <c r="D2" s="2" t="n">
        <v>52</v>
      </c>
      <c r="E2" s="2" t="n">
        <v>347</v>
      </c>
      <c r="F2" s="2" t="n">
        <v>1566</v>
      </c>
      <c r="G2" s="7" t="n">
        <f aca="false">E2*Load_Model_Assumptions!$B$6+F2*Load_Model_Assumptions!$B$5</f>
        <v>749.930056710775</v>
      </c>
      <c r="H2" s="8" t="n">
        <f aca="false">IF(D2&gt;0,G2/D2,"")</f>
        <v>14.4217318598226</v>
      </c>
      <c r="I2" s="9" t="n">
        <f aca="false">IF(G2&gt;0,F2*Load_Model_Assumptions!$B$5/G2,"")</f>
        <v>0.53729018207117</v>
      </c>
    </row>
    <row r="3" customFormat="false" ht="15" hidden="false" customHeight="false" outlineLevel="0" collapsed="false">
      <c r="A3" s="2" t="s">
        <v>25</v>
      </c>
      <c r="B3" s="2" t="s">
        <v>24</v>
      </c>
      <c r="C3" s="2" t="n">
        <v>5</v>
      </c>
      <c r="D3" s="2" t="n">
        <v>51</v>
      </c>
      <c r="E3" s="2" t="n">
        <v>341</v>
      </c>
      <c r="F3" s="2" t="n">
        <v>1259</v>
      </c>
      <c r="G3" s="7" t="n">
        <f aca="false">E3*Load_Model_Assumptions!$B$6+F3*Load_Model_Assumptions!$B$5</f>
        <v>664.939298466709</v>
      </c>
      <c r="H3" s="8" t="n">
        <f aca="false">IF(D3&gt;0,G3/D3,"")</f>
        <v>13.0380254601315</v>
      </c>
      <c r="I3" s="9" t="n">
        <f aca="false">IF(G3&gt;0,F3*Load_Model_Assumptions!$B$5/G3,"")</f>
        <v>0.487171233845983</v>
      </c>
    </row>
    <row r="4" customFormat="false" ht="15" hidden="false" customHeight="false" outlineLevel="0" collapsed="false">
      <c r="A4" s="2" t="s">
        <v>26</v>
      </c>
      <c r="B4" s="2" t="s">
        <v>24</v>
      </c>
      <c r="C4" s="2" t="n">
        <v>5</v>
      </c>
      <c r="D4" s="2" t="n">
        <v>50</v>
      </c>
      <c r="E4" s="2" t="n">
        <v>302</v>
      </c>
      <c r="F4" s="2" t="n">
        <v>1369</v>
      </c>
      <c r="G4" s="7" t="n">
        <f aca="false">E4*Load_Model_Assumptions!$B$6+F4*Load_Model_Assumptions!$B$5</f>
        <v>654.242176013443</v>
      </c>
      <c r="H4" s="8" t="n">
        <f aca="false">IF(D4&gt;0,G4/D4,"")</f>
        <v>13.0848435202689</v>
      </c>
      <c r="I4" s="9" t="n">
        <f aca="false">IF(G4&gt;0,F4*Load_Model_Assumptions!$B$5/G4,"")</f>
        <v>0.53839723106785</v>
      </c>
    </row>
    <row r="5" customFormat="false" ht="15" hidden="false" customHeight="false" outlineLevel="0" collapsed="false">
      <c r="A5" s="2" t="s">
        <v>27</v>
      </c>
      <c r="B5" s="2" t="s">
        <v>24</v>
      </c>
      <c r="C5" s="2" t="n">
        <v>5</v>
      </c>
      <c r="D5" s="2" t="n">
        <v>52</v>
      </c>
      <c r="E5" s="2" t="n">
        <v>307</v>
      </c>
      <c r="F5" s="2" t="n">
        <v>1172</v>
      </c>
      <c r="G5" s="7" t="n">
        <f aca="false">E5*Load_Model_Assumptions!$B$6+F5*Load_Model_Assumptions!$B$5</f>
        <v>608.55429531611</v>
      </c>
      <c r="H5" s="8" t="n">
        <f aca="false">IF(D5&gt;0,G5/D5,"")</f>
        <v>11.7029672176175</v>
      </c>
      <c r="I5" s="9" t="n">
        <f aca="false">IF(G5&gt;0,F5*Load_Model_Assumptions!$B$5/G5,"")</f>
        <v>0.49552570351914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n">
        <v>5</v>
      </c>
      <c r="D6" s="2" t="n">
        <v>48</v>
      </c>
      <c r="E6" s="2" t="n">
        <v>321</v>
      </c>
      <c r="F6" s="2" t="n">
        <v>981</v>
      </c>
      <c r="G6" s="7" t="n">
        <f aca="false">E6*Load_Model_Assumptions!$B$6+F6*Load_Model_Assumptions!$B$5</f>
        <v>573.410207939509</v>
      </c>
      <c r="H6" s="8" t="n">
        <f aca="false">IF(D6&gt;0,G6/D6,"")</f>
        <v>11.9460459987398</v>
      </c>
      <c r="I6" s="9" t="n">
        <f aca="false">IF(G6&gt;0,F6*Load_Model_Assumptions!$B$5/G6,"")</f>
        <v>0.440191340238813</v>
      </c>
    </row>
    <row r="7" customFormat="false" ht="15" hidden="false" customHeight="false" outlineLevel="0" collapsed="false">
      <c r="A7" s="2" t="s">
        <v>30</v>
      </c>
      <c r="B7" s="2" t="s">
        <v>24</v>
      </c>
      <c r="C7" s="2" t="n">
        <v>5</v>
      </c>
      <c r="D7" s="2" t="n">
        <v>50</v>
      </c>
      <c r="E7" s="2" t="n">
        <v>264</v>
      </c>
      <c r="F7" s="2" t="n">
        <v>1190</v>
      </c>
      <c r="G7" s="7" t="n">
        <f aca="false">E7*Load_Model_Assumptions!$B$6+F7*Load_Model_Assumptions!$B$5</f>
        <v>570.185675278303</v>
      </c>
      <c r="H7" s="8" t="n">
        <f aca="false">IF(D7&gt;0,G7/D7,"")</f>
        <v>11.4037135055661</v>
      </c>
      <c r="I7" s="9" t="n">
        <f aca="false">IF(G7&gt;0,F7*Load_Model_Assumptions!$B$5/G7,"")</f>
        <v>0.536992928012189</v>
      </c>
    </row>
    <row r="8" customFormat="false" ht="15" hidden="false" customHeight="false" outlineLevel="0" collapsed="false">
      <c r="A8" s="2" t="s">
        <v>31</v>
      </c>
      <c r="B8" s="2" t="s">
        <v>24</v>
      </c>
      <c r="C8" s="2" t="n">
        <v>4</v>
      </c>
      <c r="D8" s="2" t="n">
        <v>40</v>
      </c>
      <c r="E8" s="2" t="n">
        <v>236</v>
      </c>
      <c r="F8" s="2" t="n">
        <v>1184</v>
      </c>
      <c r="G8" s="7" t="n">
        <f aca="false">E8*Load_Model_Assumptions!$B$6+F8*Load_Model_Assumptions!$B$5</f>
        <v>540.641881957572</v>
      </c>
      <c r="H8" s="8" t="n">
        <f aca="false">IF(D8&gt;0,G8/D8,"")</f>
        <v>13.5160470489393</v>
      </c>
      <c r="I8" s="9" t="n">
        <f aca="false">IF(G8&gt;0,F8*Load_Model_Assumptions!$B$5/G8,"")</f>
        <v>0.563481839132617</v>
      </c>
    </row>
    <row r="9" customFormat="false" ht="15" hidden="false" customHeight="false" outlineLevel="0" collapsed="false">
      <c r="A9" s="2" t="s">
        <v>32</v>
      </c>
      <c r="B9" s="2" t="s">
        <v>29</v>
      </c>
      <c r="C9" s="2" t="n">
        <v>5</v>
      </c>
      <c r="D9" s="2" t="n">
        <v>50</v>
      </c>
      <c r="E9" s="2" t="n">
        <v>293</v>
      </c>
      <c r="F9" s="2" t="n">
        <v>962</v>
      </c>
      <c r="G9" s="7" t="n">
        <f aca="false">E9*Load_Model_Assumptions!$B$6+F9*Load_Model_Assumptions!$B$5</f>
        <v>540.521529090527</v>
      </c>
      <c r="H9" s="8" t="n">
        <f aca="false">IF(D9&gt;0,G9/D9,"")</f>
        <v>10.8104305818105</v>
      </c>
      <c r="I9" s="9" t="n">
        <f aca="false">IF(G9&gt;0,F9*Load_Model_Assumptions!$B$5/G9,"")</f>
        <v>0.457930934789967</v>
      </c>
    </row>
    <row r="10" customFormat="false" ht="15" hidden="false" customHeight="false" outlineLevel="0" collapsed="false">
      <c r="A10" s="2" t="s">
        <v>33</v>
      </c>
      <c r="B10" s="2" t="s">
        <v>29</v>
      </c>
      <c r="C10" s="2" t="n">
        <v>5</v>
      </c>
      <c r="D10" s="2" t="n">
        <v>52</v>
      </c>
      <c r="E10" s="2" t="n">
        <v>311</v>
      </c>
      <c r="F10" s="2" t="n">
        <v>882</v>
      </c>
      <c r="G10" s="7" t="n">
        <f aca="false">E10*Load_Model_Assumptions!$B$6+F10*Load_Model_Assumptions!$B$5</f>
        <v>537.937618147448</v>
      </c>
      <c r="H10" s="8" t="n">
        <f aca="false">IF(D10&gt;0,G10/D10,"")</f>
        <v>10.3449541951432</v>
      </c>
      <c r="I10" s="9" t="n">
        <f aca="false">IF(G10&gt;0,F10*Load_Model_Assumptions!$B$5/G10,"")</f>
        <v>0.421866050061672</v>
      </c>
    </row>
    <row r="11" customFormat="false" ht="15" hidden="false" customHeight="false" outlineLevel="0" collapsed="false">
      <c r="A11" s="2" t="s">
        <v>34</v>
      </c>
      <c r="B11" s="2" t="s">
        <v>29</v>
      </c>
      <c r="C11" s="2" t="n">
        <v>4</v>
      </c>
      <c r="D11" s="2" t="n">
        <v>37</v>
      </c>
      <c r="E11" s="2" t="n">
        <v>200</v>
      </c>
      <c r="F11" s="2" t="n">
        <v>953</v>
      </c>
      <c r="G11" s="7" t="n">
        <f aca="false">E11*Load_Model_Assumptions!$B$6+F11*Load_Model_Assumptions!$B$5</f>
        <v>445.205839109431</v>
      </c>
      <c r="H11" s="8" t="n">
        <f aca="false">IF(D11&gt;0,G11/D11,"")</f>
        <v>12.0325902462008</v>
      </c>
      <c r="I11" s="9" t="n">
        <f aca="false">IF(G11&gt;0,F11*Load_Model_Assumptions!$B$5/G11,"")</f>
        <v>0.550769593678127</v>
      </c>
    </row>
    <row r="12" customFormat="false" ht="15" hidden="false" customHeight="false" outlineLevel="0" collapsed="false">
      <c r="A12" s="2" t="s">
        <v>35</v>
      </c>
      <c r="B12" s="2" t="s">
        <v>24</v>
      </c>
      <c r="C12" s="2" t="n">
        <v>3</v>
      </c>
      <c r="D12" s="2" t="n">
        <v>31</v>
      </c>
      <c r="E12" s="2" t="n">
        <v>251</v>
      </c>
      <c r="F12" s="2" t="n">
        <v>752</v>
      </c>
      <c r="G12" s="7" t="n">
        <f aca="false">E12*Load_Model_Assumptions!$B$6+F12*Load_Model_Assumptions!$B$5</f>
        <v>444.488762864944</v>
      </c>
      <c r="H12" s="8" t="n">
        <f aca="false">IF(D12&gt;0,G12/D12,"")</f>
        <v>14.3383471891918</v>
      </c>
      <c r="I12" s="9" t="n">
        <f aca="false">IF(G12&gt;0,F12*Load_Model_Assumptions!$B$5/G12,"")</f>
        <v>0.435306309247991</v>
      </c>
    </row>
    <row r="13" customFormat="false" ht="15" hidden="false" customHeight="false" outlineLevel="0" collapsed="false">
      <c r="A13" s="2" t="s">
        <v>36</v>
      </c>
      <c r="B13" s="2" t="s">
        <v>24</v>
      </c>
      <c r="C13" s="2" t="n">
        <v>5</v>
      </c>
      <c r="D13" s="2" t="n">
        <v>42</v>
      </c>
      <c r="E13" s="2" t="n">
        <v>208</v>
      </c>
      <c r="F13" s="2" t="n">
        <v>915</v>
      </c>
      <c r="G13" s="7" t="n">
        <f aca="false">E13*Load_Model_Assumptions!$B$6+F13*Load_Model_Assumptions!$B$5</f>
        <v>443.428481411468</v>
      </c>
      <c r="H13" s="8" t="n">
        <f aca="false">IF(D13&gt;0,G13/D13,"")</f>
        <v>10.5578209859873</v>
      </c>
      <c r="I13" s="9" t="n">
        <f aca="false">IF(G13&gt;0,F13*Load_Model_Assumptions!$B$5/G13,"")</f>
        <v>0.530927739828711</v>
      </c>
    </row>
    <row r="14" customFormat="false" ht="15" hidden="false" customHeight="false" outlineLevel="0" collapsed="false">
      <c r="A14" s="2" t="s">
        <v>37</v>
      </c>
      <c r="B14" s="2" t="s">
        <v>24</v>
      </c>
      <c r="C14" s="2" t="n">
        <v>5</v>
      </c>
      <c r="D14" s="2" t="n">
        <v>41</v>
      </c>
      <c r="E14" s="2" t="n">
        <v>186</v>
      </c>
      <c r="F14" s="2" t="n">
        <v>979</v>
      </c>
      <c r="G14" s="7" t="n">
        <f aca="false">E14*Load_Model_Assumptions!$B$6+F14*Load_Model_Assumptions!$B$5</f>
        <v>437.895610165932</v>
      </c>
      <c r="H14" s="8" t="n">
        <f aca="false">IF(D14&gt;0,G14/D14,"")</f>
        <v>10.6803807357544</v>
      </c>
      <c r="I14" s="9" t="n">
        <f aca="false">IF(G14&gt;0,F14*Load_Model_Assumptions!$B$5/G14,"")</f>
        <v>0.575241231741238</v>
      </c>
    </row>
    <row r="15" customFormat="false" ht="15" hidden="false" customHeight="false" outlineLevel="0" collapsed="false">
      <c r="A15" s="2" t="s">
        <v>38</v>
      </c>
      <c r="B15" s="2" t="s">
        <v>24</v>
      </c>
      <c r="C15" s="2" t="n">
        <v>5</v>
      </c>
      <c r="D15" s="2" t="n">
        <v>39</v>
      </c>
      <c r="E15" s="2" t="n">
        <v>248</v>
      </c>
      <c r="F15" s="2" t="n">
        <v>722</v>
      </c>
      <c r="G15" s="7" t="n">
        <f aca="false">E15*Load_Model_Assumptions!$B$6+F15*Load_Model_Assumptions!$B$5</f>
        <v>433.76979626129</v>
      </c>
      <c r="H15" s="8" t="n">
        <f aca="false">IF(D15&gt;0,G15/D15,"")</f>
        <v>11.1223024682382</v>
      </c>
      <c r="I15" s="9" t="n">
        <f aca="false">IF(G15&gt;0,F15*Load_Model_Assumptions!$B$5/G15,"")</f>
        <v>0.428268168651806</v>
      </c>
    </row>
    <row r="16" customFormat="false" ht="15" hidden="false" customHeight="false" outlineLevel="0" collapsed="false">
      <c r="A16" s="2" t="s">
        <v>39</v>
      </c>
      <c r="B16" s="2" t="s">
        <v>29</v>
      </c>
      <c r="C16" s="2" t="n">
        <v>5</v>
      </c>
      <c r="D16" s="2" t="n">
        <v>41</v>
      </c>
      <c r="E16" s="2" t="n">
        <v>244</v>
      </c>
      <c r="F16" s="2" t="n">
        <v>699</v>
      </c>
      <c r="G16" s="7" t="n">
        <f aca="false">E16*Load_Model_Assumptions!$B$6+F16*Load_Model_Assumptions!$B$5</f>
        <v>423.851921865154</v>
      </c>
      <c r="H16" s="8" t="n">
        <f aca="false">IF(D16&gt;0,G16/D16,"")</f>
        <v>10.3378517528086</v>
      </c>
      <c r="I16" s="9" t="n">
        <f aca="false">IF(G16&gt;0,F16*Load_Model_Assumptions!$B$5/G16,"")</f>
        <v>0.424327253427845</v>
      </c>
    </row>
    <row r="17" customFormat="false" ht="15" hidden="false" customHeight="false" outlineLevel="0" collapsed="false">
      <c r="A17" s="2" t="s">
        <v>40</v>
      </c>
      <c r="B17" s="2" t="s">
        <v>29</v>
      </c>
      <c r="C17" s="2" t="n">
        <v>5</v>
      </c>
      <c r="D17" s="2" t="n">
        <v>44</v>
      </c>
      <c r="E17" s="2" t="n">
        <v>270</v>
      </c>
      <c r="F17" s="2" t="n">
        <v>581</v>
      </c>
      <c r="G17" s="7" t="n">
        <f aca="false">E17*Load_Model_Assumptions!$B$6+F17*Load_Model_Assumptions!$B$5</f>
        <v>419.490653224113</v>
      </c>
      <c r="H17" s="8" t="n">
        <f aca="false">IF(D17&gt;0,G17/D17,"")</f>
        <v>9.5338784823662</v>
      </c>
      <c r="I17" s="9" t="n">
        <f aca="false">IF(G17&gt;0,F17*Load_Model_Assumptions!$B$5/G17,"")</f>
        <v>0.356362298123118</v>
      </c>
    </row>
    <row r="18" customFormat="false" ht="15" hidden="false" customHeight="false" outlineLevel="0" collapsed="false">
      <c r="A18" s="2" t="s">
        <v>41</v>
      </c>
      <c r="B18" s="2" t="s">
        <v>24</v>
      </c>
      <c r="C18" s="2" t="n">
        <v>3</v>
      </c>
      <c r="D18" s="2" t="n">
        <v>32</v>
      </c>
      <c r="E18" s="2" t="n">
        <v>215</v>
      </c>
      <c r="F18" s="2" t="n">
        <v>751</v>
      </c>
      <c r="G18" s="7" t="n">
        <f aca="false">E18*Load_Model_Assumptions!$B$6+F18*Load_Model_Assumptions!$B$5</f>
        <v>408.231463978156</v>
      </c>
      <c r="H18" s="8" t="n">
        <f aca="false">IF(D18&gt;0,G18/D18,"")</f>
        <v>12.7572332493174</v>
      </c>
      <c r="I18" s="9" t="n">
        <f aca="false">IF(G18&gt;0,F18*Load_Model_Assumptions!$B$5/G18,"")</f>
        <v>0.47333799824037</v>
      </c>
    </row>
    <row r="19" customFormat="false" ht="15" hidden="false" customHeight="false" outlineLevel="0" collapsed="false">
      <c r="A19" s="2" t="s">
        <v>42</v>
      </c>
      <c r="B19" s="2" t="s">
        <v>24</v>
      </c>
      <c r="C19" s="2" t="n">
        <v>5</v>
      </c>
      <c r="D19" s="2" t="n">
        <v>40</v>
      </c>
      <c r="E19" s="2" t="n">
        <v>196</v>
      </c>
      <c r="F19" s="2" t="n">
        <v>659</v>
      </c>
      <c r="G19" s="7" t="n">
        <f aca="false">E19*Load_Model_Assumptions!$B$6+F19*Load_Model_Assumptions!$B$5</f>
        <v>365.559966393615</v>
      </c>
      <c r="H19" s="8" t="n">
        <f aca="false">IF(D19&gt;0,G19/D19,"")</f>
        <v>9.13899915984037</v>
      </c>
      <c r="I19" s="9" t="n">
        <f aca="false">IF(G19&gt;0,F19*Load_Model_Assumptions!$B$5/G19,"")</f>
        <v>0.46383625665137</v>
      </c>
    </row>
    <row r="20" customFormat="false" ht="15" hidden="false" customHeight="false" outlineLevel="0" collapsed="false">
      <c r="A20" s="2" t="s">
        <v>43</v>
      </c>
      <c r="B20" s="2" t="s">
        <v>29</v>
      </c>
      <c r="C20" s="2" t="n">
        <v>4</v>
      </c>
      <c r="D20" s="2" t="n">
        <v>40</v>
      </c>
      <c r="E20" s="2" t="n">
        <v>165</v>
      </c>
      <c r="F20" s="2" t="n">
        <v>762</v>
      </c>
      <c r="G20" s="7" t="n">
        <f aca="false">E20*Load_Model_Assumptions!$B$6+F20*Load_Model_Assumptions!$B$5</f>
        <v>361.061751732829</v>
      </c>
      <c r="H20" s="8" t="n">
        <f aca="false">IF(D20&gt;0,G20/D20,"")</f>
        <v>9.02654379332073</v>
      </c>
      <c r="I20" s="9" t="n">
        <f aca="false">IF(G20&gt;0,F20*Load_Model_Assumptions!$B$5/G20,"")</f>
        <v>0.543014458861616</v>
      </c>
    </row>
    <row r="21" customFormat="false" ht="15" hidden="false" customHeight="false" outlineLevel="0" collapsed="false">
      <c r="A21" s="2" t="s">
        <v>44</v>
      </c>
      <c r="B21" s="2" t="s">
        <v>24</v>
      </c>
      <c r="C21" s="2" t="n">
        <v>3</v>
      </c>
      <c r="D21" s="2" t="n">
        <v>28</v>
      </c>
      <c r="E21" s="2" t="n">
        <v>172</v>
      </c>
      <c r="F21" s="2" t="n">
        <v>719</v>
      </c>
      <c r="G21" s="7" t="n">
        <f aca="false">E21*Load_Model_Assumptions!$B$6+F21*Load_Model_Assumptions!$B$5</f>
        <v>356.997899600924</v>
      </c>
      <c r="H21" s="8" t="n">
        <f aca="false">IF(D21&gt;0,G21/D21,"")</f>
        <v>12.7499249857473</v>
      </c>
      <c r="I21" s="9" t="n">
        <f aca="false">IF(G21&gt;0,F21*Load_Model_Assumptions!$B$5/G21,"")</f>
        <v>0.518204448283105</v>
      </c>
    </row>
    <row r="22" customFormat="false" ht="15" hidden="false" customHeight="false" outlineLevel="0" collapsed="false">
      <c r="A22" s="2" t="s">
        <v>45</v>
      </c>
      <c r="B22" s="2" t="s">
        <v>29</v>
      </c>
      <c r="C22" s="2" t="n">
        <v>4</v>
      </c>
      <c r="D22" s="2" t="n">
        <v>34</v>
      </c>
      <c r="E22" s="2" t="n">
        <v>179</v>
      </c>
      <c r="F22" s="2" t="n">
        <v>689</v>
      </c>
      <c r="G22" s="7" t="n">
        <f aca="false">E22*Load_Model_Assumptions!$B$6+F22*Load_Model_Assumptions!$B$5</f>
        <v>356.27893299727</v>
      </c>
      <c r="H22" s="8" t="n">
        <f aca="false">IF(D22&gt;0,G22/D22,"")</f>
        <v>10.4787921469785</v>
      </c>
      <c r="I22" s="9" t="n">
        <f aca="false">IF(G22&gt;0,F22*Load_Model_Assumptions!$B$5/G22,"")</f>
        <v>0.497584663527181</v>
      </c>
    </row>
    <row r="23" customFormat="false" ht="15" hidden="false" customHeight="false" outlineLevel="0" collapsed="false">
      <c r="A23" s="2" t="s">
        <v>46</v>
      </c>
      <c r="B23" s="2" t="s">
        <v>29</v>
      </c>
      <c r="C23" s="2" t="n">
        <v>5</v>
      </c>
      <c r="D23" s="2" t="n">
        <v>51</v>
      </c>
      <c r="E23" s="2" t="n">
        <v>121</v>
      </c>
      <c r="F23" s="2" t="n">
        <v>911</v>
      </c>
      <c r="G23" s="7" t="n">
        <f aca="false">E23*Load_Model_Assumptions!$B$6+F23*Load_Model_Assumptions!$B$5</f>
        <v>355.399285864314</v>
      </c>
      <c r="H23" s="8" t="n">
        <f aca="false">IF(D23&gt;0,G23/D23,"")</f>
        <v>6.96861344831989</v>
      </c>
      <c r="I23" s="9" t="n">
        <f aca="false">IF(G23&gt;0,F23*Load_Model_Assumptions!$B$5/G23,"")</f>
        <v>0.659537863995045</v>
      </c>
    </row>
    <row r="24" customFormat="false" ht="15" hidden="false" customHeight="false" outlineLevel="0" collapsed="false">
      <c r="A24" s="2" t="s">
        <v>47</v>
      </c>
      <c r="B24" s="2" t="s">
        <v>29</v>
      </c>
      <c r="C24" s="2" t="n">
        <v>4</v>
      </c>
      <c r="D24" s="2" t="n">
        <v>42</v>
      </c>
      <c r="E24" s="2" t="n">
        <v>215</v>
      </c>
      <c r="F24" s="2" t="n">
        <v>543</v>
      </c>
      <c r="G24" s="7" t="n">
        <f aca="false">E24*Load_Model_Assumptions!$B$6+F24*Load_Model_Assumptions!$B$5</f>
        <v>354.71329552615</v>
      </c>
      <c r="H24" s="8" t="n">
        <f aca="false">IF(D24&gt;0,G24/D24,"")</f>
        <v>8.44555465538452</v>
      </c>
      <c r="I24" s="9" t="n">
        <f aca="false">IF(G24&gt;0,F24*Load_Model_Assumptions!$B$5/G24,"")</f>
        <v>0.393876680937239</v>
      </c>
    </row>
    <row r="25" customFormat="false" ht="15" hidden="false" customHeight="false" outlineLevel="0" collapsed="false">
      <c r="A25" s="2" t="s">
        <v>48</v>
      </c>
      <c r="B25" s="2" t="s">
        <v>29</v>
      </c>
      <c r="C25" s="2" t="n">
        <v>5</v>
      </c>
      <c r="D25" s="2" t="n">
        <v>44</v>
      </c>
      <c r="E25" s="2" t="n">
        <v>176</v>
      </c>
      <c r="F25" s="2" t="n">
        <v>670</v>
      </c>
      <c r="G25" s="7" t="n">
        <f aca="false">E25*Load_Model_Assumptions!$B$6+F25*Load_Model_Assumptions!$B$5</f>
        <v>348.390254148288</v>
      </c>
      <c r="H25" s="8" t="n">
        <f aca="false">IF(D25&gt;0,G25/D25,"")</f>
        <v>7.917960321552</v>
      </c>
      <c r="I25" s="9" t="n">
        <f aca="false">IF(G25&gt;0,F25*Load_Model_Assumptions!$B$5/G25,"")</f>
        <v>0.494819393182314</v>
      </c>
    </row>
    <row r="26" customFormat="false" ht="15" hidden="false" customHeight="false" outlineLevel="0" collapsed="false">
      <c r="A26" s="2" t="s">
        <v>49</v>
      </c>
      <c r="B26" s="2" t="s">
        <v>29</v>
      </c>
      <c r="C26" s="2" t="n">
        <v>5</v>
      </c>
      <c r="D26" s="2" t="n">
        <v>52</v>
      </c>
      <c r="E26" s="2" t="n">
        <v>170</v>
      </c>
      <c r="F26" s="2" t="n">
        <v>684</v>
      </c>
      <c r="G26" s="7" t="n">
        <f aca="false">E26*Load_Model_Assumptions!$B$6+F26*Load_Model_Assumptions!$B$5</f>
        <v>345.992438563327</v>
      </c>
      <c r="H26" s="8" t="n">
        <f aca="false">IF(D26&gt;0,G26/D26,"")</f>
        <v>6.65370074160244</v>
      </c>
      <c r="I26" s="9" t="n">
        <f aca="false">IF(G26&gt;0,F26*Load_Model_Assumptions!$B$5/G26,"")</f>
        <v>0.508659782549309</v>
      </c>
    </row>
    <row r="27" customFormat="false" ht="15" hidden="false" customHeight="false" outlineLevel="0" collapsed="false">
      <c r="A27" s="2" t="s">
        <v>50</v>
      </c>
      <c r="B27" s="2" t="s">
        <v>24</v>
      </c>
      <c r="C27" s="2" t="n">
        <v>4</v>
      </c>
      <c r="D27" s="2" t="n">
        <v>28</v>
      </c>
      <c r="E27" s="2" t="n">
        <v>204</v>
      </c>
      <c r="F27" s="2" t="n">
        <v>447</v>
      </c>
      <c r="G27" s="7" t="n">
        <f aca="false">E27*Load_Model_Assumptions!$B$6+F27*Load_Model_Assumptions!$B$5</f>
        <v>319.012602394455</v>
      </c>
      <c r="H27" s="8" t="n">
        <f aca="false">IF(D27&gt;0,G27/D27,"")</f>
        <v>11.3933072283734</v>
      </c>
      <c r="I27" s="9" t="n">
        <f aca="false">IF(G27&gt;0,F27*Load_Model_Assumptions!$B$5/G27,"")</f>
        <v>0.360526830385978</v>
      </c>
    </row>
    <row r="28" customFormat="false" ht="15" hidden="false" customHeight="false" outlineLevel="0" collapsed="false">
      <c r="A28" s="2" t="s">
        <v>51</v>
      </c>
      <c r="B28" s="2" t="s">
        <v>24</v>
      </c>
      <c r="C28" s="2" t="n">
        <v>3</v>
      </c>
      <c r="D28" s="2" t="n">
        <v>28</v>
      </c>
      <c r="E28" s="2" t="n">
        <v>115</v>
      </c>
      <c r="F28" s="2" t="n">
        <v>790</v>
      </c>
      <c r="G28" s="7" t="n">
        <f aca="false">E28*Load_Model_Assumptions!$B$6+F28*Load_Model_Assumptions!$B$5</f>
        <v>318.266120562907</v>
      </c>
      <c r="H28" s="8" t="n">
        <f aca="false">IF(D28&gt;0,G28/D28,"")</f>
        <v>11.366647162961</v>
      </c>
      <c r="I28" s="9" t="n">
        <f aca="false">IF(G28&gt;0,F28*Load_Model_Assumptions!$B$5/G28,"")</f>
        <v>0.638667163829429</v>
      </c>
    </row>
    <row r="29" customFormat="false" ht="15" hidden="false" customHeight="false" outlineLevel="0" collapsed="false">
      <c r="A29" s="2" t="s">
        <v>52</v>
      </c>
      <c r="B29" s="2" t="s">
        <v>29</v>
      </c>
      <c r="C29" s="2" t="n">
        <v>5</v>
      </c>
      <c r="D29" s="2" t="n">
        <v>51</v>
      </c>
      <c r="E29" s="2" t="n">
        <v>145</v>
      </c>
      <c r="F29" s="2" t="n">
        <v>671</v>
      </c>
      <c r="G29" s="7" t="n">
        <f aca="false">E29*Load_Model_Assumptions!$B$6+F29*Load_Model_Assumptions!$B$5</f>
        <v>317.647553035077</v>
      </c>
      <c r="H29" s="8" t="n">
        <f aca="false">IF(D29&gt;0,G29/D29,"")</f>
        <v>6.22838339284464</v>
      </c>
      <c r="I29" s="9" t="n">
        <f aca="false">IF(G29&gt;0,F29*Load_Model_Assumptions!$B$5/G29,"")</f>
        <v>0.543519228734659</v>
      </c>
    </row>
    <row r="30" customFormat="false" ht="15" hidden="false" customHeight="false" outlineLevel="0" collapsed="false">
      <c r="A30" s="2" t="s">
        <v>53</v>
      </c>
      <c r="B30" s="2" t="s">
        <v>24</v>
      </c>
      <c r="C30" s="2" t="n">
        <v>3</v>
      </c>
      <c r="D30" s="2" t="n">
        <v>22</v>
      </c>
      <c r="E30" s="2" t="n">
        <v>154</v>
      </c>
      <c r="F30" s="2" t="n">
        <v>634</v>
      </c>
      <c r="G30" s="7" t="n">
        <f aca="false">E30*Load_Model_Assumptions!$B$6+F30*Load_Model_Assumptions!$B$5</f>
        <v>317.127494223903</v>
      </c>
      <c r="H30" s="8" t="n">
        <f aca="false">IF(D30&gt;0,G30/D30,"")</f>
        <v>14.4148861010865</v>
      </c>
      <c r="I30" s="9" t="n">
        <f aca="false">IF(G30&gt;0,F30*Load_Model_Assumptions!$B$5/G30,"")</f>
        <v>0.514390890714537</v>
      </c>
    </row>
    <row r="31" customFormat="false" ht="15" hidden="false" customHeight="false" outlineLevel="0" collapsed="false">
      <c r="A31" s="2" t="s">
        <v>54</v>
      </c>
      <c r="B31" s="2" t="s">
        <v>24</v>
      </c>
      <c r="C31" s="2" t="n">
        <v>4</v>
      </c>
      <c r="D31" s="2" t="n">
        <v>31</v>
      </c>
      <c r="E31" s="2" t="n">
        <v>124</v>
      </c>
      <c r="F31" s="2" t="n">
        <v>745</v>
      </c>
      <c r="G31" s="7" t="n">
        <f aca="false">E31*Load_Model_Assumptions!$B$6+F31*Load_Model_Assumptions!$B$5</f>
        <v>315.687670657425</v>
      </c>
      <c r="H31" s="8" t="n">
        <f aca="false">IF(D31&gt;0,G31/D31,"")</f>
        <v>10.1834732470137</v>
      </c>
      <c r="I31" s="9" t="n">
        <f aca="false">IF(G31&gt;0,F31*Load_Model_Assumptions!$B$5/G31,"")</f>
        <v>0.607206706103638</v>
      </c>
    </row>
    <row r="32" customFormat="false" ht="15" hidden="false" customHeight="false" outlineLevel="0" collapsed="false">
      <c r="A32" s="2" t="s">
        <v>55</v>
      </c>
      <c r="B32" s="2" t="s">
        <v>29</v>
      </c>
      <c r="C32" s="2" t="n">
        <v>3</v>
      </c>
      <c r="D32" s="2" t="n">
        <v>30</v>
      </c>
      <c r="E32" s="2" t="n">
        <v>159</v>
      </c>
      <c r="F32" s="2" t="n">
        <v>595</v>
      </c>
      <c r="G32" s="7" t="n">
        <f aca="false">E32*Load_Model_Assumptions!$B$6+F32*Load_Model_Assumptions!$B$5</f>
        <v>312.092837639151</v>
      </c>
      <c r="H32" s="8" t="n">
        <f aca="false">IF(D32&gt;0,G32/D32,"")</f>
        <v>10.4030945879717</v>
      </c>
      <c r="I32" s="9" t="n">
        <f aca="false">IF(G32&gt;0,F32*Load_Model_Assumptions!$B$5/G32,"")</f>
        <v>0.490536209665153</v>
      </c>
    </row>
    <row r="33" customFormat="false" ht="15" hidden="false" customHeight="false" outlineLevel="0" collapsed="false">
      <c r="A33" s="2" t="s">
        <v>56</v>
      </c>
      <c r="B33" s="2" t="s">
        <v>24</v>
      </c>
      <c r="C33" s="2" t="n">
        <v>2</v>
      </c>
      <c r="D33" s="2" t="n">
        <v>20</v>
      </c>
      <c r="E33" s="2" t="n">
        <v>146</v>
      </c>
      <c r="F33" s="2" t="n">
        <v>574</v>
      </c>
      <c r="G33" s="7" t="n">
        <f aca="false">E33*Load_Model_Assumptions!$B$6+F33*Load_Model_Assumptions!$B$5</f>
        <v>293.689561016593</v>
      </c>
      <c r="H33" s="8" t="n">
        <f aca="false">IF(D33&gt;0,G33/D33,"")</f>
        <v>14.6844780508297</v>
      </c>
      <c r="I33" s="9" t="n">
        <f aca="false">IF(G33&gt;0,F33*Load_Model_Assumptions!$B$5/G33,"")</f>
        <v>0.502876440365713</v>
      </c>
    </row>
    <row r="34" customFormat="false" ht="15" hidden="false" customHeight="false" outlineLevel="0" collapsed="false">
      <c r="A34" s="2" t="s">
        <v>57</v>
      </c>
      <c r="B34" s="2" t="s">
        <v>24</v>
      </c>
      <c r="C34" s="2" t="n">
        <v>3</v>
      </c>
      <c r="D34" s="2" t="n">
        <v>29</v>
      </c>
      <c r="E34" s="2" t="n">
        <v>116</v>
      </c>
      <c r="F34" s="2" t="n">
        <v>690</v>
      </c>
      <c r="G34" s="7" t="n">
        <f aca="false">E34*Load_Model_Assumptions!$B$6+F34*Load_Model_Assumptions!$B$5</f>
        <v>293.536231884058</v>
      </c>
      <c r="H34" s="8" t="n">
        <f aca="false">IF(D34&gt;0,G34/D34,"")</f>
        <v>10.1219390304848</v>
      </c>
      <c r="I34" s="9" t="n">
        <f aca="false">IF(G34&gt;0,F34*Load_Model_Assumptions!$B$5/G34,"")</f>
        <v>0.60481880122445</v>
      </c>
    </row>
    <row r="35" customFormat="false" ht="15" hidden="false" customHeight="false" outlineLevel="0" collapsed="false">
      <c r="A35" s="2" t="s">
        <v>58</v>
      </c>
      <c r="B35" s="2" t="s">
        <v>29</v>
      </c>
      <c r="C35" s="2" t="n">
        <v>5</v>
      </c>
      <c r="D35" s="2" t="n">
        <v>37</v>
      </c>
      <c r="E35" s="2" t="n">
        <v>174</v>
      </c>
      <c r="F35" s="2" t="n">
        <v>453</v>
      </c>
      <c r="G35" s="7" t="n">
        <f aca="false">E35*Load_Model_Assumptions!$B$6+F35*Load_Model_Assumptions!$B$5</f>
        <v>290.556395715186</v>
      </c>
      <c r="H35" s="8" t="n">
        <f aca="false">IF(D35&gt;0,G35/D35,"")</f>
        <v>7.85287555986989</v>
      </c>
      <c r="I35" s="9" t="n">
        <f aca="false">IF(G35&gt;0,F35*Load_Model_Assumptions!$B$5/G35,"")</f>
        <v>0.401148959148842</v>
      </c>
    </row>
    <row r="36" customFormat="false" ht="15" hidden="false" customHeight="false" outlineLevel="0" collapsed="false">
      <c r="A36" s="2" t="s">
        <v>59</v>
      </c>
      <c r="B36" s="2" t="s">
        <v>29</v>
      </c>
      <c r="C36" s="2" t="n">
        <v>4</v>
      </c>
      <c r="D36" s="2" t="n">
        <v>36</v>
      </c>
      <c r="E36" s="2" t="n">
        <v>156</v>
      </c>
      <c r="F36" s="2" t="n">
        <v>521</v>
      </c>
      <c r="G36" s="7" t="n">
        <f aca="false">E36*Load_Model_Assumptions!$B$6+F36*Load_Model_Assumptions!$B$5</f>
        <v>290.052720016803</v>
      </c>
      <c r="H36" s="8" t="n">
        <f aca="false">IF(D36&gt;0,G36/D36,"")</f>
        <v>8.05702000046676</v>
      </c>
      <c r="I36" s="9" t="n">
        <f aca="false">IF(G36&gt;0,F36*Load_Model_Assumptions!$B$5/G36,"")</f>
        <v>0.462166739925891</v>
      </c>
    </row>
    <row r="37" customFormat="false" ht="15" hidden="false" customHeight="false" outlineLevel="0" collapsed="false">
      <c r="A37" s="2" t="s">
        <v>60</v>
      </c>
      <c r="B37" s="2" t="s">
        <v>29</v>
      </c>
      <c r="C37" s="2" t="n">
        <v>3</v>
      </c>
      <c r="D37" s="2" t="n">
        <v>32</v>
      </c>
      <c r="E37" s="2" t="n">
        <v>149</v>
      </c>
      <c r="F37" s="2" t="n">
        <v>529</v>
      </c>
      <c r="G37" s="7" t="n">
        <f aca="false">E37*Load_Model_Assumptions!$B$6+F37*Load_Model_Assumptions!$B$5</f>
        <v>285.111111111111</v>
      </c>
      <c r="H37" s="8" t="n">
        <f aca="false">IF(D37&gt;0,G37/D37,"")</f>
        <v>8.90972222222222</v>
      </c>
      <c r="I37" s="9" t="n">
        <f aca="false">IF(G37&gt;0,F37*Load_Model_Assumptions!$B$5/G37,"")</f>
        <v>0.477396726422447</v>
      </c>
    </row>
    <row r="38" customFormat="false" ht="15" hidden="false" customHeight="false" outlineLevel="0" collapsed="false">
      <c r="A38" s="2" t="s">
        <v>61</v>
      </c>
      <c r="B38" s="2" t="s">
        <v>24</v>
      </c>
      <c r="C38" s="2" t="n">
        <v>2</v>
      </c>
      <c r="D38" s="2" t="n">
        <v>20</v>
      </c>
      <c r="E38" s="2" t="n">
        <v>139</v>
      </c>
      <c r="F38" s="2" t="n">
        <v>560</v>
      </c>
      <c r="G38" s="7" t="n">
        <f aca="false">E38*Load_Model_Assumptions!$B$6+F38*Load_Model_Assumptions!$B$5</f>
        <v>283.087376601554</v>
      </c>
      <c r="H38" s="8" t="n">
        <f aca="false">IF(D38&gt;0,G38/D38,"")</f>
        <v>14.1543688300777</v>
      </c>
      <c r="I38" s="9" t="n">
        <f aca="false">IF(G38&gt;0,F38*Load_Model_Assumptions!$B$5/G38,"")</f>
        <v>0.508985523591034</v>
      </c>
    </row>
    <row r="39" customFormat="false" ht="15" hidden="false" customHeight="false" outlineLevel="0" collapsed="false">
      <c r="A39" s="2" t="s">
        <v>62</v>
      </c>
      <c r="B39" s="2" t="s">
        <v>24</v>
      </c>
      <c r="C39" s="2" t="n">
        <v>3</v>
      </c>
      <c r="D39" s="2" t="n">
        <v>22</v>
      </c>
      <c r="E39" s="2" t="n">
        <v>149</v>
      </c>
      <c r="F39" s="2" t="n">
        <v>506</v>
      </c>
      <c r="G39" s="7" t="n">
        <f aca="false">E39*Load_Model_Assumptions!$B$6+F39*Load_Model_Assumptions!$B$5</f>
        <v>279.193236714976</v>
      </c>
      <c r="H39" s="8" t="n">
        <f aca="false">IF(D39&gt;0,G39/D39,"")</f>
        <v>12.6906016688625</v>
      </c>
      <c r="I39" s="9" t="n">
        <f aca="false">IF(G39&gt;0,F39*Load_Model_Assumptions!$B$5/G39,"")</f>
        <v>0.466319450452477</v>
      </c>
    </row>
    <row r="40" customFormat="false" ht="15" hidden="false" customHeight="false" outlineLevel="0" collapsed="false">
      <c r="A40" s="2" t="s">
        <v>63</v>
      </c>
      <c r="B40" s="2" t="s">
        <v>24</v>
      </c>
      <c r="C40" s="2" t="n">
        <v>3</v>
      </c>
      <c r="D40" s="2" t="n">
        <v>32</v>
      </c>
      <c r="E40" s="2" t="n">
        <v>126</v>
      </c>
      <c r="F40" s="2" t="n">
        <v>580</v>
      </c>
      <c r="G40" s="7" t="n">
        <f aca="false">E40*Load_Model_Assumptions!$B$6+F40*Load_Model_Assumptions!$B$5</f>
        <v>275.233354337324</v>
      </c>
      <c r="H40" s="8" t="n">
        <f aca="false">IF(D40&gt;0,G40/D40,"")</f>
        <v>8.60104232304138</v>
      </c>
      <c r="I40" s="9" t="n">
        <f aca="false">IF(G40&gt;0,F40*Load_Model_Assumptions!$B$5/G40,"")</f>
        <v>0.542206647506918</v>
      </c>
    </row>
    <row r="41" customFormat="false" ht="15" hidden="false" customHeight="false" outlineLevel="0" collapsed="false">
      <c r="A41" s="2" t="s">
        <v>64</v>
      </c>
      <c r="B41" s="2" t="s">
        <v>24</v>
      </c>
      <c r="C41" s="2" t="n">
        <v>3</v>
      </c>
      <c r="D41" s="2" t="n">
        <v>25</v>
      </c>
      <c r="E41" s="2" t="n">
        <v>134</v>
      </c>
      <c r="F41" s="2" t="n">
        <v>536</v>
      </c>
      <c r="G41" s="7" t="n">
        <f aca="false">E41*Load_Model_Assumptions!$B$6+F41*Load_Model_Assumptions!$B$5</f>
        <v>271.912203318631</v>
      </c>
      <c r="H41" s="8" t="n">
        <f aca="false">IF(D41&gt;0,G41/D41,"")</f>
        <v>10.8764881327452</v>
      </c>
      <c r="I41" s="9" t="n">
        <f aca="false">IF(G41&gt;0,F41*Load_Model_Assumptions!$B$5/G41,"")</f>
        <v>0.507193872269952</v>
      </c>
    </row>
    <row r="42" customFormat="false" ht="15" hidden="false" customHeight="false" outlineLevel="0" collapsed="false">
      <c r="A42" s="2" t="s">
        <v>65</v>
      </c>
      <c r="B42" s="2" t="s">
        <v>24</v>
      </c>
      <c r="C42" s="2" t="n">
        <v>2</v>
      </c>
      <c r="D42" s="2" t="n">
        <v>22</v>
      </c>
      <c r="E42" s="2" t="n">
        <v>132</v>
      </c>
      <c r="F42" s="2" t="n">
        <v>527</v>
      </c>
      <c r="G42" s="7" t="n">
        <f aca="false">E42*Load_Model_Assumptions!$B$6+F42*Load_Model_Assumptions!$B$5</f>
        <v>267.596513337534</v>
      </c>
      <c r="H42" s="8" t="n">
        <f aca="false">IF(D42&gt;0,G42/D42,"")</f>
        <v>12.1634778789788</v>
      </c>
      <c r="I42" s="9" t="n">
        <f aca="false">IF(G42&gt;0,F42*Load_Model_Assumptions!$B$5/G42,"")</f>
        <v>0.506720030266235</v>
      </c>
    </row>
    <row r="43" customFormat="false" ht="15" hidden="false" customHeight="false" outlineLevel="0" collapsed="false">
      <c r="A43" s="2" t="s">
        <v>66</v>
      </c>
      <c r="B43" s="2" t="s">
        <v>29</v>
      </c>
      <c r="C43" s="2" t="n">
        <v>5</v>
      </c>
      <c r="D43" s="2" t="n">
        <v>47</v>
      </c>
      <c r="E43" s="2" t="n">
        <v>140</v>
      </c>
      <c r="F43" s="2" t="n">
        <v>490</v>
      </c>
      <c r="G43" s="7" t="n">
        <f aca="false">E43*Load_Model_Assumptions!$B$6+F43*Load_Model_Assumptions!$B$5</f>
        <v>266.07645452636</v>
      </c>
      <c r="H43" s="8" t="n">
        <f aca="false">IF(D43&gt;0,G43/D43,"")</f>
        <v>5.66120116013532</v>
      </c>
      <c r="I43" s="9" t="n">
        <f aca="false">IF(G43&gt;0,F43*Load_Model_Assumptions!$B$5/G43,"")</f>
        <v>0.473835442338509</v>
      </c>
    </row>
    <row r="44" customFormat="false" ht="15" hidden="false" customHeight="false" outlineLevel="0" collapsed="false">
      <c r="A44" s="2" t="s">
        <v>67</v>
      </c>
      <c r="B44" s="2" t="s">
        <v>29</v>
      </c>
      <c r="C44" s="2" t="n">
        <v>4</v>
      </c>
      <c r="D44" s="2" t="n">
        <v>29</v>
      </c>
      <c r="E44" s="2" t="n">
        <v>147</v>
      </c>
      <c r="F44" s="2" t="n">
        <v>452</v>
      </c>
      <c r="G44" s="7" t="n">
        <f aca="false">E44*Load_Model_Assumptions!$B$6+F44*Load_Model_Assumptions!$B$5</f>
        <v>263.299096828397</v>
      </c>
      <c r="H44" s="8" t="n">
        <f aca="false">IF(D44&gt;0,G44/D44,"")</f>
        <v>9.07927920097922</v>
      </c>
      <c r="I44" s="9" t="n">
        <f aca="false">IF(G44&gt;0,F44*Load_Model_Assumptions!$B$5/G44,"")</f>
        <v>0.441699566118125</v>
      </c>
    </row>
    <row r="45" customFormat="false" ht="15" hidden="false" customHeight="false" outlineLevel="0" collapsed="false">
      <c r="A45" s="2" t="s">
        <v>68</v>
      </c>
      <c r="B45" s="2" t="s">
        <v>24</v>
      </c>
      <c r="C45" s="2" t="n">
        <v>4</v>
      </c>
      <c r="D45" s="2" t="n">
        <v>27</v>
      </c>
      <c r="E45" s="2" t="n">
        <v>101</v>
      </c>
      <c r="F45" s="2" t="n">
        <v>619</v>
      </c>
      <c r="G45" s="7" t="n">
        <f aca="false">E45*Load_Model_Assumptions!$B$6+F45*Load_Model_Assumptions!$B$5</f>
        <v>260.268010922075</v>
      </c>
      <c r="H45" s="8" t="n">
        <f aca="false">IF(D45&gt;0,G45/D45,"")</f>
        <v>9.63955596007686</v>
      </c>
      <c r="I45" s="9" t="n">
        <f aca="false">IF(G45&gt;0,F45*Load_Model_Assumptions!$B$5/G45,"")</f>
        <v>0.611938479714898</v>
      </c>
    </row>
    <row r="46" customFormat="false" ht="15" hidden="false" customHeight="false" outlineLevel="0" collapsed="false">
      <c r="A46" s="2" t="s">
        <v>69</v>
      </c>
      <c r="B46" s="2" t="s">
        <v>24</v>
      </c>
      <c r="C46" s="2" t="n">
        <v>3</v>
      </c>
      <c r="D46" s="2" t="n">
        <v>24</v>
      </c>
      <c r="E46" s="2" t="n">
        <v>126</v>
      </c>
      <c r="F46" s="2" t="n">
        <v>513</v>
      </c>
      <c r="G46" s="7" t="n">
        <f aca="false">E46*Load_Model_Assumptions!$B$6+F46*Load_Model_Assumptions!$B$5</f>
        <v>257.994328922495</v>
      </c>
      <c r="H46" s="8" t="n">
        <f aca="false">IF(D46&gt;0,G46/D46,"")</f>
        <v>10.749763705104</v>
      </c>
      <c r="I46" s="9" t="n">
        <f aca="false">IF(G46&gt;0,F46*Load_Model_Assumptions!$B$5/G46,"")</f>
        <v>0.511617171872596</v>
      </c>
    </row>
    <row r="47" customFormat="false" ht="15" hidden="false" customHeight="false" outlineLevel="0" collapsed="false">
      <c r="A47" s="2" t="s">
        <v>70</v>
      </c>
      <c r="B47" s="2" t="s">
        <v>29</v>
      </c>
      <c r="C47" s="2" t="n">
        <v>4</v>
      </c>
      <c r="D47" s="2" t="n">
        <v>27</v>
      </c>
      <c r="E47" s="2" t="n">
        <v>128</v>
      </c>
      <c r="F47" s="2" t="n">
        <v>474</v>
      </c>
      <c r="G47" s="7" t="n">
        <f aca="false">E47*Load_Model_Assumptions!$B$6+F47*Load_Model_Assumptions!$B$5</f>
        <v>249.959672337744</v>
      </c>
      <c r="H47" s="8" t="n">
        <f aca="false">IF(D47&gt;0,G47/D47,"")</f>
        <v>9.25776564213867</v>
      </c>
      <c r="I47" s="9" t="n">
        <f aca="false">IF(G47&gt;0,F47*Load_Model_Assumptions!$B$5/G47,"")</f>
        <v>0.487917395622734</v>
      </c>
    </row>
    <row r="48" customFormat="false" ht="15" hidden="false" customHeight="false" outlineLevel="0" collapsed="false">
      <c r="A48" s="2" t="s">
        <v>71</v>
      </c>
      <c r="B48" s="2" t="s">
        <v>24</v>
      </c>
      <c r="C48" s="2" t="n">
        <v>3</v>
      </c>
      <c r="D48" s="2" t="n">
        <v>27</v>
      </c>
      <c r="E48" s="2" t="n">
        <v>130</v>
      </c>
      <c r="F48" s="2" t="n">
        <v>459</v>
      </c>
      <c r="G48" s="7" t="n">
        <f aca="false">E48*Load_Model_Assumptions!$B$6+F48*Load_Model_Assumptions!$B$5</f>
        <v>248.100189035917</v>
      </c>
      <c r="H48" s="8" t="n">
        <f aca="false">IF(D48&gt;0,G48/D48,"")</f>
        <v>9.18889589021914</v>
      </c>
      <c r="I48" s="9" t="n">
        <f aca="false">IF(G48&gt;0,F48*Load_Model_Assumptions!$B$5/G48,"")</f>
        <v>0.476018134024153</v>
      </c>
    </row>
    <row r="49" customFormat="false" ht="15" hidden="false" customHeight="false" outlineLevel="0" collapsed="false">
      <c r="A49" s="2" t="s">
        <v>72</v>
      </c>
      <c r="B49" s="2" t="s">
        <v>29</v>
      </c>
      <c r="C49" s="2" t="n">
        <v>3</v>
      </c>
      <c r="D49" s="2" t="n">
        <v>26</v>
      </c>
      <c r="E49" s="2" t="n">
        <v>138</v>
      </c>
      <c r="F49" s="2" t="n">
        <v>422</v>
      </c>
      <c r="G49" s="7" t="n">
        <f aca="false">E49*Load_Model_Assumptions!$B$6+F49*Load_Model_Assumptions!$B$5</f>
        <v>246.580130224743</v>
      </c>
      <c r="H49" s="8" t="n">
        <f aca="false">IF(D49&gt;0,G49/D49,"")</f>
        <v>9.48385116249011</v>
      </c>
      <c r="I49" s="9" t="n">
        <f aca="false">IF(G49&gt;0,F49*Load_Model_Assumptions!$B$5/G49,"")</f>
        <v>0.440344200182629</v>
      </c>
    </row>
    <row r="50" customFormat="false" ht="15" hidden="false" customHeight="false" outlineLevel="0" collapsed="false">
      <c r="A50" s="2" t="s">
        <v>73</v>
      </c>
      <c r="B50" s="2" t="s">
        <v>29</v>
      </c>
      <c r="C50" s="2" t="n">
        <v>4</v>
      </c>
      <c r="D50" s="2" t="n">
        <v>31</v>
      </c>
      <c r="E50" s="2" t="n">
        <v>109</v>
      </c>
      <c r="F50" s="2" t="n">
        <v>519</v>
      </c>
      <c r="G50" s="7" t="n">
        <f aca="false">E50*Load_Model_Assumptions!$B$6+F50*Load_Model_Assumptions!$B$5</f>
        <v>242.538122243226</v>
      </c>
      <c r="H50" s="8" t="n">
        <f aca="false">IF(D50&gt;0,G50/D50,"")</f>
        <v>7.82381039494278</v>
      </c>
      <c r="I50" s="9" t="n">
        <f aca="false">IF(G50&gt;0,F50*Load_Model_Assumptions!$B$5/G50,"")</f>
        <v>0.550586114084405</v>
      </c>
    </row>
    <row r="51" customFormat="false" ht="15" hidden="false" customHeight="false" outlineLevel="0" collapsed="false">
      <c r="A51" s="2" t="s">
        <v>74</v>
      </c>
      <c r="B51" s="2" t="s">
        <v>29</v>
      </c>
      <c r="C51" s="2" t="n">
        <v>4</v>
      </c>
      <c r="D51" s="2" t="n">
        <v>31</v>
      </c>
      <c r="E51" s="2" t="n">
        <v>128</v>
      </c>
      <c r="F51" s="2" t="n">
        <v>426</v>
      </c>
      <c r="G51" s="7" t="n">
        <f aca="false">E51*Load_Model_Assumptions!$B$6+F51*Load_Model_Assumptions!$B$5</f>
        <v>237.609325771897</v>
      </c>
      <c r="H51" s="8" t="n">
        <f aca="false">IF(D51&gt;0,G51/D51,"")</f>
        <v>7.66481696038376</v>
      </c>
      <c r="I51" s="9" t="n">
        <f aca="false">IF(G51&gt;0,F51*Load_Model_Assumptions!$B$5/G51,"")</f>
        <v>0.461300605166991</v>
      </c>
    </row>
    <row r="52" customFormat="false" ht="15" hidden="false" customHeight="false" outlineLevel="0" collapsed="false">
      <c r="A52" s="2" t="s">
        <v>75</v>
      </c>
      <c r="B52" s="2" t="s">
        <v>29</v>
      </c>
      <c r="C52" s="2" t="n">
        <v>5</v>
      </c>
      <c r="D52" s="2" t="n">
        <v>29</v>
      </c>
      <c r="E52" s="2" t="n">
        <v>121</v>
      </c>
      <c r="F52" s="2" t="n">
        <v>451</v>
      </c>
      <c r="G52" s="7" t="n">
        <f aca="false">E52*Load_Model_Assumptions!$B$6+F52*Load_Model_Assumptions!$B$5</f>
        <v>237.041797941609</v>
      </c>
      <c r="H52" s="8" t="n">
        <f aca="false">IF(D52&gt;0,G52/D52,"")</f>
        <v>8.17385510143479</v>
      </c>
      <c r="I52" s="9" t="n">
        <f aca="false">IF(G52&gt;0,F52*Load_Model_Assumptions!$B$5/G52,"")</f>
        <v>0.489541502592694</v>
      </c>
    </row>
    <row r="53" customFormat="false" ht="15" hidden="false" customHeight="false" outlineLevel="0" collapsed="false">
      <c r="A53" s="2" t="s">
        <v>76</v>
      </c>
      <c r="B53" s="2" t="s">
        <v>24</v>
      </c>
      <c r="C53" s="2" t="n">
        <v>2</v>
      </c>
      <c r="D53" s="2" t="n">
        <v>22</v>
      </c>
      <c r="E53" s="2" t="n">
        <v>117</v>
      </c>
      <c r="F53" s="2" t="n">
        <v>461</v>
      </c>
      <c r="G53" s="7" t="n">
        <f aca="false">E53*Load_Model_Assumptions!$B$6+F53*Load_Model_Assumptions!$B$5</f>
        <v>235.614786809494</v>
      </c>
      <c r="H53" s="8" t="n">
        <f aca="false">IF(D53&gt;0,G53/D53,"")</f>
        <v>10.7097630367952</v>
      </c>
      <c r="I53" s="9" t="n">
        <f aca="false">IF(G53&gt;0,F53*Load_Model_Assumptions!$B$5/G53,"")</f>
        <v>0.503426751842191</v>
      </c>
    </row>
    <row r="54" customFormat="false" ht="15" hidden="false" customHeight="false" outlineLevel="0" collapsed="false">
      <c r="A54" s="2" t="s">
        <v>77</v>
      </c>
      <c r="B54" s="2" t="s">
        <v>29</v>
      </c>
      <c r="C54" s="2" t="n">
        <v>3</v>
      </c>
      <c r="D54" s="2" t="n">
        <v>29</v>
      </c>
      <c r="E54" s="2" t="n">
        <v>107</v>
      </c>
      <c r="F54" s="2" t="n">
        <v>489</v>
      </c>
      <c r="G54" s="7" t="n">
        <f aca="false">E54*Load_Model_Assumptions!$B$6+F54*Load_Model_Assumptions!$B$5</f>
        <v>232.819155639572</v>
      </c>
      <c r="H54" s="8" t="n">
        <f aca="false">IF(D54&gt;0,G54/D54,"")</f>
        <v>8.02824674619212</v>
      </c>
      <c r="I54" s="9" t="n">
        <f aca="false">IF(G54&gt;0,F54*Load_Model_Assumptions!$B$5/G54,"")</f>
        <v>0.540415823147958</v>
      </c>
    </row>
    <row r="55" customFormat="false" ht="15" hidden="false" customHeight="false" outlineLevel="0" collapsed="false">
      <c r="A55" s="2" t="s">
        <v>78</v>
      </c>
      <c r="B55" s="2" t="s">
        <v>29</v>
      </c>
      <c r="C55" s="2" t="n">
        <v>5</v>
      </c>
      <c r="D55" s="2" t="n">
        <v>32</v>
      </c>
      <c r="E55" s="2" t="n">
        <v>101</v>
      </c>
      <c r="F55" s="2" t="n">
        <v>510</v>
      </c>
      <c r="G55" s="7" t="n">
        <f aca="false">E55*Load_Model_Assumptions!$B$6+F55*Load_Model_Assumptions!$B$5</f>
        <v>232.22243226213</v>
      </c>
      <c r="H55" s="8" t="n">
        <f aca="false">IF(D55&gt;0,G55/D55,"")</f>
        <v>7.25695100819156</v>
      </c>
      <c r="I55" s="9" t="n">
        <f aca="false">IF(G55&gt;0,F55*Load_Model_Assumptions!$B$5/G55,"")</f>
        <v>0.565072163717619</v>
      </c>
    </row>
    <row r="56" customFormat="false" ht="15" hidden="false" customHeight="false" outlineLevel="0" collapsed="false">
      <c r="A56" s="2" t="s">
        <v>79</v>
      </c>
      <c r="B56" s="2" t="s">
        <v>24</v>
      </c>
      <c r="C56" s="2" t="n">
        <v>3</v>
      </c>
      <c r="D56" s="2" t="n">
        <v>18</v>
      </c>
      <c r="E56" s="2" t="n">
        <v>88</v>
      </c>
      <c r="F56" s="2" t="n">
        <v>557</v>
      </c>
      <c r="G56" s="7" t="n">
        <f aca="false">E56*Load_Model_Assumptions!$B$6+F56*Load_Model_Assumptions!$B$5</f>
        <v>231.315479941189</v>
      </c>
      <c r="H56" s="8" t="n">
        <f aca="false">IF(D56&gt;0,G56/D56,"")</f>
        <v>12.8508599967327</v>
      </c>
      <c r="I56" s="9" t="n">
        <f aca="false">IF(G56&gt;0,F56*Load_Model_Assumptions!$B$5/G56,"")</f>
        <v>0.619567181485763</v>
      </c>
    </row>
    <row r="57" customFormat="false" ht="15" hidden="false" customHeight="false" outlineLevel="0" collapsed="false">
      <c r="A57" s="2" t="s">
        <v>80</v>
      </c>
      <c r="B57" s="2" t="s">
        <v>29</v>
      </c>
      <c r="C57" s="2" t="n">
        <v>2</v>
      </c>
      <c r="D57" s="2" t="n">
        <v>22</v>
      </c>
      <c r="E57" s="2" t="n">
        <v>101</v>
      </c>
      <c r="F57" s="2" t="n">
        <v>482</v>
      </c>
      <c r="G57" s="7" t="n">
        <f aca="false">E57*Load_Model_Assumptions!$B$6+F57*Load_Model_Assumptions!$B$5</f>
        <v>225.018063432052</v>
      </c>
      <c r="H57" s="8" t="n">
        <f aca="false">IF(D57&gt;0,G57/D57,"")</f>
        <v>10.228093792366</v>
      </c>
      <c r="I57" s="9" t="n">
        <f aca="false">IF(G57&gt;0,F57*Load_Model_Assumptions!$B$5/G57,"")</f>
        <v>0.551147145880141</v>
      </c>
    </row>
    <row r="58" customFormat="false" ht="15" hidden="false" customHeight="false" outlineLevel="0" collapsed="false">
      <c r="A58" s="2" t="s">
        <v>81</v>
      </c>
      <c r="B58" s="2" t="s">
        <v>24</v>
      </c>
      <c r="C58" s="2" t="n">
        <v>2</v>
      </c>
      <c r="D58" s="2" t="n">
        <v>22</v>
      </c>
      <c r="E58" s="2" t="n">
        <v>134</v>
      </c>
      <c r="F58" s="2" t="n">
        <v>311</v>
      </c>
      <c r="G58" s="7" t="n">
        <f aca="false">E58*Load_Model_Assumptions!$B$6+F58*Load_Model_Assumptions!$B$5</f>
        <v>214.01995379122</v>
      </c>
      <c r="H58" s="8" t="n">
        <f aca="false">IF(D58&gt;0,G58/D58,"")</f>
        <v>9.72817971778274</v>
      </c>
      <c r="I58" s="9" t="n">
        <f aca="false">IF(G58&gt;0,F58*Load_Model_Assumptions!$B$5/G58,"")</f>
        <v>0.373890155444483</v>
      </c>
    </row>
    <row r="59" customFormat="false" ht="15" hidden="false" customHeight="false" outlineLevel="0" collapsed="false">
      <c r="A59" s="2" t="s">
        <v>82</v>
      </c>
      <c r="B59" s="2" t="s">
        <v>83</v>
      </c>
      <c r="C59" s="2" t="n">
        <v>5</v>
      </c>
      <c r="D59" s="2" t="n">
        <v>51</v>
      </c>
      <c r="E59" s="2" t="n">
        <v>117</v>
      </c>
      <c r="F59" s="2" t="n">
        <v>373</v>
      </c>
      <c r="G59" s="7" t="n">
        <f aca="false">E59*Load_Model_Assumptions!$B$6+F59*Load_Model_Assumptions!$B$5</f>
        <v>212.972484772107</v>
      </c>
      <c r="H59" s="8" t="n">
        <f aca="false">IF(D59&gt;0,G59/D59,"")</f>
        <v>4.17593107396288</v>
      </c>
      <c r="I59" s="9" t="n">
        <f aca="false">IF(G59&gt;0,F59*Load_Model_Assumptions!$B$5/G59,"")</f>
        <v>0.450633258445583</v>
      </c>
    </row>
    <row r="60" customFormat="false" ht="15" hidden="false" customHeight="false" outlineLevel="0" collapsed="false">
      <c r="A60" s="2" t="s">
        <v>84</v>
      </c>
      <c r="B60" s="2" t="s">
        <v>29</v>
      </c>
      <c r="C60" s="2" t="n">
        <v>3</v>
      </c>
      <c r="D60" s="2" t="n">
        <v>31</v>
      </c>
      <c r="E60" s="2" t="n">
        <v>94</v>
      </c>
      <c r="F60" s="2" t="n">
        <v>426</v>
      </c>
      <c r="G60" s="7" t="n">
        <f aca="false">E60*Load_Model_Assumptions!$B$6+F60*Load_Model_Assumptions!$B$5</f>
        <v>203.609325771897</v>
      </c>
      <c r="H60" s="8" t="n">
        <f aca="false">IF(D60&gt;0,G60/D60,"")</f>
        <v>6.56804276683538</v>
      </c>
      <c r="I60" s="9" t="n">
        <f aca="false">IF(G60&gt;0,F60*Load_Model_Assumptions!$B$5/G60,"")</f>
        <v>0.538331559010671</v>
      </c>
    </row>
    <row r="61" customFormat="false" ht="15" hidden="false" customHeight="false" outlineLevel="0" collapsed="false">
      <c r="A61" s="2" t="s">
        <v>85</v>
      </c>
      <c r="B61" s="2" t="s">
        <v>24</v>
      </c>
      <c r="C61" s="2" t="n">
        <v>3</v>
      </c>
      <c r="D61" s="2" t="n">
        <v>24</v>
      </c>
      <c r="E61" s="2" t="n">
        <v>112</v>
      </c>
      <c r="F61" s="2" t="n">
        <v>356</v>
      </c>
      <c r="G61" s="7" t="n">
        <f aca="false">E61*Load_Model_Assumptions!$B$6+F61*Load_Model_Assumptions!$B$5</f>
        <v>203.598403696702</v>
      </c>
      <c r="H61" s="8" t="n">
        <f aca="false">IF(D61&gt;0,G61/D61,"")</f>
        <v>8.48326682069593</v>
      </c>
      <c r="I61" s="9" t="n">
        <f aca="false">IF(G61&gt;0,F61*Load_Model_Assumptions!$B$5/G61,"")</f>
        <v>0.449897455154684</v>
      </c>
    </row>
    <row r="62" customFormat="false" ht="15" hidden="false" customHeight="false" outlineLevel="0" collapsed="false">
      <c r="A62" s="2" t="s">
        <v>86</v>
      </c>
      <c r="B62" s="2" t="s">
        <v>29</v>
      </c>
      <c r="C62" s="2" t="n">
        <v>4</v>
      </c>
      <c r="D62" s="2" t="n">
        <v>28</v>
      </c>
      <c r="E62" s="2" t="n">
        <v>107</v>
      </c>
      <c r="F62" s="2" t="n">
        <v>366</v>
      </c>
      <c r="G62" s="7" t="n">
        <f aca="false">E62*Load_Model_Assumptions!$B$6+F62*Load_Model_Assumptions!$B$5</f>
        <v>201.171392564587</v>
      </c>
      <c r="H62" s="8" t="n">
        <f aca="false">IF(D62&gt;0,G62/D62,"")</f>
        <v>7.1846925915924</v>
      </c>
      <c r="I62" s="9" t="n">
        <f aca="false">IF(G62&gt;0,F62*Load_Model_Assumptions!$B$5/G62,"")</f>
        <v>0.468115229327912</v>
      </c>
    </row>
    <row r="63" customFormat="false" ht="15" hidden="false" customHeight="false" outlineLevel="0" collapsed="false">
      <c r="A63" s="2" t="s">
        <v>87</v>
      </c>
      <c r="B63" s="2" t="s">
        <v>29</v>
      </c>
      <c r="C63" s="2" t="n">
        <v>2</v>
      </c>
      <c r="D63" s="2" t="n">
        <v>21</v>
      </c>
      <c r="E63" s="2" t="n">
        <v>122</v>
      </c>
      <c r="F63" s="2" t="n">
        <v>292</v>
      </c>
      <c r="G63" s="7" t="n">
        <f aca="false">E63*Load_Model_Assumptions!$B$6+F63*Load_Model_Assumptions!$B$5</f>
        <v>197.131274942239</v>
      </c>
      <c r="H63" s="8" t="n">
        <f aca="false">IF(D63&gt;0,G63/D63,"")</f>
        <v>9.38720356867805</v>
      </c>
      <c r="I63" s="9" t="n">
        <f aca="false">IF(G63&gt;0,F63*Load_Model_Assumptions!$B$5/G63,"")</f>
        <v>0.381123061088369</v>
      </c>
    </row>
    <row r="64" customFormat="false" ht="15" hidden="false" customHeight="false" outlineLevel="0" collapsed="false">
      <c r="A64" s="2" t="s">
        <v>88</v>
      </c>
      <c r="B64" s="2" t="s">
        <v>29</v>
      </c>
      <c r="C64" s="2" t="n">
        <v>3</v>
      </c>
      <c r="D64" s="2" t="n">
        <v>24</v>
      </c>
      <c r="E64" s="2" t="n">
        <v>113</v>
      </c>
      <c r="F64" s="2" t="n">
        <v>324</v>
      </c>
      <c r="G64" s="7" t="n">
        <f aca="false">E64*Load_Model_Assumptions!$B$6+F64*Load_Model_Assumptions!$B$5</f>
        <v>196.364839319471</v>
      </c>
      <c r="H64" s="8" t="n">
        <f aca="false">IF(D64&gt;0,G64/D64,"")</f>
        <v>8.18186830497795</v>
      </c>
      <c r="I64" s="9" t="n">
        <f aca="false">IF(G64&gt;0,F64*Load_Model_Assumptions!$B$5/G64,"")</f>
        <v>0.424540562395911</v>
      </c>
    </row>
    <row r="65" customFormat="false" ht="15" hidden="false" customHeight="false" outlineLevel="0" collapsed="false">
      <c r="A65" s="2" t="s">
        <v>89</v>
      </c>
      <c r="B65" s="2" t="s">
        <v>29</v>
      </c>
      <c r="C65" s="2" t="n">
        <v>2</v>
      </c>
      <c r="D65" s="2" t="n">
        <v>18</v>
      </c>
      <c r="E65" s="2" t="n">
        <v>68</v>
      </c>
      <c r="F65" s="2" t="n">
        <v>497</v>
      </c>
      <c r="G65" s="7" t="n">
        <f aca="false">E65*Load_Model_Assumptions!$B$6+F65*Load_Model_Assumptions!$B$5</f>
        <v>195.877546733879</v>
      </c>
      <c r="H65" s="8" t="n">
        <f aca="false">IF(D65&gt;0,G65/D65,"")</f>
        <v>10.88208592966</v>
      </c>
      <c r="I65" s="9" t="n">
        <f aca="false">IF(G65&gt;0,F65*Load_Model_Assumptions!$B$5/G65,"")</f>
        <v>0.652844334974313</v>
      </c>
    </row>
    <row r="66" customFormat="false" ht="15" hidden="false" customHeight="false" outlineLevel="0" collapsed="false">
      <c r="A66" s="2" t="s">
        <v>90</v>
      </c>
      <c r="B66" s="2" t="s">
        <v>83</v>
      </c>
      <c r="C66" s="2" t="n">
        <v>5</v>
      </c>
      <c r="D66" s="2" t="n">
        <v>50</v>
      </c>
      <c r="E66" s="2" t="n">
        <v>57</v>
      </c>
      <c r="F66" s="2" t="n">
        <v>537</v>
      </c>
      <c r="G66" s="7" t="n">
        <f aca="false">E66*Load_Model_Assumptions!$B$6+F66*Load_Model_Assumptions!$B$5</f>
        <v>195.169502205419</v>
      </c>
      <c r="H66" s="8" t="n">
        <f aca="false">IF(D66&gt;0,G66/D66,"")</f>
        <v>3.90339004410838</v>
      </c>
      <c r="I66" s="9" t="n">
        <f aca="false">IF(G66&gt;0,F66*Load_Model_Assumptions!$B$5/G66,"")</f>
        <v>0.707946173167944</v>
      </c>
    </row>
    <row r="67" customFormat="false" ht="15" hidden="false" customHeight="false" outlineLevel="0" collapsed="false">
      <c r="A67" s="2" t="s">
        <v>91</v>
      </c>
      <c r="B67" s="2" t="s">
        <v>24</v>
      </c>
      <c r="C67" s="2" t="n">
        <v>2</v>
      </c>
      <c r="D67" s="2" t="n">
        <v>14</v>
      </c>
      <c r="E67" s="2" t="n">
        <v>111</v>
      </c>
      <c r="F67" s="2" t="n">
        <v>325</v>
      </c>
      <c r="G67" s="7" t="n">
        <f aca="false">E67*Load_Model_Assumptions!$B$6+F67*Load_Model_Assumptions!$B$5</f>
        <v>194.622138206259</v>
      </c>
      <c r="H67" s="8" t="n">
        <f aca="false">IF(D67&gt;0,G67/D67,"")</f>
        <v>13.9015813004471</v>
      </c>
      <c r="I67" s="9" t="n">
        <f aca="false">IF(G67&gt;0,F67*Load_Model_Assumptions!$B$5/G67,"")</f>
        <v>0.429664060712544</v>
      </c>
    </row>
    <row r="68" customFormat="false" ht="15" hidden="false" customHeight="false" outlineLevel="0" collapsed="false">
      <c r="A68" s="2" t="s">
        <v>92</v>
      </c>
      <c r="B68" s="2" t="s">
        <v>24</v>
      </c>
      <c r="C68" s="2" t="n">
        <v>2</v>
      </c>
      <c r="D68" s="2" t="n">
        <v>20</v>
      </c>
      <c r="E68" s="2" t="n">
        <v>89</v>
      </c>
      <c r="F68" s="2" t="n">
        <v>389</v>
      </c>
      <c r="G68" s="7" t="n">
        <f aca="false">E68*Load_Model_Assumptions!$B$6+F68*Load_Model_Assumptions!$B$5</f>
        <v>189.089266960723</v>
      </c>
      <c r="H68" s="8" t="n">
        <f aca="false">IF(D68&gt;0,G68/D68,"")</f>
        <v>9.45446334803613</v>
      </c>
      <c r="I68" s="9" t="n">
        <f aca="false">IF(G68&gt;0,F68*Load_Model_Assumptions!$B$5/G68,"")</f>
        <v>0.529322835555299</v>
      </c>
    </row>
    <row r="69" customFormat="false" ht="15" hidden="false" customHeight="false" outlineLevel="0" collapsed="false">
      <c r="A69" s="2" t="s">
        <v>93</v>
      </c>
      <c r="B69" s="2" t="s">
        <v>24</v>
      </c>
      <c r="C69" s="2" t="n">
        <v>4</v>
      </c>
      <c r="D69" s="2" t="n">
        <v>18</v>
      </c>
      <c r="E69" s="2" t="n">
        <v>99</v>
      </c>
      <c r="F69" s="2" t="n">
        <v>337</v>
      </c>
      <c r="G69" s="7" t="n">
        <f aca="false">E69*Load_Model_Assumptions!$B$6+F69*Load_Model_Assumptions!$B$5</f>
        <v>185.709724847721</v>
      </c>
      <c r="H69" s="8" t="n">
        <f aca="false">IF(D69&gt;0,G69/D69,"")</f>
        <v>10.3172069359845</v>
      </c>
      <c r="I69" s="9" t="n">
        <f aca="false">IF(G69&gt;0,F69*Load_Model_Assumptions!$B$5/G69,"")</f>
        <v>0.466909985025403</v>
      </c>
    </row>
    <row r="70" customFormat="false" ht="15" hidden="false" customHeight="false" outlineLevel="0" collapsed="false">
      <c r="A70" s="2" t="s">
        <v>94</v>
      </c>
      <c r="B70" s="2" t="s">
        <v>29</v>
      </c>
      <c r="C70" s="2" t="n">
        <v>2</v>
      </c>
      <c r="D70" s="2" t="n">
        <v>17</v>
      </c>
      <c r="E70" s="2" t="n">
        <v>102</v>
      </c>
      <c r="F70" s="2" t="n">
        <v>322</v>
      </c>
      <c r="G70" s="7" t="n">
        <f aca="false">E70*Load_Model_Assumptions!$B$6+F70*Load_Model_Assumptions!$B$5</f>
        <v>184.850241545894</v>
      </c>
      <c r="H70" s="8" t="n">
        <f aca="false">IF(D70&gt;0,G70/D70,"")</f>
        <v>10.8735436203467</v>
      </c>
      <c r="I70" s="9" t="n">
        <f aca="false">IF(G70&gt;0,F70*Load_Model_Assumptions!$B$5/G70,"")</f>
        <v>0.448201965293749</v>
      </c>
    </row>
    <row r="71" customFormat="false" ht="15" hidden="false" customHeight="false" outlineLevel="0" collapsed="false">
      <c r="A71" s="2" t="s">
        <v>95</v>
      </c>
      <c r="B71" s="2" t="s">
        <v>29</v>
      </c>
      <c r="C71" s="2" t="n">
        <v>3</v>
      </c>
      <c r="D71" s="2" t="n">
        <v>24</v>
      </c>
      <c r="E71" s="2" t="n">
        <v>96</v>
      </c>
      <c r="F71" s="2" t="n">
        <v>339</v>
      </c>
      <c r="G71" s="7" t="n">
        <f aca="false">E71*Load_Model_Assumptions!$B$6+F71*Load_Model_Assumptions!$B$5</f>
        <v>183.224322621298</v>
      </c>
      <c r="H71" s="8" t="n">
        <f aca="false">IF(D71&gt;0,G71/D71,"")</f>
        <v>7.63434677588742</v>
      </c>
      <c r="I71" s="9" t="n">
        <f aca="false">IF(G71&gt;0,F71*Load_Model_Assumptions!$B$5/G71,"")</f>
        <v>0.476052094904343</v>
      </c>
    </row>
    <row r="72" customFormat="false" ht="15" hidden="false" customHeight="false" outlineLevel="0" collapsed="false">
      <c r="A72" s="2" t="s">
        <v>96</v>
      </c>
      <c r="B72" s="2" t="s">
        <v>29</v>
      </c>
      <c r="C72" s="2" t="n">
        <v>3</v>
      </c>
      <c r="D72" s="2" t="n">
        <v>26</v>
      </c>
      <c r="E72" s="2" t="n">
        <v>56</v>
      </c>
      <c r="F72" s="2" t="n">
        <v>492</v>
      </c>
      <c r="G72" s="7" t="n">
        <f aca="false">E72*Load_Model_Assumptions!$B$6+F72*Load_Model_Assumptions!$B$5</f>
        <v>182.591052299937</v>
      </c>
      <c r="H72" s="8" t="n">
        <f aca="false">IF(D72&gt;0,G72/D72,"")</f>
        <v>7.02273278076681</v>
      </c>
      <c r="I72" s="9" t="n">
        <f aca="false">IF(G72&gt;0,F72*Load_Model_Assumptions!$B$5/G72,"")</f>
        <v>0.693303700840661</v>
      </c>
    </row>
    <row r="73" customFormat="false" ht="15" hidden="false" customHeight="false" outlineLevel="0" collapsed="false">
      <c r="A73" s="2" t="s">
        <v>97</v>
      </c>
      <c r="B73" s="2" t="s">
        <v>24</v>
      </c>
      <c r="C73" s="2" t="n">
        <v>2</v>
      </c>
      <c r="D73" s="2" t="n">
        <v>17</v>
      </c>
      <c r="E73" s="2" t="n">
        <v>95</v>
      </c>
      <c r="F73" s="2" t="n">
        <v>337</v>
      </c>
      <c r="G73" s="7" t="n">
        <f aca="false">E73*Load_Model_Assumptions!$B$6+F73*Load_Model_Assumptions!$B$5</f>
        <v>181.709724847721</v>
      </c>
      <c r="H73" s="8" t="n">
        <f aca="false">IF(D73&gt;0,G73/D73,"")</f>
        <v>10.6888073439836</v>
      </c>
      <c r="I73" s="9" t="n">
        <f aca="false">IF(G73&gt;0,F73*Load_Model_Assumptions!$B$5/G73,"")</f>
        <v>0.477188135749954</v>
      </c>
    </row>
    <row r="74" customFormat="false" ht="15" hidden="false" customHeight="false" outlineLevel="0" collapsed="false">
      <c r="A74" s="2" t="s">
        <v>98</v>
      </c>
      <c r="B74" s="2" t="s">
        <v>29</v>
      </c>
      <c r="C74" s="2" t="n">
        <v>2</v>
      </c>
      <c r="D74" s="2" t="n">
        <v>15</v>
      </c>
      <c r="E74" s="2" t="n">
        <v>53</v>
      </c>
      <c r="F74" s="2" t="n">
        <v>471</v>
      </c>
      <c r="G74" s="7" t="n">
        <f aca="false">E74*Load_Model_Assumptions!$B$6+F74*Load_Model_Assumptions!$B$5</f>
        <v>174.187775677379</v>
      </c>
      <c r="H74" s="8" t="n">
        <f aca="false">IF(D74&gt;0,G74/D74,"")</f>
        <v>11.6125183784919</v>
      </c>
      <c r="I74" s="9" t="n">
        <f aca="false">IF(G74&gt;0,F74*Load_Model_Assumptions!$B$5/G74,"")</f>
        <v>0.695730657367347</v>
      </c>
    </row>
    <row r="75" customFormat="false" ht="15" hidden="false" customHeight="false" outlineLevel="0" collapsed="false">
      <c r="A75" s="2" t="s">
        <v>99</v>
      </c>
      <c r="B75" s="2" t="s">
        <v>29</v>
      </c>
      <c r="C75" s="2" t="n">
        <v>5</v>
      </c>
      <c r="D75" s="2" t="n">
        <v>26</v>
      </c>
      <c r="E75" s="2" t="n">
        <v>72</v>
      </c>
      <c r="F75" s="2" t="n">
        <v>372</v>
      </c>
      <c r="G75" s="7" t="n">
        <f aca="false">E75*Load_Model_Assumptions!$B$6+F75*Load_Model_Assumptions!$B$5</f>
        <v>167.715185885318</v>
      </c>
      <c r="H75" s="8" t="n">
        <f aca="false">IF(D75&gt;0,G75/D75,"")</f>
        <v>6.45058407251224</v>
      </c>
      <c r="I75" s="9" t="n">
        <f aca="false">IF(G75&gt;0,F75*Load_Model_Assumptions!$B$5/G75,"")</f>
        <v>0.570700770953247</v>
      </c>
    </row>
    <row r="76" customFormat="false" ht="15" hidden="false" customHeight="false" outlineLevel="0" collapsed="false">
      <c r="A76" s="2" t="s">
        <v>100</v>
      </c>
      <c r="B76" s="2" t="s">
        <v>29</v>
      </c>
      <c r="C76" s="2" t="n">
        <v>2</v>
      </c>
      <c r="D76" s="2" t="n">
        <v>18</v>
      </c>
      <c r="E76" s="2" t="n">
        <v>83</v>
      </c>
      <c r="F76" s="2" t="n">
        <v>310</v>
      </c>
      <c r="G76" s="7" t="n">
        <f aca="false">E76*Load_Model_Assumptions!$B$6+F76*Load_Model_Assumptions!$B$5</f>
        <v>162.762654904432</v>
      </c>
      <c r="H76" s="8" t="n">
        <f aca="false">IF(D76&gt;0,G76/D76,"")</f>
        <v>9.04236971691288</v>
      </c>
      <c r="I76" s="9" t="n">
        <f aca="false">IF(G76&gt;0,F76*Load_Model_Assumptions!$B$5/G76,"")</f>
        <v>0.490055012627224</v>
      </c>
    </row>
    <row r="77" customFormat="false" ht="15" hidden="false" customHeight="false" outlineLevel="0" collapsed="false">
      <c r="A77" s="2" t="s">
        <v>101</v>
      </c>
      <c r="B77" s="2" t="s">
        <v>29</v>
      </c>
      <c r="C77" s="2" t="n">
        <v>2</v>
      </c>
      <c r="D77" s="2" t="n">
        <v>16</v>
      </c>
      <c r="E77" s="2" t="n">
        <v>83</v>
      </c>
      <c r="F77" s="2" t="n">
        <v>305</v>
      </c>
      <c r="G77" s="7" t="n">
        <f aca="false">E77*Load_Model_Assumptions!$B$6+F77*Load_Model_Assumptions!$B$5</f>
        <v>161.476160470489</v>
      </c>
      <c r="H77" s="8" t="n">
        <f aca="false">IF(D77&gt;0,G77/D77,"")</f>
        <v>10.0922600294056</v>
      </c>
      <c r="I77" s="9" t="n">
        <f aca="false">IF(G77&gt;0,F77*Load_Model_Assumptions!$B$5/G77,"")</f>
        <v>0.485992237131693</v>
      </c>
    </row>
    <row r="78" customFormat="false" ht="15" hidden="false" customHeight="false" outlineLevel="0" collapsed="false">
      <c r="A78" s="2" t="s">
        <v>102</v>
      </c>
      <c r="B78" s="2" t="s">
        <v>29</v>
      </c>
      <c r="C78" s="2" t="n">
        <v>4</v>
      </c>
      <c r="D78" s="2" t="n">
        <v>21</v>
      </c>
      <c r="E78" s="2" t="n">
        <v>78</v>
      </c>
      <c r="F78" s="2" t="n">
        <v>313</v>
      </c>
      <c r="G78" s="7" t="n">
        <f aca="false">E78*Load_Model_Assumptions!$B$6+F78*Load_Model_Assumptions!$B$5</f>
        <v>158.534551564797</v>
      </c>
      <c r="H78" s="8" t="n">
        <f aca="false">IF(D78&gt;0,G78/D78,"")</f>
        <v>7.54926436022844</v>
      </c>
      <c r="I78" s="9" t="n">
        <f aca="false">IF(G78&gt;0,F78*Load_Model_Assumptions!$B$5/G78,"")</f>
        <v>0.50799368825212</v>
      </c>
    </row>
    <row r="79" customFormat="false" ht="15" hidden="false" customHeight="false" outlineLevel="0" collapsed="false">
      <c r="A79" s="2" t="s">
        <v>103</v>
      </c>
      <c r="B79" s="2" t="s">
        <v>29</v>
      </c>
      <c r="C79" s="2" t="n">
        <v>3</v>
      </c>
      <c r="D79" s="2" t="n">
        <v>24</v>
      </c>
      <c r="E79" s="2" t="n">
        <v>94</v>
      </c>
      <c r="F79" s="2" t="n">
        <v>248</v>
      </c>
      <c r="G79" s="7" t="n">
        <f aca="false">E79*Load_Model_Assumptions!$B$6+F79*Load_Model_Assumptions!$B$5</f>
        <v>157.810123923545</v>
      </c>
      <c r="H79" s="8" t="n">
        <f aca="false">IF(D79&gt;0,G79/D79,"")</f>
        <v>6.57542183014773</v>
      </c>
      <c r="I79" s="9" t="n">
        <f aca="false">IF(G79&gt;0,F79*Load_Model_Assumptions!$B$5/G79,"")</f>
        <v>0.404347467304821</v>
      </c>
    </row>
    <row r="80" customFormat="false" ht="15" hidden="false" customHeight="false" outlineLevel="0" collapsed="false">
      <c r="A80" s="2" t="s">
        <v>104</v>
      </c>
      <c r="B80" s="2" t="s">
        <v>24</v>
      </c>
      <c r="C80" s="2" t="n">
        <v>3</v>
      </c>
      <c r="D80" s="2" t="n">
        <v>24</v>
      </c>
      <c r="E80" s="2" t="n">
        <v>81</v>
      </c>
      <c r="F80" s="2" t="n">
        <v>273</v>
      </c>
      <c r="G80" s="7" t="n">
        <f aca="false">E80*Load_Model_Assumptions!$B$6+F80*Load_Model_Assumptions!$B$5</f>
        <v>151.242596093258</v>
      </c>
      <c r="H80" s="8" t="n">
        <f aca="false">IF(D80&gt;0,G80/D80,"")</f>
        <v>6.30177483721907</v>
      </c>
      <c r="I80" s="9" t="n">
        <f aca="false">IF(G80&gt;0,F80*Load_Model_Assumptions!$B$5/G80,"")</f>
        <v>0.46443659331228</v>
      </c>
    </row>
    <row r="81" customFormat="false" ht="15" hidden="false" customHeight="false" outlineLevel="0" collapsed="false">
      <c r="A81" s="2" t="s">
        <v>105</v>
      </c>
      <c r="B81" s="2" t="s">
        <v>83</v>
      </c>
      <c r="C81" s="2" t="n">
        <v>4</v>
      </c>
      <c r="D81" s="2" t="n">
        <v>39</v>
      </c>
      <c r="E81" s="2" t="n">
        <v>51</v>
      </c>
      <c r="F81" s="2" t="n">
        <v>357</v>
      </c>
      <c r="G81" s="7" t="n">
        <f aca="false">E81*Load_Model_Assumptions!$B$6+F81*Load_Model_Assumptions!$B$5</f>
        <v>142.855702583491</v>
      </c>
      <c r="H81" s="8" t="n">
        <f aca="false">IF(D81&gt;0,G81/D81,"")</f>
        <v>3.66296673291002</v>
      </c>
      <c r="I81" s="9" t="n">
        <f aca="false">IF(G81&gt;0,F81*Load_Model_Assumptions!$B$5/G81,"")</f>
        <v>0.642996400719856</v>
      </c>
    </row>
    <row r="82" customFormat="false" ht="15" hidden="false" customHeight="false" outlineLevel="0" collapsed="false">
      <c r="A82" s="2" t="s">
        <v>106</v>
      </c>
      <c r="B82" s="2" t="s">
        <v>29</v>
      </c>
      <c r="C82" s="2" t="n">
        <v>2</v>
      </c>
      <c r="D82" s="2" t="n">
        <v>14</v>
      </c>
      <c r="E82" s="2" t="n">
        <v>87</v>
      </c>
      <c r="F82" s="2" t="n">
        <v>216</v>
      </c>
      <c r="G82" s="7" t="n">
        <f aca="false">E82*Load_Model_Assumptions!$B$6+F82*Load_Model_Assumptions!$B$5</f>
        <v>142.576559546314</v>
      </c>
      <c r="H82" s="8" t="n">
        <f aca="false">IF(D82&gt;0,G82/D82,"")</f>
        <v>10.1840399675938</v>
      </c>
      <c r="I82" s="9" t="n">
        <f aca="false">IF(G82&gt;0,F82*Load_Model_Assumptions!$B$5/G82,"")</f>
        <v>0.389801519430412</v>
      </c>
    </row>
    <row r="83" customFormat="false" ht="15" hidden="false" customHeight="false" outlineLevel="0" collapsed="false">
      <c r="A83" s="2" t="s">
        <v>107</v>
      </c>
      <c r="B83" s="2" t="s">
        <v>24</v>
      </c>
      <c r="C83" s="2" t="n">
        <v>1</v>
      </c>
      <c r="D83" s="2" t="n">
        <v>10</v>
      </c>
      <c r="E83" s="2" t="n">
        <v>59</v>
      </c>
      <c r="F83" s="2" t="n">
        <v>321</v>
      </c>
      <c r="G83" s="7" t="n">
        <f aca="false">E83*Load_Model_Assumptions!$B$6+F83*Load_Model_Assumptions!$B$5</f>
        <v>141.592942659105</v>
      </c>
      <c r="H83" s="8" t="n">
        <f aca="false">IF(D83&gt;0,G83/D83,"")</f>
        <v>14.1592942659105</v>
      </c>
      <c r="I83" s="9" t="n">
        <f aca="false">IF(G83&gt;0,F83*Load_Model_Assumptions!$B$5/G83,"")</f>
        <v>0.583312565640743</v>
      </c>
    </row>
    <row r="84" customFormat="false" ht="15" hidden="false" customHeight="false" outlineLevel="0" collapsed="false">
      <c r="A84" s="2" t="s">
        <v>108</v>
      </c>
      <c r="B84" s="2" t="s">
        <v>24</v>
      </c>
      <c r="C84" s="2" t="n">
        <v>3</v>
      </c>
      <c r="D84" s="2" t="n">
        <v>17</v>
      </c>
      <c r="E84" s="2" t="n">
        <v>68</v>
      </c>
      <c r="F84" s="2" t="n">
        <v>271</v>
      </c>
      <c r="G84" s="7" t="n">
        <f aca="false">E84*Load_Model_Assumptions!$B$6+F84*Load_Model_Assumptions!$B$5</f>
        <v>137.727998319681</v>
      </c>
      <c r="H84" s="8" t="n">
        <f aca="false">IF(D84&gt;0,G84/D84,"")</f>
        <v>8.10164695998122</v>
      </c>
      <c r="I84" s="9" t="n">
        <f aca="false">IF(G84&gt;0,F84*Load_Model_Assumptions!$B$5/G84,"")</f>
        <v>0.506273228177142</v>
      </c>
    </row>
    <row r="85" customFormat="false" ht="15" hidden="false" customHeight="false" outlineLevel="0" collapsed="false">
      <c r="A85" s="2" t="s">
        <v>109</v>
      </c>
      <c r="B85" s="2" t="s">
        <v>29</v>
      </c>
      <c r="C85" s="2" t="n">
        <v>4</v>
      </c>
      <c r="D85" s="2" t="n">
        <v>29</v>
      </c>
      <c r="E85" s="2" t="n">
        <v>72</v>
      </c>
      <c r="F85" s="2" t="n">
        <v>248</v>
      </c>
      <c r="G85" s="7" t="n">
        <f aca="false">E85*Load_Model_Assumptions!$B$6+F85*Load_Model_Assumptions!$B$5</f>
        <v>135.810123923545</v>
      </c>
      <c r="H85" s="8" t="n">
        <f aca="false">IF(D85&gt;0,G85/D85,"")</f>
        <v>4.68310772150157</v>
      </c>
      <c r="I85" s="9" t="n">
        <f aca="false">IF(G85&gt;0,F85*Load_Model_Assumptions!$B$5/G85,"")</f>
        <v>0.469848064931209</v>
      </c>
    </row>
    <row r="86" customFormat="false" ht="15" hidden="false" customHeight="false" outlineLevel="0" collapsed="false">
      <c r="A86" s="2" t="s">
        <v>110</v>
      </c>
      <c r="B86" s="2" t="s">
        <v>83</v>
      </c>
      <c r="C86" s="2" t="n">
        <v>5</v>
      </c>
      <c r="D86" s="2" t="n">
        <v>48</v>
      </c>
      <c r="E86" s="2" t="n">
        <v>52</v>
      </c>
      <c r="F86" s="2" t="n">
        <v>312</v>
      </c>
      <c r="G86" s="7" t="n">
        <f aca="false">E86*Load_Model_Assumptions!$B$6+F86*Load_Model_Assumptions!$B$5</f>
        <v>132.277252678009</v>
      </c>
      <c r="H86" s="8" t="n">
        <f aca="false">IF(D86&gt;0,G86/D86,"")</f>
        <v>2.75577609745852</v>
      </c>
      <c r="I86" s="9" t="n">
        <f aca="false">IF(G86&gt;0,F86*Load_Model_Assumptions!$B$5/G86,"")</f>
        <v>0.60688630170919</v>
      </c>
    </row>
    <row r="87" customFormat="false" ht="15" hidden="false" customHeight="false" outlineLevel="0" collapsed="false">
      <c r="A87" s="2" t="s">
        <v>111</v>
      </c>
      <c r="B87" s="2" t="s">
        <v>29</v>
      </c>
      <c r="C87" s="2" t="n">
        <v>5</v>
      </c>
      <c r="D87" s="2" t="n">
        <v>45</v>
      </c>
      <c r="E87" s="2" t="n">
        <v>54</v>
      </c>
      <c r="F87" s="2" t="n">
        <v>299</v>
      </c>
      <c r="G87" s="7" t="n">
        <f aca="false">E87*Load_Model_Assumptions!$B$6+F87*Load_Model_Assumptions!$B$5</f>
        <v>130.932367149758</v>
      </c>
      <c r="H87" s="8" t="n">
        <f aca="false">IF(D87&gt;0,G87/D87,"")</f>
        <v>2.90960815888352</v>
      </c>
      <c r="I87" s="9" t="n">
        <f aca="false">IF(G87&gt;0,F87*Load_Model_Assumptions!$B$5/G87,"")</f>
        <v>0.587573331365532</v>
      </c>
    </row>
    <row r="88" customFormat="false" ht="15" hidden="false" customHeight="false" outlineLevel="0" collapsed="false">
      <c r="A88" s="2" t="s">
        <v>112</v>
      </c>
      <c r="B88" s="2" t="s">
        <v>24</v>
      </c>
      <c r="C88" s="2" t="n">
        <v>1</v>
      </c>
      <c r="D88" s="2" t="n">
        <v>12</v>
      </c>
      <c r="E88" s="2" t="n">
        <v>60</v>
      </c>
      <c r="F88" s="2" t="n">
        <v>256</v>
      </c>
      <c r="G88" s="7" t="n">
        <f aca="false">E88*Load_Model_Assumptions!$B$6+F88*Load_Model_Assumptions!$B$5</f>
        <v>125.868515017853</v>
      </c>
      <c r="H88" s="8" t="n">
        <f aca="false">IF(D88&gt;0,G88/D88,"")</f>
        <v>10.4890429181545</v>
      </c>
      <c r="I88" s="9" t="n">
        <f aca="false">IF(G88&gt;0,F88*Load_Model_Assumptions!$B$5/G88,"")</f>
        <v>0.523312084904716</v>
      </c>
    </row>
    <row r="89" customFormat="false" ht="15" hidden="false" customHeight="false" outlineLevel="0" collapsed="false">
      <c r="A89" s="2" t="s">
        <v>113</v>
      </c>
      <c r="B89" s="2" t="s">
        <v>83</v>
      </c>
      <c r="C89" s="2" t="n">
        <v>4</v>
      </c>
      <c r="D89" s="2" t="n">
        <v>42</v>
      </c>
      <c r="E89" s="2" t="n">
        <v>30</v>
      </c>
      <c r="F89" s="2" t="n">
        <v>364</v>
      </c>
      <c r="G89" s="7" t="n">
        <f aca="false">E89*Load_Model_Assumptions!$B$6+F89*Load_Model_Assumptions!$B$5</f>
        <v>123.65679479101</v>
      </c>
      <c r="H89" s="8" t="n">
        <f aca="false">IF(D89&gt;0,G89/D89,"")</f>
        <v>2.94420939978596</v>
      </c>
      <c r="I89" s="9" t="n">
        <f aca="false">IF(G89&gt;0,F89*Load_Model_Assumptions!$B$5/G89,"")</f>
        <v>0.757393032459701</v>
      </c>
    </row>
    <row r="90" customFormat="false" ht="15" hidden="false" customHeight="false" outlineLevel="0" collapsed="false">
      <c r="A90" s="2" t="s">
        <v>114</v>
      </c>
      <c r="B90" s="2" t="s">
        <v>115</v>
      </c>
      <c r="C90" s="2" t="n">
        <v>5</v>
      </c>
      <c r="D90" s="2" t="n">
        <v>52</v>
      </c>
      <c r="E90" s="2" t="n">
        <v>22</v>
      </c>
      <c r="F90" s="2" t="n">
        <v>394</v>
      </c>
      <c r="G90" s="7" t="n">
        <f aca="false">E90*Load_Model_Assumptions!$B$6+F90*Load_Model_Assumptions!$B$5</f>
        <v>123.375761394665</v>
      </c>
      <c r="H90" s="8" t="n">
        <f aca="false">IF(D90&gt;0,G90/D90,"")</f>
        <v>2.37261079605125</v>
      </c>
      <c r="I90" s="9" t="n">
        <f aca="false">IF(G90&gt;0,F90*Load_Model_Assumptions!$B$5/G90,"")</f>
        <v>0.821682964698191</v>
      </c>
    </row>
    <row r="91" customFormat="false" ht="15" hidden="false" customHeight="false" outlineLevel="0" collapsed="false">
      <c r="A91" s="2" t="s">
        <v>116</v>
      </c>
      <c r="B91" s="2" t="s">
        <v>117</v>
      </c>
      <c r="C91" s="2" t="n">
        <v>5</v>
      </c>
      <c r="D91" s="2" t="n">
        <v>50</v>
      </c>
      <c r="E91" s="2" t="n">
        <v>34</v>
      </c>
      <c r="F91" s="2" t="n">
        <v>339</v>
      </c>
      <c r="G91" s="7" t="n">
        <f aca="false">E91*Load_Model_Assumptions!$B$6+F91*Load_Model_Assumptions!$B$5</f>
        <v>121.224322621298</v>
      </c>
      <c r="H91" s="8" t="n">
        <f aca="false">IF(D91&gt;0,G91/D91,"")</f>
        <v>2.42448645242596</v>
      </c>
      <c r="I91" s="9" t="n">
        <f aca="false">IF(G91&gt;0,F91*Load_Model_Assumptions!$B$5/G91,"")</f>
        <v>0.719528232744057</v>
      </c>
    </row>
    <row r="92" customFormat="false" ht="15" hidden="false" customHeight="false" outlineLevel="0" collapsed="false">
      <c r="A92" s="2" t="s">
        <v>118</v>
      </c>
      <c r="B92" s="2" t="s">
        <v>24</v>
      </c>
      <c r="C92" s="2" t="n">
        <v>1</v>
      </c>
      <c r="D92" s="2" t="n">
        <v>11</v>
      </c>
      <c r="E92" s="2" t="n">
        <v>51</v>
      </c>
      <c r="F92" s="2" t="n">
        <v>266</v>
      </c>
      <c r="G92" s="7" t="n">
        <f aca="false">E92*Load_Model_Assumptions!$B$6+F92*Load_Model_Assumptions!$B$5</f>
        <v>119.441503885738</v>
      </c>
      <c r="H92" s="8" t="n">
        <f aca="false">IF(D92&gt;0,G92/D92,"")</f>
        <v>10.8583185350671</v>
      </c>
      <c r="I92" s="9" t="n">
        <f aca="false">IF(G92&gt;0,F92*Load_Model_Assumptions!$B$5/G92,"")</f>
        <v>0.573012743972244</v>
      </c>
    </row>
    <row r="93" customFormat="false" ht="15" hidden="false" customHeight="false" outlineLevel="0" collapsed="false">
      <c r="A93" s="2" t="s">
        <v>119</v>
      </c>
      <c r="B93" s="2" t="s">
        <v>29</v>
      </c>
      <c r="C93" s="2" t="n">
        <v>4</v>
      </c>
      <c r="D93" s="2" t="n">
        <v>20</v>
      </c>
      <c r="E93" s="2" t="n">
        <v>53</v>
      </c>
      <c r="F93" s="2" t="n">
        <v>258</v>
      </c>
      <c r="G93" s="7" t="n">
        <f aca="false">E93*Load_Model_Assumptions!$B$6+F93*Load_Model_Assumptions!$B$5</f>
        <v>119.38311279143</v>
      </c>
      <c r="H93" s="8" t="n">
        <f aca="false">IF(D93&gt;0,G93/D93,"")</f>
        <v>5.96915563957152</v>
      </c>
      <c r="I93" s="9" t="n">
        <f aca="false">IF(G93&gt;0,F93*Load_Model_Assumptions!$B$5/G93,"")</f>
        <v>0.55605111342176</v>
      </c>
    </row>
    <row r="94" customFormat="false" ht="15" hidden="false" customHeight="false" outlineLevel="0" collapsed="false">
      <c r="A94" s="2" t="s">
        <v>120</v>
      </c>
      <c r="B94" s="2" t="s">
        <v>29</v>
      </c>
      <c r="C94" s="2" t="n">
        <v>3</v>
      </c>
      <c r="D94" s="2" t="n">
        <v>23</v>
      </c>
      <c r="E94" s="2" t="n">
        <v>73</v>
      </c>
      <c r="F94" s="2" t="n">
        <v>177</v>
      </c>
      <c r="G94" s="7" t="n">
        <f aca="false">E94*Load_Model_Assumptions!$B$6+F94*Load_Model_Assumptions!$B$5</f>
        <v>118.541902961563</v>
      </c>
      <c r="H94" s="8" t="n">
        <f aca="false">IF(D94&gt;0,G94/D94,"")</f>
        <v>5.15399578093751</v>
      </c>
      <c r="I94" s="9" t="n">
        <f aca="false">IF(G94&gt;0,F94*Load_Model_Assumptions!$B$5/G94,"")</f>
        <v>0.384184004337519</v>
      </c>
    </row>
    <row r="95" customFormat="false" ht="15" hidden="false" customHeight="false" outlineLevel="0" collapsed="false">
      <c r="A95" s="2" t="s">
        <v>121</v>
      </c>
      <c r="B95" s="2" t="s">
        <v>115</v>
      </c>
      <c r="C95" s="2" t="n">
        <v>5</v>
      </c>
      <c r="D95" s="2" t="n">
        <v>51</v>
      </c>
      <c r="E95" s="2" t="n">
        <v>47</v>
      </c>
      <c r="F95" s="2" t="n">
        <v>276</v>
      </c>
      <c r="G95" s="7" t="n">
        <f aca="false">E95*Load_Model_Assumptions!$B$6+F95*Load_Model_Assumptions!$B$5</f>
        <v>118.014492753623</v>
      </c>
      <c r="H95" s="8" t="n">
        <f aca="false">IF(D95&gt;0,G95/D95,"")</f>
        <v>2.31400966183575</v>
      </c>
      <c r="I95" s="9" t="n">
        <f aca="false">IF(G95&gt;0,F95*Load_Model_Assumptions!$B$5/G95,"")</f>
        <v>0.601743829055631</v>
      </c>
    </row>
    <row r="96" customFormat="false" ht="15" hidden="false" customHeight="false" outlineLevel="0" collapsed="false">
      <c r="A96" s="2" t="s">
        <v>122</v>
      </c>
      <c r="B96" s="2" t="s">
        <v>24</v>
      </c>
      <c r="C96" s="2" t="n">
        <v>3</v>
      </c>
      <c r="D96" s="2" t="n">
        <v>15</v>
      </c>
      <c r="E96" s="2" t="n">
        <v>61</v>
      </c>
      <c r="F96" s="2" t="n">
        <v>221</v>
      </c>
      <c r="G96" s="7" t="n">
        <f aca="false">E96*Load_Model_Assumptions!$B$6+F96*Load_Model_Assumptions!$B$5</f>
        <v>117.863053980256</v>
      </c>
      <c r="H96" s="8" t="n">
        <f aca="false">IF(D96&gt;0,G96/D96,"")</f>
        <v>7.85753693201708</v>
      </c>
      <c r="I96" s="9" t="n">
        <f aca="false">IF(G96&gt;0,F96*Load_Model_Assumptions!$B$5/G96,"")</f>
        <v>0.48245020012617</v>
      </c>
    </row>
    <row r="97" customFormat="false" ht="15" hidden="false" customHeight="false" outlineLevel="0" collapsed="false">
      <c r="A97" s="2" t="s">
        <v>123</v>
      </c>
      <c r="B97" s="2" t="s">
        <v>83</v>
      </c>
      <c r="C97" s="2" t="n">
        <v>5</v>
      </c>
      <c r="D97" s="2" t="n">
        <v>47</v>
      </c>
      <c r="E97" s="2" t="n">
        <v>34</v>
      </c>
      <c r="F97" s="2" t="n">
        <v>324</v>
      </c>
      <c r="G97" s="7" t="n">
        <f aca="false">E97*Load_Model_Assumptions!$B$6+F97*Load_Model_Assumptions!$B$5</f>
        <v>117.364839319471</v>
      </c>
      <c r="H97" s="8" t="n">
        <f aca="false">IF(D97&gt;0,G97/D97,"")</f>
        <v>2.4971242408398</v>
      </c>
      <c r="I97" s="9" t="n">
        <f aca="false">IF(G97&gt;0,F97*Load_Model_Assumptions!$B$5/G97,"")</f>
        <v>0.710305060722224</v>
      </c>
    </row>
    <row r="98" customFormat="false" ht="15" hidden="false" customHeight="false" outlineLevel="0" collapsed="false">
      <c r="A98" s="2" t="s">
        <v>124</v>
      </c>
      <c r="B98" s="2" t="s">
        <v>83</v>
      </c>
      <c r="C98" s="2" t="n">
        <v>5</v>
      </c>
      <c r="D98" s="2" t="n">
        <v>49</v>
      </c>
      <c r="E98" s="2" t="n">
        <v>44</v>
      </c>
      <c r="F98" s="2" t="n">
        <v>283</v>
      </c>
      <c r="G98" s="7" t="n">
        <f aca="false">E98*Load_Model_Assumptions!$B$6+F98*Load_Model_Assumptions!$B$5</f>
        <v>116.815584961143</v>
      </c>
      <c r="H98" s="8" t="n">
        <f aca="false">IF(D98&gt;0,G98/D98,"")</f>
        <v>2.38399152981924</v>
      </c>
      <c r="I98" s="9" t="n">
        <f aca="false">IF(G98&gt;0,F98*Load_Model_Assumptions!$B$5/G98,"")</f>
        <v>0.623337930340065</v>
      </c>
    </row>
    <row r="99" customFormat="false" ht="15" hidden="false" customHeight="false" outlineLevel="0" collapsed="false">
      <c r="A99" s="2" t="s">
        <v>125</v>
      </c>
      <c r="B99" s="2" t="s">
        <v>24</v>
      </c>
      <c r="C99" s="2" t="n">
        <v>1</v>
      </c>
      <c r="D99" s="2" t="n">
        <v>9</v>
      </c>
      <c r="E99" s="2" t="n">
        <v>66</v>
      </c>
      <c r="F99" s="2" t="n">
        <v>192</v>
      </c>
      <c r="G99" s="7" t="n">
        <f aca="false">E99*Load_Model_Assumptions!$B$6+F99*Load_Model_Assumptions!$B$5</f>
        <v>115.40138626339</v>
      </c>
      <c r="H99" s="8" t="n">
        <f aca="false">IF(D99&gt;0,G99/D99,"")</f>
        <v>12.8223762514878</v>
      </c>
      <c r="I99" s="9" t="n">
        <f aca="false">IF(G99&gt;0,F99*Load_Model_Assumptions!$B$5/G99,"")</f>
        <v>0.428083126754103</v>
      </c>
    </row>
    <row r="100" customFormat="false" ht="15" hidden="false" customHeight="false" outlineLevel="0" collapsed="false">
      <c r="A100" s="2" t="s">
        <v>126</v>
      </c>
      <c r="B100" s="2" t="s">
        <v>29</v>
      </c>
      <c r="C100" s="2" t="n">
        <v>2</v>
      </c>
      <c r="D100" s="2" t="n">
        <v>18</v>
      </c>
      <c r="E100" s="2" t="n">
        <v>61</v>
      </c>
      <c r="F100" s="2" t="n">
        <v>210</v>
      </c>
      <c r="G100" s="7" t="n">
        <f aca="false">E100*Load_Model_Assumptions!$B$6+F100*Load_Model_Assumptions!$B$5</f>
        <v>115.032766225583</v>
      </c>
      <c r="H100" s="8" t="n">
        <f aca="false">IF(D100&gt;0,G100/D100,"")</f>
        <v>6.3907092347546</v>
      </c>
      <c r="I100" s="9" t="n">
        <f aca="false">IF(G100&gt;0,F100*Load_Model_Assumptions!$B$5/G100,"")</f>
        <v>0.469716307783323</v>
      </c>
    </row>
    <row r="101" customFormat="false" ht="15" hidden="false" customHeight="false" outlineLevel="0" collapsed="false">
      <c r="A101" s="2" t="s">
        <v>127</v>
      </c>
      <c r="B101" s="2" t="s">
        <v>29</v>
      </c>
      <c r="C101" s="2" t="n">
        <v>3</v>
      </c>
      <c r="D101" s="2" t="n">
        <v>21</v>
      </c>
      <c r="E101" s="2" t="n">
        <v>70</v>
      </c>
      <c r="F101" s="2" t="n">
        <v>171</v>
      </c>
      <c r="G101" s="7" t="n">
        <f aca="false">E101*Load_Model_Assumptions!$B$6+F101*Load_Model_Assumptions!$B$5</f>
        <v>113.998109640832</v>
      </c>
      <c r="H101" s="8" t="n">
        <f aca="false">IF(D101&gt;0,G101/D101,"")</f>
        <v>5.42848141146818</v>
      </c>
      <c r="I101" s="9" t="n">
        <f aca="false">IF(G101&gt;0,F101*Load_Model_Assumptions!$B$5/G101,"")</f>
        <v>0.385954730121881</v>
      </c>
    </row>
    <row r="102" customFormat="false" ht="15" hidden="false" customHeight="false" outlineLevel="0" collapsed="false">
      <c r="A102" s="2" t="s">
        <v>128</v>
      </c>
      <c r="B102" s="2" t="s">
        <v>115</v>
      </c>
      <c r="C102" s="2" t="n">
        <v>4</v>
      </c>
      <c r="D102" s="2" t="n">
        <v>41</v>
      </c>
      <c r="E102" s="2" t="n">
        <v>20</v>
      </c>
      <c r="F102" s="2" t="n">
        <v>359</v>
      </c>
      <c r="G102" s="7" t="n">
        <f aca="false">E102*Load_Model_Assumptions!$B$6+F102*Load_Model_Assumptions!$B$5</f>
        <v>112.370300357068</v>
      </c>
      <c r="H102" s="8" t="n">
        <f aca="false">IF(D102&gt;0,G102/D102,"")</f>
        <v>2.74073903309922</v>
      </c>
      <c r="I102" s="9" t="n">
        <f aca="false">IF(G102&gt;0,F102*Load_Model_Assumptions!$B$5/G102,"")</f>
        <v>0.822017028196525</v>
      </c>
    </row>
    <row r="103" customFormat="false" ht="15" hidden="false" customHeight="false" outlineLevel="0" collapsed="false">
      <c r="A103" s="2" t="s">
        <v>129</v>
      </c>
      <c r="B103" s="2" t="s">
        <v>24</v>
      </c>
      <c r="C103" s="2" t="n">
        <v>2</v>
      </c>
      <c r="D103" s="2" t="n">
        <v>11</v>
      </c>
      <c r="E103" s="2" t="n">
        <v>60</v>
      </c>
      <c r="F103" s="2" t="n">
        <v>203</v>
      </c>
      <c r="G103" s="7" t="n">
        <f aca="false">E103*Load_Model_Assumptions!$B$6+F103*Load_Model_Assumptions!$B$5</f>
        <v>112.231674018063</v>
      </c>
      <c r="H103" s="8" t="n">
        <f aca="false">IF(D103&gt;0,G103/D103,"")</f>
        <v>10.2028794561876</v>
      </c>
      <c r="I103" s="9" t="n">
        <f aca="false">IF(G103&gt;0,F103*Load_Model_Assumptions!$B$5/G103,"")</f>
        <v>0.465391561473607</v>
      </c>
    </row>
    <row r="104" customFormat="false" ht="15" hidden="false" customHeight="false" outlineLevel="0" collapsed="false">
      <c r="A104" s="2" t="s">
        <v>130</v>
      </c>
      <c r="B104" s="2" t="s">
        <v>117</v>
      </c>
      <c r="C104" s="2" t="n">
        <v>5</v>
      </c>
      <c r="D104" s="2" t="n">
        <v>50</v>
      </c>
      <c r="E104" s="2" t="n">
        <v>20</v>
      </c>
      <c r="F104" s="2" t="n">
        <v>357</v>
      </c>
      <c r="G104" s="7" t="n">
        <f aca="false">E104*Load_Model_Assumptions!$B$6+F104*Load_Model_Assumptions!$B$5</f>
        <v>111.855702583491</v>
      </c>
      <c r="H104" s="8" t="n">
        <f aca="false">IF(D104&gt;0,G104/D104,"")</f>
        <v>2.23711405166982</v>
      </c>
      <c r="I104" s="9" t="n">
        <f aca="false">IF(G104&gt;0,F104*Load_Model_Assumptions!$B$5/G104,"")</f>
        <v>0.82119820860209</v>
      </c>
    </row>
    <row r="105" customFormat="false" ht="15" hidden="false" customHeight="false" outlineLevel="0" collapsed="false">
      <c r="A105" s="2" t="s">
        <v>131</v>
      </c>
      <c r="B105" s="2" t="s">
        <v>29</v>
      </c>
      <c r="C105" s="2" t="n">
        <v>1</v>
      </c>
      <c r="D105" s="2" t="n">
        <v>12</v>
      </c>
      <c r="E105" s="2" t="n">
        <v>53</v>
      </c>
      <c r="F105" s="2" t="n">
        <v>217</v>
      </c>
      <c r="G105" s="7" t="n">
        <f aca="false">E105*Load_Model_Assumptions!$B$6+F105*Load_Model_Assumptions!$B$5</f>
        <v>108.833858433102</v>
      </c>
      <c r="H105" s="8" t="n">
        <f aca="false">IF(D105&gt;0,G105/D105,"")</f>
        <v>9.06948820275852</v>
      </c>
      <c r="I105" s="9" t="n">
        <f aca="false">IF(G105&gt;0,F105*Load_Model_Assumptions!$B$5/G105,"")</f>
        <v>0.513019194917381</v>
      </c>
    </row>
    <row r="106" customFormat="false" ht="15" hidden="false" customHeight="false" outlineLevel="0" collapsed="false">
      <c r="A106" s="2" t="s">
        <v>132</v>
      </c>
      <c r="B106" s="2" t="s">
        <v>29</v>
      </c>
      <c r="C106" s="2" t="n">
        <v>3</v>
      </c>
      <c r="D106" s="2" t="n">
        <v>15</v>
      </c>
      <c r="E106" s="2" t="n">
        <v>56</v>
      </c>
      <c r="F106" s="2" t="n">
        <v>199</v>
      </c>
      <c r="G106" s="7" t="n">
        <f aca="false">E106*Load_Model_Assumptions!$B$6+F106*Load_Model_Assumptions!$B$5</f>
        <v>107.202478470909</v>
      </c>
      <c r="H106" s="8" t="n">
        <f aca="false">IF(D106&gt;0,G106/D106,"")</f>
        <v>7.14683189806063</v>
      </c>
      <c r="I106" s="9" t="n">
        <f aca="false">IF(G106&gt;0,F106*Load_Model_Assumptions!$B$5/G106,"")</f>
        <v>0.477624017664888</v>
      </c>
    </row>
    <row r="107" customFormat="false" ht="15" hidden="false" customHeight="false" outlineLevel="0" collapsed="false">
      <c r="A107" s="2" t="s">
        <v>133</v>
      </c>
      <c r="B107" s="2" t="s">
        <v>24</v>
      </c>
      <c r="C107" s="2" t="n">
        <v>2</v>
      </c>
      <c r="D107" s="2" t="n">
        <v>10</v>
      </c>
      <c r="E107" s="2" t="n">
        <v>56</v>
      </c>
      <c r="F107" s="2" t="n">
        <v>198</v>
      </c>
      <c r="G107" s="7" t="n">
        <f aca="false">E107*Load_Model_Assumptions!$B$6+F107*Load_Model_Assumptions!$B$5</f>
        <v>106.945179584121</v>
      </c>
      <c r="H107" s="8" t="n">
        <f aca="false">IF(D107&gt;0,G107/D107,"")</f>
        <v>10.6945179584121</v>
      </c>
      <c r="I107" s="9" t="n">
        <f aca="false">IF(G107&gt;0,F107*Load_Model_Assumptions!$B$5/G107,"")</f>
        <v>0.476367235832715</v>
      </c>
    </row>
    <row r="108" customFormat="false" ht="15" hidden="false" customHeight="false" outlineLevel="0" collapsed="false">
      <c r="A108" s="2" t="s">
        <v>134</v>
      </c>
      <c r="B108" s="2" t="s">
        <v>24</v>
      </c>
      <c r="C108" s="2" t="n">
        <v>2</v>
      </c>
      <c r="D108" s="2" t="n">
        <v>14</v>
      </c>
      <c r="E108" s="2" t="n">
        <v>54</v>
      </c>
      <c r="F108" s="2" t="n">
        <v>205</v>
      </c>
      <c r="G108" s="7" t="n">
        <f aca="false">E108*Load_Model_Assumptions!$B$6+F108*Load_Model_Assumptions!$B$5</f>
        <v>106.74627179164</v>
      </c>
      <c r="H108" s="8" t="n">
        <f aca="false">IF(D108&gt;0,G108/D108,"")</f>
        <v>7.62473369940289</v>
      </c>
      <c r="I108" s="9" t="n">
        <f aca="false">IF(G108&gt;0,F108*Load_Model_Assumptions!$B$5/G108,"")</f>
        <v>0.494127531634984</v>
      </c>
    </row>
    <row r="109" customFormat="false" ht="15" hidden="false" customHeight="false" outlineLevel="0" collapsed="false">
      <c r="A109" s="2" t="s">
        <v>135</v>
      </c>
      <c r="B109" s="2" t="s">
        <v>29</v>
      </c>
      <c r="C109" s="2" t="n">
        <v>2</v>
      </c>
      <c r="D109" s="2" t="n">
        <v>16</v>
      </c>
      <c r="E109" s="2" t="n">
        <v>61</v>
      </c>
      <c r="F109" s="2" t="n">
        <v>171</v>
      </c>
      <c r="G109" s="7" t="n">
        <f aca="false">E109*Load_Model_Assumptions!$B$6+F109*Load_Model_Assumptions!$B$5</f>
        <v>104.998109640832</v>
      </c>
      <c r="H109" s="8" t="n">
        <f aca="false">IF(D109&gt;0,G109/D109,"")</f>
        <v>6.56238185255199</v>
      </c>
      <c r="I109" s="9" t="n">
        <f aca="false">IF(G109&gt;0,F109*Load_Model_Assumptions!$B$5/G109,"")</f>
        <v>0.419037159729224</v>
      </c>
    </row>
    <row r="110" customFormat="false" ht="15" hidden="false" customHeight="false" outlineLevel="0" collapsed="false">
      <c r="A110" s="2" t="s">
        <v>136</v>
      </c>
      <c r="B110" s="2" t="s">
        <v>29</v>
      </c>
      <c r="C110" s="2" t="n">
        <v>2</v>
      </c>
      <c r="D110" s="2" t="n">
        <v>19</v>
      </c>
      <c r="E110" s="2" t="n">
        <v>50</v>
      </c>
      <c r="F110" s="2" t="n">
        <v>211</v>
      </c>
      <c r="G110" s="7" t="n">
        <f aca="false">E110*Load_Model_Assumptions!$B$6+F110*Load_Model_Assumptions!$B$5</f>
        <v>104.290065112371</v>
      </c>
      <c r="H110" s="8" t="n">
        <f aca="false">IF(D110&gt;0,G110/D110,"")</f>
        <v>5.48895079538797</v>
      </c>
      <c r="I110" s="9" t="n">
        <f aca="false">IF(G110&gt;0,F110*Load_Model_Assumptions!$B$5/G110,"")</f>
        <v>0.520567947233271</v>
      </c>
    </row>
    <row r="111" customFormat="false" ht="15" hidden="false" customHeight="false" outlineLevel="0" collapsed="false">
      <c r="A111" s="2" t="s">
        <v>137</v>
      </c>
      <c r="B111" s="2" t="s">
        <v>29</v>
      </c>
      <c r="C111" s="2" t="n">
        <v>3</v>
      </c>
      <c r="D111" s="2" t="n">
        <v>21</v>
      </c>
      <c r="E111" s="2" t="n">
        <v>48</v>
      </c>
      <c r="F111" s="2" t="n">
        <v>216</v>
      </c>
      <c r="G111" s="7" t="n">
        <f aca="false">E111*Load_Model_Assumptions!$B$6+F111*Load_Model_Assumptions!$B$5</f>
        <v>103.576559546314</v>
      </c>
      <c r="H111" s="8" t="n">
        <f aca="false">IF(D111&gt;0,G111/D111,"")</f>
        <v>4.93221712125304</v>
      </c>
      <c r="I111" s="9" t="n">
        <f aca="false">IF(G111&gt;0,F111*Load_Model_Assumptions!$B$5/G111,"")</f>
        <v>0.536574682435392</v>
      </c>
    </row>
    <row r="112" customFormat="false" ht="15" hidden="false" customHeight="false" outlineLevel="0" collapsed="false">
      <c r="A112" s="2" t="s">
        <v>138</v>
      </c>
      <c r="B112" s="2" t="s">
        <v>29</v>
      </c>
      <c r="C112" s="2" t="n">
        <v>2</v>
      </c>
      <c r="D112" s="2" t="n">
        <v>14</v>
      </c>
      <c r="E112" s="2" t="n">
        <v>55</v>
      </c>
      <c r="F112" s="2" t="n">
        <v>185</v>
      </c>
      <c r="G112" s="7" t="n">
        <f aca="false">E112*Load_Model_Assumptions!$B$6+F112*Load_Model_Assumptions!$B$5</f>
        <v>102.600294055871</v>
      </c>
      <c r="H112" s="8" t="n">
        <f aca="false">IF(D112&gt;0,G112/D112,"")</f>
        <v>7.32859243256219</v>
      </c>
      <c r="I112" s="9" t="n">
        <f aca="false">IF(G112&gt;0,F112*Load_Model_Assumptions!$B$5/G112,"")</f>
        <v>0.463939158205044</v>
      </c>
    </row>
    <row r="113" customFormat="false" ht="15" hidden="false" customHeight="false" outlineLevel="0" collapsed="false">
      <c r="A113" s="2" t="s">
        <v>139</v>
      </c>
      <c r="B113" s="2" t="s">
        <v>115</v>
      </c>
      <c r="C113" s="2" t="n">
        <v>3</v>
      </c>
      <c r="D113" s="2" t="n">
        <v>32</v>
      </c>
      <c r="E113" s="2" t="n">
        <v>45</v>
      </c>
      <c r="F113" s="2" t="n">
        <v>220</v>
      </c>
      <c r="G113" s="7" t="n">
        <f aca="false">E113*Load_Model_Assumptions!$B$6+F113*Load_Model_Assumptions!$B$5</f>
        <v>101.605755093468</v>
      </c>
      <c r="H113" s="8" t="n">
        <f aca="false">IF(D113&gt;0,G113/D113,"")</f>
        <v>3.17517984667087</v>
      </c>
      <c r="I113" s="9" t="n">
        <f aca="false">IF(G113&gt;0,F113*Load_Model_Assumptions!$B$5/G113,"")</f>
        <v>0.557111701412935</v>
      </c>
    </row>
    <row r="114" customFormat="false" ht="15" hidden="false" customHeight="false" outlineLevel="0" collapsed="false">
      <c r="A114" s="2" t="s">
        <v>140</v>
      </c>
      <c r="B114" s="2" t="s">
        <v>117</v>
      </c>
      <c r="C114" s="2" t="n">
        <v>3</v>
      </c>
      <c r="D114" s="2" t="n">
        <v>32</v>
      </c>
      <c r="E114" s="2" t="n">
        <v>35</v>
      </c>
      <c r="F114" s="2" t="n">
        <v>253</v>
      </c>
      <c r="G114" s="7" t="n">
        <f aca="false">E114*Load_Model_Assumptions!$B$6+F114*Load_Model_Assumptions!$B$5</f>
        <v>100.096618357488</v>
      </c>
      <c r="H114" s="8" t="n">
        <f aca="false">IF(D114&gt;0,G114/D114,"")</f>
        <v>3.1280193236715</v>
      </c>
      <c r="I114" s="9" t="n">
        <f aca="false">IF(G114&gt;0,F114*Load_Model_Assumptions!$B$5/G114,"")</f>
        <v>0.650337837837838</v>
      </c>
    </row>
    <row r="115" customFormat="false" ht="15" hidden="false" customHeight="false" outlineLevel="0" collapsed="false">
      <c r="A115" s="2" t="s">
        <v>141</v>
      </c>
      <c r="B115" s="2" t="s">
        <v>29</v>
      </c>
      <c r="C115" s="2" t="n">
        <v>2</v>
      </c>
      <c r="D115" s="2" t="n">
        <v>18</v>
      </c>
      <c r="E115" s="2" t="n">
        <v>49</v>
      </c>
      <c r="F115" s="2" t="n">
        <v>198</v>
      </c>
      <c r="G115" s="7" t="n">
        <f aca="false">E115*Load_Model_Assumptions!$B$6+F115*Load_Model_Assumptions!$B$5</f>
        <v>99.945179584121</v>
      </c>
      <c r="H115" s="8" t="n">
        <f aca="false">IF(D115&gt;0,G115/D115,"")</f>
        <v>5.55250997689561</v>
      </c>
      <c r="I115" s="9" t="n">
        <f aca="false">IF(G115&gt;0,F115*Load_Model_Assumptions!$B$5/G115,"")</f>
        <v>0.509731232622799</v>
      </c>
    </row>
    <row r="116" customFormat="false" ht="15" hidden="false" customHeight="false" outlineLevel="0" collapsed="false">
      <c r="A116" s="2" t="s">
        <v>142</v>
      </c>
      <c r="B116" s="2" t="s">
        <v>117</v>
      </c>
      <c r="C116" s="2" t="n">
        <v>5</v>
      </c>
      <c r="D116" s="2" t="n">
        <v>49</v>
      </c>
      <c r="E116" s="2" t="n">
        <v>16</v>
      </c>
      <c r="F116" s="2" t="n">
        <v>325</v>
      </c>
      <c r="G116" s="7" t="n">
        <f aca="false">E116*Load_Model_Assumptions!$B$6+F116*Load_Model_Assumptions!$B$5</f>
        <v>99.6221382062592</v>
      </c>
      <c r="H116" s="8" t="n">
        <f aca="false">IF(D116&gt;0,G116/D116,"")</f>
        <v>2.03310486135223</v>
      </c>
      <c r="I116" s="9" t="n">
        <f aca="false">IF(G116&gt;0,F116*Load_Model_Assumptions!$B$5/G116,"")</f>
        <v>0.839393127992562</v>
      </c>
    </row>
    <row r="117" customFormat="false" ht="15" hidden="false" customHeight="false" outlineLevel="0" collapsed="false">
      <c r="A117" s="2" t="s">
        <v>143</v>
      </c>
      <c r="B117" s="2" t="s">
        <v>117</v>
      </c>
      <c r="C117" s="2" t="n">
        <v>5</v>
      </c>
      <c r="D117" s="2" t="n">
        <v>52</v>
      </c>
      <c r="E117" s="2" t="n">
        <v>3</v>
      </c>
      <c r="F117" s="2" t="n">
        <v>373</v>
      </c>
      <c r="G117" s="7" t="n">
        <f aca="false">E117*Load_Model_Assumptions!$B$6+F117*Load_Model_Assumptions!$B$5</f>
        <v>98.9724847721067</v>
      </c>
      <c r="H117" s="8" t="n">
        <f aca="false">IF(D117&gt;0,G117/D117,"")</f>
        <v>1.90331701484821</v>
      </c>
      <c r="I117" s="9" t="n">
        <f aca="false">IF(G117&gt;0,F117*Load_Model_Assumptions!$B$5/G117,"")</f>
        <v>0.96968854518599</v>
      </c>
    </row>
    <row r="118" customFormat="false" ht="15" hidden="false" customHeight="false" outlineLevel="0" collapsed="false">
      <c r="A118" s="2" t="s">
        <v>144</v>
      </c>
      <c r="B118" s="2" t="s">
        <v>117</v>
      </c>
      <c r="C118" s="2" t="n">
        <v>5</v>
      </c>
      <c r="D118" s="2" t="n">
        <v>50</v>
      </c>
      <c r="E118" s="2" t="n">
        <v>3</v>
      </c>
      <c r="F118" s="2" t="n">
        <v>367</v>
      </c>
      <c r="G118" s="7" t="n">
        <f aca="false">E118*Load_Model_Assumptions!$B$6+F118*Load_Model_Assumptions!$B$5</f>
        <v>97.4286914513758</v>
      </c>
      <c r="H118" s="8" t="n">
        <f aca="false">IF(D118&gt;0,G118/D118,"")</f>
        <v>1.94857382902752</v>
      </c>
      <c r="I118" s="9" t="n">
        <f aca="false">IF(G118&gt;0,F118*Load_Model_Assumptions!$B$5/G118,"")</f>
        <v>0.969208249076226</v>
      </c>
    </row>
    <row r="119" customFormat="false" ht="15" hidden="false" customHeight="false" outlineLevel="0" collapsed="false">
      <c r="A119" s="2" t="s">
        <v>145</v>
      </c>
      <c r="B119" s="2" t="s">
        <v>29</v>
      </c>
      <c r="C119" s="2" t="n">
        <v>1</v>
      </c>
      <c r="D119" s="2" t="n">
        <v>10</v>
      </c>
      <c r="E119" s="2" t="n">
        <v>64</v>
      </c>
      <c r="F119" s="2" t="n">
        <v>115</v>
      </c>
      <c r="G119" s="7" t="n">
        <f aca="false">E119*Load_Model_Assumptions!$B$6+F119*Load_Model_Assumptions!$B$5</f>
        <v>93.5893719806763</v>
      </c>
      <c r="H119" s="8" t="n">
        <f aca="false">IF(D119&gt;0,G119/D119,"")</f>
        <v>9.35893719806763</v>
      </c>
      <c r="I119" s="9" t="n">
        <f aca="false">IF(G119&gt;0,F119*Load_Model_Assumptions!$B$5/G119,"")</f>
        <v>0.316161668301244</v>
      </c>
    </row>
    <row r="120" customFormat="false" ht="15" hidden="false" customHeight="false" outlineLevel="0" collapsed="false">
      <c r="A120" s="2" t="s">
        <v>146</v>
      </c>
      <c r="B120" s="2" t="s">
        <v>117</v>
      </c>
      <c r="C120" s="2" t="n">
        <v>5</v>
      </c>
      <c r="D120" s="2" t="n">
        <v>52</v>
      </c>
      <c r="E120" s="2" t="n">
        <v>29</v>
      </c>
      <c r="F120" s="2" t="n">
        <v>244</v>
      </c>
      <c r="G120" s="7" t="n">
        <f aca="false">E120*Load_Model_Assumptions!$B$6+F120*Load_Model_Assumptions!$B$5</f>
        <v>91.7809283763915</v>
      </c>
      <c r="H120" s="8" t="n">
        <f aca="false">IF(D120&gt;0,G120/D120,"")</f>
        <v>1.76501785339214</v>
      </c>
      <c r="I120" s="9" t="n">
        <f aca="false">IF(G120&gt;0,F120*Load_Model_Assumptions!$B$5/G120,"")</f>
        <v>0.684030217246532</v>
      </c>
    </row>
    <row r="121" customFormat="false" ht="15" hidden="false" customHeight="false" outlineLevel="0" collapsed="false">
      <c r="A121" s="2" t="s">
        <v>147</v>
      </c>
      <c r="B121" s="2" t="s">
        <v>29</v>
      </c>
      <c r="C121" s="2" t="n">
        <v>1</v>
      </c>
      <c r="D121" s="2" t="n">
        <v>10</v>
      </c>
      <c r="E121" s="2" t="n">
        <v>29</v>
      </c>
      <c r="F121" s="2" t="n">
        <v>232</v>
      </c>
      <c r="G121" s="7" t="n">
        <f aca="false">E121*Load_Model_Assumptions!$B$6+F121*Load_Model_Assumptions!$B$5</f>
        <v>88.6933417349297</v>
      </c>
      <c r="H121" s="8" t="n">
        <f aca="false">IF(D121&gt;0,G121/D121,"")</f>
        <v>8.86933417349296</v>
      </c>
      <c r="I121" s="9" t="n">
        <f aca="false">IF(G121&gt;0,F121*Load_Model_Assumptions!$B$5/G121,"")</f>
        <v>0.673030698441041</v>
      </c>
    </row>
    <row r="122" customFormat="false" ht="15" hidden="false" customHeight="false" outlineLevel="0" collapsed="false">
      <c r="A122" s="2" t="s">
        <v>148</v>
      </c>
      <c r="B122" s="2" t="s">
        <v>117</v>
      </c>
      <c r="C122" s="2" t="n">
        <v>3</v>
      </c>
      <c r="D122" s="2" t="n">
        <v>27</v>
      </c>
      <c r="E122" s="2" t="n">
        <v>37</v>
      </c>
      <c r="F122" s="2" t="n">
        <v>197</v>
      </c>
      <c r="G122" s="7" t="n">
        <f aca="false">E122*Load_Model_Assumptions!$B$6+F122*Load_Model_Assumptions!$B$5</f>
        <v>87.6878806973325</v>
      </c>
      <c r="H122" s="8" t="n">
        <f aca="false">IF(D122&gt;0,G122/D122,"")</f>
        <v>3.24769928508639</v>
      </c>
      <c r="I122" s="9" t="n">
        <f aca="false">IF(G122&gt;0,F122*Load_Model_Assumptions!$B$5/G122,"")</f>
        <v>0.578048873963428</v>
      </c>
    </row>
    <row r="123" customFormat="false" ht="15" hidden="false" customHeight="false" outlineLevel="0" collapsed="false">
      <c r="A123" s="2" t="s">
        <v>149</v>
      </c>
      <c r="B123" s="2" t="s">
        <v>29</v>
      </c>
      <c r="C123" s="2" t="n">
        <v>1</v>
      </c>
      <c r="D123" s="2" t="n">
        <v>10</v>
      </c>
      <c r="E123" s="2" t="n">
        <v>35</v>
      </c>
      <c r="F123" s="2" t="n">
        <v>198</v>
      </c>
      <c r="G123" s="7" t="n">
        <f aca="false">E123*Load_Model_Assumptions!$B$6+F123*Load_Model_Assumptions!$B$5</f>
        <v>85.945179584121</v>
      </c>
      <c r="H123" s="8" t="n">
        <f aca="false">IF(D123&gt;0,G123/D123,"")</f>
        <v>8.5945179584121</v>
      </c>
      <c r="I123" s="9" t="n">
        <f aca="false">IF(G123&gt;0,F123*Load_Model_Assumptions!$B$5/G123,"")</f>
        <v>0.592763664357198</v>
      </c>
    </row>
    <row r="124" customFormat="false" ht="15" hidden="false" customHeight="false" outlineLevel="0" collapsed="false">
      <c r="A124" s="2" t="s">
        <v>150</v>
      </c>
      <c r="B124" s="2" t="s">
        <v>83</v>
      </c>
      <c r="C124" s="2" t="n">
        <v>3</v>
      </c>
      <c r="D124" s="2" t="n">
        <v>23</v>
      </c>
      <c r="E124" s="2" t="n">
        <v>49</v>
      </c>
      <c r="F124" s="2" t="n">
        <v>140</v>
      </c>
      <c r="G124" s="7" t="n">
        <f aca="false">E124*Load_Model_Assumptions!$B$6+F124*Load_Model_Assumptions!$B$5</f>
        <v>85.0218441503886</v>
      </c>
      <c r="H124" s="8" t="n">
        <f aca="false">IF(D124&gt;0,G124/D124,"")</f>
        <v>3.69660191958211</v>
      </c>
      <c r="I124" s="9" t="n">
        <f aca="false">IF(G124&gt;0,F124*Load_Model_Assumptions!$B$5/G124,"")</f>
        <v>0.423677520881249</v>
      </c>
    </row>
    <row r="125" customFormat="false" ht="15" hidden="false" customHeight="false" outlineLevel="0" collapsed="false">
      <c r="A125" s="2" t="s">
        <v>151</v>
      </c>
      <c r="B125" s="2" t="s">
        <v>29</v>
      </c>
      <c r="C125" s="2" t="n">
        <v>1</v>
      </c>
      <c r="D125" s="2" t="n">
        <v>10</v>
      </c>
      <c r="E125" s="2" t="n">
        <v>40</v>
      </c>
      <c r="F125" s="2" t="n">
        <v>165</v>
      </c>
      <c r="G125" s="7" t="n">
        <f aca="false">E125*Load_Model_Assumptions!$B$6+F125*Load_Model_Assumptions!$B$5</f>
        <v>82.4543163201008</v>
      </c>
      <c r="H125" s="8" t="n">
        <f aca="false">IF(D125&gt;0,G125/D125,"")</f>
        <v>8.24543163201008</v>
      </c>
      <c r="I125" s="9" t="n">
        <f aca="false">IF(G125&gt;0,F125*Load_Model_Assumptions!$B$5/G125,"")</f>
        <v>0.514882885636774</v>
      </c>
    </row>
    <row r="126" customFormat="false" ht="15" hidden="false" customHeight="false" outlineLevel="0" collapsed="false">
      <c r="A126" s="2" t="s">
        <v>152</v>
      </c>
      <c r="B126" s="2" t="s">
        <v>117</v>
      </c>
      <c r="C126" s="2" t="n">
        <v>3</v>
      </c>
      <c r="D126" s="2" t="n">
        <v>32</v>
      </c>
      <c r="E126" s="2" t="n">
        <v>12</v>
      </c>
      <c r="F126" s="2" t="n">
        <v>273</v>
      </c>
      <c r="G126" s="7" t="n">
        <f aca="false">E126*Load_Model_Assumptions!$B$6+F126*Load_Model_Assumptions!$B$5</f>
        <v>82.2425960932577</v>
      </c>
      <c r="H126" s="8" t="n">
        <f aca="false">IF(D126&gt;0,G126/D126,"")</f>
        <v>2.5700811279143</v>
      </c>
      <c r="I126" s="9" t="n">
        <f aca="false">IF(G126&gt;0,F126*Load_Model_Assumptions!$B$5/G126,"")</f>
        <v>0.854090209088332</v>
      </c>
    </row>
    <row r="127" customFormat="false" ht="15" hidden="false" customHeight="false" outlineLevel="0" collapsed="false">
      <c r="A127" s="2" t="s">
        <v>153</v>
      </c>
      <c r="B127" s="2" t="s">
        <v>117</v>
      </c>
      <c r="C127" s="2" t="n">
        <v>4</v>
      </c>
      <c r="D127" s="2" t="n">
        <v>37</v>
      </c>
      <c r="E127" s="2" t="n">
        <v>16</v>
      </c>
      <c r="F127" s="2" t="n">
        <v>251</v>
      </c>
      <c r="G127" s="7" t="n">
        <f aca="false">E127*Load_Model_Assumptions!$B$6+F127*Load_Model_Assumptions!$B$5</f>
        <v>80.582020583911</v>
      </c>
      <c r="H127" s="8" t="n">
        <f aca="false">IF(D127&gt;0,G127/D127,"")</f>
        <v>2.17789244821381</v>
      </c>
      <c r="I127" s="9" t="n">
        <f aca="false">IF(G127&gt;0,F127*Load_Model_Assumptions!$B$5/G127,"")</f>
        <v>0.801444542044723</v>
      </c>
    </row>
    <row r="128" customFormat="false" ht="15" hidden="false" customHeight="false" outlineLevel="0" collapsed="false">
      <c r="A128" s="2" t="s">
        <v>154</v>
      </c>
      <c r="B128" s="2" t="s">
        <v>24</v>
      </c>
      <c r="C128" s="2" t="n">
        <v>3</v>
      </c>
      <c r="D128" s="2" t="n">
        <v>8</v>
      </c>
      <c r="E128" s="2" t="n">
        <v>29</v>
      </c>
      <c r="F128" s="2" t="n">
        <v>199</v>
      </c>
      <c r="G128" s="7" t="n">
        <f aca="false">E128*Load_Model_Assumptions!$B$6+F128*Load_Model_Assumptions!$B$5</f>
        <v>80.2024784709095</v>
      </c>
      <c r="H128" s="8" t="n">
        <f aca="false">IF(D128&gt;0,G128/D128,"")</f>
        <v>10.0253098088637</v>
      </c>
      <c r="I128" s="9" t="n">
        <f aca="false">IF(G128&gt;0,F128*Load_Model_Assumptions!$B$5/G128,"")</f>
        <v>0.638415164307937</v>
      </c>
    </row>
    <row r="129" customFormat="false" ht="15" hidden="false" customHeight="false" outlineLevel="0" collapsed="false">
      <c r="A129" s="2" t="s">
        <v>155</v>
      </c>
      <c r="B129" s="2" t="s">
        <v>117</v>
      </c>
      <c r="C129" s="2" t="n">
        <v>4</v>
      </c>
      <c r="D129" s="2" t="n">
        <v>40</v>
      </c>
      <c r="E129" s="2" t="n">
        <v>3</v>
      </c>
      <c r="F129" s="2" t="n">
        <v>299</v>
      </c>
      <c r="G129" s="7" t="n">
        <f aca="false">E129*Load_Model_Assumptions!$B$6+F129*Load_Model_Assumptions!$B$5</f>
        <v>79.9323671497585</v>
      </c>
      <c r="H129" s="8" t="n">
        <f aca="false">IF(D129&gt;0,G129/D129,"")</f>
        <v>1.99830917874396</v>
      </c>
      <c r="I129" s="9" t="n">
        <f aca="false">IF(G129&gt;0,F129*Load_Model_Assumptions!$B$5/G129,"")</f>
        <v>0.962468270276804</v>
      </c>
    </row>
    <row r="130" customFormat="false" ht="15" hidden="false" customHeight="false" outlineLevel="0" collapsed="false">
      <c r="A130" s="2" t="s">
        <v>156</v>
      </c>
      <c r="B130" s="2" t="s">
        <v>24</v>
      </c>
      <c r="C130" s="2" t="n">
        <v>1</v>
      </c>
      <c r="D130" s="2" t="n">
        <v>8</v>
      </c>
      <c r="E130" s="2" t="n">
        <v>47</v>
      </c>
      <c r="F130" s="2" t="n">
        <v>119</v>
      </c>
      <c r="G130" s="7" t="n">
        <f aca="false">E130*Load_Model_Assumptions!$B$6+F130*Load_Model_Assumptions!$B$5</f>
        <v>77.6185675278303</v>
      </c>
      <c r="H130" s="8" t="n">
        <f aca="false">IF(D130&gt;0,G130/D130,"")</f>
        <v>9.70232094097879</v>
      </c>
      <c r="I130" s="9" t="n">
        <f aca="false">IF(G130&gt;0,F130*Load_Model_Assumptions!$B$5/G130,"")</f>
        <v>0.394474782298088</v>
      </c>
    </row>
    <row r="131" customFormat="false" ht="15" hidden="false" customHeight="false" outlineLevel="0" collapsed="false">
      <c r="A131" s="2" t="s">
        <v>157</v>
      </c>
      <c r="B131" s="2" t="s">
        <v>29</v>
      </c>
      <c r="C131" s="2" t="n">
        <v>2</v>
      </c>
      <c r="D131" s="2" t="n">
        <v>12</v>
      </c>
      <c r="E131" s="2" t="n">
        <v>32</v>
      </c>
      <c r="F131" s="2" t="n">
        <v>174</v>
      </c>
      <c r="G131" s="7" t="n">
        <f aca="false">E131*Load_Model_Assumptions!$B$6+F131*Load_Model_Assumptions!$B$5</f>
        <v>76.7700063011972</v>
      </c>
      <c r="H131" s="8" t="n">
        <f aca="false">IF(D131&gt;0,G131/D131,"")</f>
        <v>6.39750052509977</v>
      </c>
      <c r="I131" s="9" t="n">
        <f aca="false">IF(G131&gt;0,F131*Load_Model_Assumptions!$B$5/G131,"")</f>
        <v>0.583170543526438</v>
      </c>
    </row>
    <row r="132" customFormat="false" ht="15" hidden="false" customHeight="false" outlineLevel="0" collapsed="false">
      <c r="A132" s="2" t="s">
        <v>158</v>
      </c>
      <c r="B132" s="2" t="s">
        <v>83</v>
      </c>
      <c r="C132" s="2" t="n">
        <v>3</v>
      </c>
      <c r="D132" s="2" t="n">
        <v>29</v>
      </c>
      <c r="E132" s="2" t="n">
        <v>21</v>
      </c>
      <c r="F132" s="2" t="n">
        <v>216</v>
      </c>
      <c r="G132" s="7" t="n">
        <f aca="false">E132*Load_Model_Assumptions!$B$6+F132*Load_Model_Assumptions!$B$5</f>
        <v>76.5765595463138</v>
      </c>
      <c r="H132" s="8" t="n">
        <f aca="false">IF(D132&gt;0,G132/D132,"")</f>
        <v>2.64057101883841</v>
      </c>
      <c r="I132" s="9" t="n">
        <f aca="false">IF(G132&gt;0,F132*Load_Model_Assumptions!$B$5/G132,"")</f>
        <v>0.725764644893727</v>
      </c>
    </row>
    <row r="133" customFormat="false" ht="15" hidden="false" customHeight="false" outlineLevel="0" collapsed="false">
      <c r="A133" s="2" t="s">
        <v>159</v>
      </c>
      <c r="B133" s="2" t="s">
        <v>117</v>
      </c>
      <c r="C133" s="2" t="n">
        <v>5</v>
      </c>
      <c r="D133" s="2" t="n">
        <v>45</v>
      </c>
      <c r="E133" s="2" t="n">
        <v>10</v>
      </c>
      <c r="F133" s="2" t="n">
        <v>258</v>
      </c>
      <c r="G133" s="7" t="n">
        <f aca="false">E133*Load_Model_Assumptions!$B$6+F133*Load_Model_Assumptions!$B$5</f>
        <v>76.3831127914304</v>
      </c>
      <c r="H133" s="8" t="n">
        <f aca="false">IF(D133&gt;0,G133/D133,"")</f>
        <v>1.69740250647623</v>
      </c>
      <c r="I133" s="9" t="n">
        <f aca="false">IF(G133&gt;0,F133*Load_Model_Assumptions!$B$5/G133,"")</f>
        <v>0.869081009734367</v>
      </c>
    </row>
    <row r="134" customFormat="false" ht="15" hidden="false" customHeight="false" outlineLevel="0" collapsed="false">
      <c r="A134" s="2" t="s">
        <v>160</v>
      </c>
      <c r="B134" s="2" t="s">
        <v>83</v>
      </c>
      <c r="C134" s="2" t="n">
        <v>4</v>
      </c>
      <c r="D134" s="2" t="n">
        <v>42</v>
      </c>
      <c r="E134" s="2" t="n">
        <v>20</v>
      </c>
      <c r="F134" s="2" t="n">
        <v>219</v>
      </c>
      <c r="G134" s="7" t="n">
        <f aca="false">E134*Load_Model_Assumptions!$B$6+F134*Load_Model_Assumptions!$B$5</f>
        <v>76.3484562066793</v>
      </c>
      <c r="H134" s="8" t="n">
        <f aca="false">IF(D134&gt;0,G134/D134,"")</f>
        <v>1.81782038587332</v>
      </c>
      <c r="I134" s="9" t="n">
        <f aca="false">IF(G134&gt;0,F134*Load_Model_Assumptions!$B$5/G134,"")</f>
        <v>0.738043164280114</v>
      </c>
    </row>
    <row r="135" customFormat="false" ht="15" hidden="false" customHeight="false" outlineLevel="0" collapsed="false">
      <c r="A135" s="2" t="s">
        <v>161</v>
      </c>
      <c r="B135" s="2" t="s">
        <v>117</v>
      </c>
      <c r="C135" s="2" t="n">
        <v>4</v>
      </c>
      <c r="D135" s="2" t="n">
        <v>34</v>
      </c>
      <c r="E135" s="2" t="n">
        <v>7</v>
      </c>
      <c r="F135" s="2" t="n">
        <v>263</v>
      </c>
      <c r="G135" s="7" t="n">
        <f aca="false">E135*Load_Model_Assumptions!$B$6+F135*Load_Model_Assumptions!$B$5</f>
        <v>74.6696072253728</v>
      </c>
      <c r="H135" s="8" t="n">
        <f aca="false">IF(D135&gt;0,G135/D135,"")</f>
        <v>2.19616491839332</v>
      </c>
      <c r="I135" s="9" t="n">
        <f aca="false">IF(G135&gt;0,F135*Load_Model_Assumptions!$B$5/G135,"")</f>
        <v>0.906253691962352</v>
      </c>
    </row>
    <row r="136" customFormat="false" ht="15" hidden="false" customHeight="false" outlineLevel="0" collapsed="false">
      <c r="A136" s="2" t="s">
        <v>162</v>
      </c>
      <c r="B136" s="2" t="s">
        <v>117</v>
      </c>
      <c r="C136" s="2" t="n">
        <v>5</v>
      </c>
      <c r="D136" s="2" t="n">
        <v>52</v>
      </c>
      <c r="E136" s="2" t="n">
        <v>8</v>
      </c>
      <c r="F136" s="2" t="n">
        <v>255</v>
      </c>
      <c r="G136" s="7" t="n">
        <f aca="false">E136*Load_Model_Assumptions!$B$6+F136*Load_Model_Assumptions!$B$5</f>
        <v>73.6112161310649</v>
      </c>
      <c r="H136" s="8" t="n">
        <f aca="false">IF(D136&gt;0,G136/D136,"")</f>
        <v>1.41560031021279</v>
      </c>
      <c r="I136" s="9" t="n">
        <f aca="false">IF(G136&gt;0,F136*Load_Model_Assumptions!$B$5/G136,"")</f>
        <v>0.891320909767936</v>
      </c>
    </row>
    <row r="137" customFormat="false" ht="15" hidden="false" customHeight="false" outlineLevel="0" collapsed="false">
      <c r="A137" s="2" t="s">
        <v>163</v>
      </c>
      <c r="B137" s="2" t="s">
        <v>83</v>
      </c>
      <c r="C137" s="2" t="n">
        <v>3</v>
      </c>
      <c r="D137" s="2" t="n">
        <v>27</v>
      </c>
      <c r="E137" s="2" t="n">
        <v>21</v>
      </c>
      <c r="F137" s="2" t="n">
        <v>204</v>
      </c>
      <c r="G137" s="7" t="n">
        <f aca="false">E137*Load_Model_Assumptions!$B$6+F137*Load_Model_Assumptions!$B$5</f>
        <v>73.4889729048519</v>
      </c>
      <c r="H137" s="8" t="n">
        <f aca="false">IF(D137&gt;0,G137/D137,"")</f>
        <v>2.72181381129081</v>
      </c>
      <c r="I137" s="9" t="n">
        <f aca="false">IF(G137&gt;0,F137*Load_Model_Assumptions!$B$5/G137,"")</f>
        <v>0.714242842566473</v>
      </c>
    </row>
    <row r="138" customFormat="false" ht="15" hidden="false" customHeight="false" outlineLevel="0" collapsed="false">
      <c r="A138" s="2" t="s">
        <v>164</v>
      </c>
      <c r="B138" s="2" t="s">
        <v>83</v>
      </c>
      <c r="C138" s="2" t="n">
        <v>5</v>
      </c>
      <c r="D138" s="2" t="n">
        <v>52</v>
      </c>
      <c r="E138" s="2" t="n">
        <v>7</v>
      </c>
      <c r="F138" s="2" t="n">
        <v>258</v>
      </c>
      <c r="G138" s="7" t="n">
        <f aca="false">E138*Load_Model_Assumptions!$B$6+F138*Load_Model_Assumptions!$B$5</f>
        <v>73.3831127914304</v>
      </c>
      <c r="H138" s="8" t="n">
        <f aca="false">IF(D138&gt;0,G138/D138,"")</f>
        <v>1.41121370752751</v>
      </c>
      <c r="I138" s="9" t="n">
        <f aca="false">IF(G138&gt;0,F138*Load_Model_Assumptions!$B$5/G138,"")</f>
        <v>0.904610206166977</v>
      </c>
    </row>
    <row r="139" customFormat="false" ht="15" hidden="false" customHeight="false" outlineLevel="0" collapsed="false">
      <c r="A139" s="2" t="s">
        <v>165</v>
      </c>
      <c r="B139" s="2" t="s">
        <v>83</v>
      </c>
      <c r="C139" s="2" t="n">
        <v>4</v>
      </c>
      <c r="D139" s="2" t="n">
        <v>33</v>
      </c>
      <c r="E139" s="2" t="n">
        <v>10</v>
      </c>
      <c r="F139" s="2" t="n">
        <v>245</v>
      </c>
      <c r="G139" s="7" t="n">
        <f aca="false">E139*Load_Model_Assumptions!$B$6+F139*Load_Model_Assumptions!$B$5</f>
        <v>73.03822726318</v>
      </c>
      <c r="H139" s="8" t="n">
        <f aca="false">IF(D139&gt;0,G139/D139,"")</f>
        <v>2.21327961403576</v>
      </c>
      <c r="I139" s="9" t="n">
        <f aca="false">IF(G139&gt;0,F139*Load_Model_Assumptions!$B$5/G139,"")</f>
        <v>0.863085395487944</v>
      </c>
    </row>
    <row r="140" customFormat="false" ht="15" hidden="false" customHeight="false" outlineLevel="0" collapsed="false">
      <c r="A140" s="2" t="s">
        <v>166</v>
      </c>
      <c r="B140" s="2" t="s">
        <v>24</v>
      </c>
      <c r="C140" s="2" t="n">
        <v>2</v>
      </c>
      <c r="D140" s="2" t="n">
        <v>13</v>
      </c>
      <c r="E140" s="2" t="n">
        <v>49</v>
      </c>
      <c r="F140" s="2" t="n">
        <v>82</v>
      </c>
      <c r="G140" s="7" t="n">
        <f aca="false">E140*Load_Model_Assumptions!$B$6+F140*Load_Model_Assumptions!$B$5</f>
        <v>70.0985087166562</v>
      </c>
      <c r="H140" s="8" t="n">
        <f aca="false">IF(D140&gt;0,G140/D140,"")</f>
        <v>5.39219297820432</v>
      </c>
      <c r="I140" s="9" t="n">
        <f aca="false">IF(G140&gt;0,F140*Load_Model_Assumptions!$B$5/G140,"")</f>
        <v>0.300983702833651</v>
      </c>
    </row>
    <row r="141" customFormat="false" ht="15" hidden="false" customHeight="false" outlineLevel="0" collapsed="false">
      <c r="A141" s="2" t="s">
        <v>167</v>
      </c>
      <c r="B141" s="2" t="s">
        <v>29</v>
      </c>
      <c r="C141" s="2" t="n">
        <v>1</v>
      </c>
      <c r="D141" s="2" t="n">
        <v>9</v>
      </c>
      <c r="E141" s="2" t="n">
        <v>44</v>
      </c>
      <c r="F141" s="2" t="n">
        <v>98</v>
      </c>
      <c r="G141" s="7" t="n">
        <f aca="false">E141*Load_Model_Assumptions!$B$6+F141*Load_Model_Assumptions!$B$5</f>
        <v>69.215290905272</v>
      </c>
      <c r="H141" s="8" t="n">
        <f aca="false">IF(D141&gt;0,G141/D141,"")</f>
        <v>7.69058787836356</v>
      </c>
      <c r="I141" s="9" t="n">
        <f aca="false">IF(G141&gt;0,F141*Load_Model_Assumptions!$B$5/G141,"")</f>
        <v>0.364302317818495</v>
      </c>
    </row>
    <row r="142" customFormat="false" ht="15" hidden="false" customHeight="false" outlineLevel="0" collapsed="false">
      <c r="A142" s="2" t="s">
        <v>168</v>
      </c>
      <c r="B142" s="2" t="s">
        <v>115</v>
      </c>
      <c r="C142" s="2" t="n">
        <v>3</v>
      </c>
      <c r="D142" s="2" t="n">
        <v>32</v>
      </c>
      <c r="E142" s="2" t="n">
        <v>17</v>
      </c>
      <c r="F142" s="2" t="n">
        <v>202</v>
      </c>
      <c r="G142" s="7" t="n">
        <f aca="false">E142*Load_Model_Assumptions!$B$6+F142*Load_Model_Assumptions!$B$5</f>
        <v>68.9743751312749</v>
      </c>
      <c r="H142" s="8" t="n">
        <f aca="false">IF(D142&gt;0,G142/D142,"")</f>
        <v>2.15544922285234</v>
      </c>
      <c r="I142" s="9" t="n">
        <f aca="false">IF(G142&gt;0,F142*Load_Model_Assumptions!$B$5/G142,"")</f>
        <v>0.75353165624705</v>
      </c>
    </row>
    <row r="143" customFormat="false" ht="15" hidden="false" customHeight="false" outlineLevel="0" collapsed="false">
      <c r="A143" s="2" t="s">
        <v>169</v>
      </c>
      <c r="B143" s="2" t="s">
        <v>117</v>
      </c>
      <c r="C143" s="2" t="n">
        <v>4</v>
      </c>
      <c r="D143" s="2" t="n">
        <v>42</v>
      </c>
      <c r="E143" s="2" t="n">
        <v>3</v>
      </c>
      <c r="F143" s="2" t="n">
        <v>256</v>
      </c>
      <c r="G143" s="7" t="n">
        <f aca="false">E143*Load_Model_Assumptions!$B$6+F143*Load_Model_Assumptions!$B$5</f>
        <v>68.8685150178534</v>
      </c>
      <c r="H143" s="8" t="n">
        <f aca="false">IF(D143&gt;0,G143/D143,"")</f>
        <v>1.63972654804413</v>
      </c>
      <c r="I143" s="9" t="n">
        <f aca="false">IF(G143&gt;0,F143*Load_Model_Assumptions!$B$5/G143,"")</f>
        <v>0.956438729668815</v>
      </c>
    </row>
    <row r="144" customFormat="false" ht="15" hidden="false" customHeight="false" outlineLevel="0" collapsed="false">
      <c r="A144" s="2" t="s">
        <v>170</v>
      </c>
      <c r="B144" s="2" t="s">
        <v>29</v>
      </c>
      <c r="C144" s="2" t="n">
        <v>1</v>
      </c>
      <c r="D144" s="2" t="n">
        <v>9</v>
      </c>
      <c r="E144" s="2" t="n">
        <v>37</v>
      </c>
      <c r="F144" s="2" t="n">
        <v>123</v>
      </c>
      <c r="G144" s="7" t="n">
        <f aca="false">E144*Load_Model_Assumptions!$B$6+F144*Load_Model_Assumptions!$B$5</f>
        <v>68.6477630749843</v>
      </c>
      <c r="H144" s="8" t="n">
        <f aca="false">IF(D144&gt;0,G144/D144,"")</f>
        <v>7.62752923055381</v>
      </c>
      <c r="I144" s="9" t="n">
        <f aca="false">IF(G144&gt;0,F144*Load_Model_Assumptions!$B$5/G144,"")</f>
        <v>0.461016669114407</v>
      </c>
    </row>
    <row r="145" customFormat="false" ht="15" hidden="false" customHeight="false" outlineLevel="0" collapsed="false">
      <c r="A145" s="2" t="s">
        <v>171</v>
      </c>
      <c r="B145" s="2" t="s">
        <v>83</v>
      </c>
      <c r="C145" s="2" t="n">
        <v>5</v>
      </c>
      <c r="D145" s="2" t="n">
        <v>40</v>
      </c>
      <c r="E145" s="2" t="n">
        <v>12</v>
      </c>
      <c r="F145" s="2" t="n">
        <v>220</v>
      </c>
      <c r="G145" s="7" t="n">
        <f aca="false">E145*Load_Model_Assumptions!$B$6+F145*Load_Model_Assumptions!$B$5</f>
        <v>68.6057550934678</v>
      </c>
      <c r="H145" s="8" t="n">
        <f aca="false">IF(D145&gt;0,G145/D145,"")</f>
        <v>1.71514387733669</v>
      </c>
      <c r="I145" s="9" t="n">
        <f aca="false">IF(G145&gt;0,F145*Load_Model_Assumptions!$B$5/G145,"")</f>
        <v>0.825087560312523</v>
      </c>
    </row>
    <row r="146" customFormat="false" ht="15" hidden="false" customHeight="false" outlineLevel="0" collapsed="false">
      <c r="A146" s="2" t="s">
        <v>172</v>
      </c>
      <c r="B146" s="2" t="s">
        <v>29</v>
      </c>
      <c r="C146" s="2" t="n">
        <v>3</v>
      </c>
      <c r="D146" s="2" t="n">
        <v>16</v>
      </c>
      <c r="E146" s="2" t="n">
        <v>29</v>
      </c>
      <c r="F146" s="2" t="n">
        <v>152</v>
      </c>
      <c r="G146" s="7" t="n">
        <f aca="false">E146*Load_Model_Assumptions!$B$6+F146*Load_Model_Assumptions!$B$5</f>
        <v>68.1094307918505</v>
      </c>
      <c r="H146" s="8" t="n">
        <f aca="false">IF(D146&gt;0,G146/D146,"")</f>
        <v>4.25683942449065</v>
      </c>
      <c r="I146" s="9" t="n">
        <f aca="false">IF(G146&gt;0,F146*Load_Model_Assumptions!$B$5/G146,"")</f>
        <v>0.574214618110273</v>
      </c>
    </row>
    <row r="147" customFormat="false" ht="15" hidden="false" customHeight="false" outlineLevel="0" collapsed="false">
      <c r="A147" s="2" t="s">
        <v>173</v>
      </c>
      <c r="B147" s="2" t="s">
        <v>29</v>
      </c>
      <c r="C147" s="2" t="n">
        <v>3</v>
      </c>
      <c r="D147" s="2" t="n">
        <v>9</v>
      </c>
      <c r="E147" s="2" t="n">
        <v>37</v>
      </c>
      <c r="F147" s="2" t="n">
        <v>118</v>
      </c>
      <c r="G147" s="7" t="n">
        <f aca="false">E147*Load_Model_Assumptions!$B$6+F147*Load_Model_Assumptions!$B$5</f>
        <v>67.3612686410418</v>
      </c>
      <c r="H147" s="8" t="n">
        <f aca="false">IF(D147&gt;0,G147/D147,"")</f>
        <v>7.4845854045602</v>
      </c>
      <c r="I147" s="9" t="n">
        <f aca="false">IF(G147&gt;0,F147*Load_Model_Assumptions!$B$5/G147,"")</f>
        <v>0.450722934017655</v>
      </c>
    </row>
    <row r="148" customFormat="false" ht="15" hidden="false" customHeight="false" outlineLevel="0" collapsed="false">
      <c r="A148" s="2" t="s">
        <v>174</v>
      </c>
      <c r="B148" s="2" t="s">
        <v>83</v>
      </c>
      <c r="C148" s="2" t="n">
        <v>3</v>
      </c>
      <c r="D148" s="2" t="n">
        <v>32</v>
      </c>
      <c r="E148" s="2" t="n">
        <v>19</v>
      </c>
      <c r="F148" s="2" t="n">
        <v>184</v>
      </c>
      <c r="G148" s="7" t="n">
        <f aca="false">E148*Load_Model_Assumptions!$B$6+F148*Load_Model_Assumptions!$B$5</f>
        <v>66.3429951690821</v>
      </c>
      <c r="H148" s="8" t="n">
        <f aca="false">IF(D148&gt;0,G148/D148,"")</f>
        <v>2.07321859903382</v>
      </c>
      <c r="I148" s="9" t="n">
        <f aca="false">IF(G148&gt;0,F148*Load_Model_Assumptions!$B$5/G148,"")</f>
        <v>0.713609553629943</v>
      </c>
    </row>
    <row r="149" customFormat="false" ht="15" hidden="false" customHeight="false" outlineLevel="0" collapsed="false">
      <c r="A149" s="2" t="s">
        <v>175</v>
      </c>
      <c r="B149" s="2" t="s">
        <v>117</v>
      </c>
      <c r="C149" s="2" t="n">
        <v>4</v>
      </c>
      <c r="D149" s="2" t="n">
        <v>30</v>
      </c>
      <c r="E149" s="2" t="n">
        <v>10</v>
      </c>
      <c r="F149" s="2" t="n">
        <v>218</v>
      </c>
      <c r="G149" s="7" t="n">
        <f aca="false">E149*Load_Model_Assumptions!$B$6+F149*Load_Model_Assumptions!$B$5</f>
        <v>66.0911573198908</v>
      </c>
      <c r="H149" s="8" t="n">
        <f aca="false">IF(D149&gt;0,G149/D149,"")</f>
        <v>2.20303857732969</v>
      </c>
      <c r="I149" s="9" t="n">
        <f aca="false">IF(G149&gt;0,F149*Load_Model_Assumptions!$B$5/G149,"")</f>
        <v>0.848693828259073</v>
      </c>
    </row>
    <row r="150" customFormat="false" ht="15" hidden="false" customHeight="false" outlineLevel="0" collapsed="false">
      <c r="A150" s="2" t="s">
        <v>176</v>
      </c>
      <c r="B150" s="2" t="s">
        <v>29</v>
      </c>
      <c r="C150" s="2" t="n">
        <v>2</v>
      </c>
      <c r="D150" s="2" t="n">
        <v>11</v>
      </c>
      <c r="E150" s="2" t="n">
        <v>37</v>
      </c>
      <c r="F150" s="2" t="n">
        <v>111</v>
      </c>
      <c r="G150" s="7" t="n">
        <f aca="false">E150*Load_Model_Assumptions!$B$6+F150*Load_Model_Assumptions!$B$5</f>
        <v>65.5601764335224</v>
      </c>
      <c r="H150" s="8" t="n">
        <f aca="false">IF(D150&gt;0,G150/D150,"")</f>
        <v>5.96001603941113</v>
      </c>
      <c r="I150" s="9" t="n">
        <f aca="false">IF(G150&gt;0,F150*Load_Model_Assumptions!$B$5/G150,"")</f>
        <v>0.435633001422475</v>
      </c>
    </row>
    <row r="151" customFormat="false" ht="15" hidden="false" customHeight="false" outlineLevel="0" collapsed="false">
      <c r="A151" s="2" t="s">
        <v>177</v>
      </c>
      <c r="B151" s="2" t="s">
        <v>29</v>
      </c>
      <c r="C151" s="2" t="n">
        <v>1</v>
      </c>
      <c r="D151" s="2" t="n">
        <v>9</v>
      </c>
      <c r="E151" s="2" t="n">
        <v>38</v>
      </c>
      <c r="F151" s="2" t="n">
        <v>105</v>
      </c>
      <c r="G151" s="7" t="n">
        <f aca="false">E151*Load_Model_Assumptions!$B$6+F151*Load_Model_Assumptions!$B$5</f>
        <v>65.0163831127914</v>
      </c>
      <c r="H151" s="8" t="n">
        <f aca="false">IF(D151&gt;0,G151/D151,"")</f>
        <v>7.22404256808794</v>
      </c>
      <c r="I151" s="9" t="n">
        <f aca="false">IF(G151&gt;0,F151*Load_Model_Assumptions!$B$5/G151,"")</f>
        <v>0.415531929328074</v>
      </c>
    </row>
    <row r="152" customFormat="false" ht="15" hidden="false" customHeight="false" outlineLevel="0" collapsed="false">
      <c r="A152" s="2" t="s">
        <v>178</v>
      </c>
      <c r="B152" s="2" t="s">
        <v>115</v>
      </c>
      <c r="C152" s="2" t="n">
        <v>2</v>
      </c>
      <c r="D152" s="2" t="n">
        <v>17</v>
      </c>
      <c r="E152" s="2" t="n">
        <v>39</v>
      </c>
      <c r="F152" s="2" t="n">
        <v>96</v>
      </c>
      <c r="G152" s="7" t="n">
        <f aca="false">E152*Load_Model_Assumptions!$B$6+F152*Load_Model_Assumptions!$B$5</f>
        <v>63.700693131695</v>
      </c>
      <c r="H152" s="8" t="n">
        <f aca="false">IF(D152&gt;0,G152/D152,"")</f>
        <v>3.74709959598206</v>
      </c>
      <c r="I152" s="9" t="n">
        <f aca="false">IF(G152&gt;0,F152*Load_Model_Assumptions!$B$5/G152,"")</f>
        <v>0.387761763920351</v>
      </c>
    </row>
    <row r="153" customFormat="false" ht="15" hidden="false" customHeight="false" outlineLevel="0" collapsed="false">
      <c r="A153" s="2" t="s">
        <v>179</v>
      </c>
      <c r="B153" s="2" t="s">
        <v>83</v>
      </c>
      <c r="C153" s="2" t="n">
        <v>5</v>
      </c>
      <c r="D153" s="2" t="n">
        <v>37</v>
      </c>
      <c r="E153" s="2" t="n">
        <v>17</v>
      </c>
      <c r="F153" s="2" t="n">
        <v>180</v>
      </c>
      <c r="G153" s="7" t="n">
        <f aca="false">E153*Load_Model_Assumptions!$B$6+F153*Load_Model_Assumptions!$B$5</f>
        <v>63.3137996219282</v>
      </c>
      <c r="H153" s="8" t="n">
        <f aca="false">IF(D153&gt;0,G153/D153,"")</f>
        <v>1.71118377356563</v>
      </c>
      <c r="I153" s="9" t="n">
        <f aca="false">IF(G153&gt;0,F153*Load_Model_Assumptions!$B$5/G153,"")</f>
        <v>0.731496133520437</v>
      </c>
    </row>
    <row r="154" customFormat="false" ht="15" hidden="false" customHeight="false" outlineLevel="0" collapsed="false">
      <c r="A154" s="2" t="s">
        <v>180</v>
      </c>
      <c r="B154" s="2" t="s">
        <v>29</v>
      </c>
      <c r="C154" s="2" t="n">
        <v>4</v>
      </c>
      <c r="D154" s="2" t="n">
        <v>13</v>
      </c>
      <c r="E154" s="2" t="n">
        <v>29</v>
      </c>
      <c r="F154" s="2" t="n">
        <v>133</v>
      </c>
      <c r="G154" s="7" t="n">
        <f aca="false">E154*Load_Model_Assumptions!$B$6+F154*Load_Model_Assumptions!$B$5</f>
        <v>63.2207519428692</v>
      </c>
      <c r="H154" s="8" t="n">
        <f aca="false">IF(D154&gt;0,G154/D154,"")</f>
        <v>4.86313476483609</v>
      </c>
      <c r="I154" s="9" t="n">
        <f aca="false">IF(G154&gt;0,F154*Load_Model_Assumptions!$B$5/G154,"")</f>
        <v>0.54128985959853</v>
      </c>
    </row>
    <row r="155" customFormat="false" ht="15" hidden="false" customHeight="false" outlineLevel="0" collapsed="false">
      <c r="A155" s="2" t="s">
        <v>181</v>
      </c>
      <c r="B155" s="2" t="s">
        <v>29</v>
      </c>
      <c r="C155" s="2" t="n">
        <v>1</v>
      </c>
      <c r="D155" s="2" t="n">
        <v>8</v>
      </c>
      <c r="E155" s="2" t="n">
        <v>29</v>
      </c>
      <c r="F155" s="2" t="n">
        <v>131</v>
      </c>
      <c r="G155" s="7" t="n">
        <f aca="false">E155*Load_Model_Assumptions!$B$6+F155*Load_Model_Assumptions!$B$5</f>
        <v>62.7061541692922</v>
      </c>
      <c r="H155" s="8" t="n">
        <f aca="false">IF(D155&gt;0,G155/D155,"")</f>
        <v>7.83826927116152</v>
      </c>
      <c r="I155" s="9" t="n">
        <f aca="false">IF(G155&gt;0,F155*Load_Model_Assumptions!$B$5/G155,"")</f>
        <v>0.537525456884077</v>
      </c>
    </row>
    <row r="156" customFormat="false" ht="15" hidden="false" customHeight="false" outlineLevel="0" collapsed="false">
      <c r="A156" s="2" t="s">
        <v>182</v>
      </c>
      <c r="B156" s="2" t="s">
        <v>29</v>
      </c>
      <c r="C156" s="2" t="n">
        <v>1</v>
      </c>
      <c r="D156" s="2" t="n">
        <v>8</v>
      </c>
      <c r="E156" s="2" t="n">
        <v>25</v>
      </c>
      <c r="F156" s="2" t="n">
        <v>145</v>
      </c>
      <c r="G156" s="7" t="n">
        <f aca="false">E156*Load_Model_Assumptions!$B$6+F156*Load_Model_Assumptions!$B$5</f>
        <v>62.308338584331</v>
      </c>
      <c r="H156" s="8" t="n">
        <f aca="false">IF(D156&gt;0,G156/D156,"")</f>
        <v>7.78854232304138</v>
      </c>
      <c r="I156" s="9" t="n">
        <f aca="false">IF(G156&gt;0,F156*Load_Model_Assumptions!$B$5/G156,"")</f>
        <v>0.598769593797404</v>
      </c>
    </row>
    <row r="157" customFormat="false" ht="15" hidden="false" customHeight="false" outlineLevel="0" collapsed="false">
      <c r="A157" s="2" t="s">
        <v>183</v>
      </c>
      <c r="B157" s="2" t="s">
        <v>83</v>
      </c>
      <c r="C157" s="2" t="n">
        <v>4</v>
      </c>
      <c r="D157" s="2" t="n">
        <v>27</v>
      </c>
      <c r="E157" s="2" t="n">
        <v>13</v>
      </c>
      <c r="F157" s="2" t="n">
        <v>190</v>
      </c>
      <c r="G157" s="7" t="n">
        <f aca="false">E157*Load_Model_Assumptions!$B$6+F157*Load_Model_Assumptions!$B$5</f>
        <v>61.8867884898131</v>
      </c>
      <c r="H157" s="8" t="n">
        <f aca="false">IF(D157&gt;0,G157/D157,"")</f>
        <v>2.29210327740048</v>
      </c>
      <c r="I157" s="9" t="n">
        <f aca="false">IF(G157&gt;0,F157*Load_Model_Assumptions!$B$5/G157,"")</f>
        <v>0.789939010938661</v>
      </c>
    </row>
    <row r="158" customFormat="false" ht="15" hidden="false" customHeight="false" outlineLevel="0" collapsed="false">
      <c r="A158" s="2" t="s">
        <v>184</v>
      </c>
      <c r="B158" s="2" t="s">
        <v>115</v>
      </c>
      <c r="C158" s="2" t="n">
        <v>4</v>
      </c>
      <c r="D158" s="2" t="n">
        <v>26</v>
      </c>
      <c r="E158" s="2" t="n">
        <v>36</v>
      </c>
      <c r="F158" s="2" t="n">
        <v>97</v>
      </c>
      <c r="G158" s="7" t="n">
        <f aca="false">E158*Load_Model_Assumptions!$B$6+F158*Load_Model_Assumptions!$B$5</f>
        <v>60.9579920184835</v>
      </c>
      <c r="H158" s="8" t="n">
        <f aca="false">IF(D158&gt;0,G158/D158,"")</f>
        <v>2.34453815455706</v>
      </c>
      <c r="I158" s="9" t="n">
        <f aca="false">IF(G158&gt;0,F158*Load_Model_Assumptions!$B$5/G158,"")</f>
        <v>0.409429365897023</v>
      </c>
    </row>
    <row r="159" customFormat="false" ht="15" hidden="false" customHeight="false" outlineLevel="0" collapsed="false">
      <c r="A159" s="2" t="s">
        <v>185</v>
      </c>
      <c r="B159" s="2" t="s">
        <v>115</v>
      </c>
      <c r="C159" s="2" t="n">
        <v>4</v>
      </c>
      <c r="D159" s="2" t="n">
        <v>41</v>
      </c>
      <c r="E159" s="2" t="n">
        <v>20</v>
      </c>
      <c r="F159" s="2" t="n">
        <v>159</v>
      </c>
      <c r="G159" s="7" t="n">
        <f aca="false">E159*Load_Model_Assumptions!$B$6+F159*Load_Model_Assumptions!$B$5</f>
        <v>60.9105229993699</v>
      </c>
      <c r="H159" s="8" t="n">
        <f aca="false">IF(D159&gt;0,G159/D159,"")</f>
        <v>1.48562251217975</v>
      </c>
      <c r="I159" s="9" t="n">
        <f aca="false">IF(G159&gt;0,F159*Load_Model_Assumptions!$B$5/G159,"")</f>
        <v>0.671649511198469</v>
      </c>
    </row>
    <row r="160" customFormat="false" ht="15" hidden="false" customHeight="false" outlineLevel="0" collapsed="false">
      <c r="A160" s="2" t="s">
        <v>186</v>
      </c>
      <c r="B160" s="2" t="s">
        <v>115</v>
      </c>
      <c r="C160" s="2" t="n">
        <v>3</v>
      </c>
      <c r="D160" s="2" t="n">
        <v>25</v>
      </c>
      <c r="E160" s="2" t="n">
        <v>25</v>
      </c>
      <c r="F160" s="2" t="n">
        <v>137</v>
      </c>
      <c r="G160" s="7" t="n">
        <f aca="false">E160*Load_Model_Assumptions!$B$6+F160*Load_Model_Assumptions!$B$5</f>
        <v>60.2499474900231</v>
      </c>
      <c r="H160" s="8" t="n">
        <f aca="false">IF(D160&gt;0,G160/D160,"")</f>
        <v>2.40999789960092</v>
      </c>
      <c r="I160" s="9" t="n">
        <f aca="false">IF(G160&gt;0,F160*Load_Model_Assumptions!$B$5/G160,"")</f>
        <v>0.585061879030852</v>
      </c>
    </row>
    <row r="161" customFormat="false" ht="15" hidden="false" customHeight="false" outlineLevel="0" collapsed="false">
      <c r="A161" s="2" t="s">
        <v>187</v>
      </c>
      <c r="B161" s="2" t="s">
        <v>117</v>
      </c>
      <c r="C161" s="2" t="n">
        <v>3</v>
      </c>
      <c r="D161" s="2" t="n">
        <v>31</v>
      </c>
      <c r="E161" s="2" t="n">
        <v>0</v>
      </c>
      <c r="F161" s="2" t="n">
        <v>233</v>
      </c>
      <c r="G161" s="7" t="n">
        <f aca="false">E161*Load_Model_Assumptions!$B$6+F161*Load_Model_Assumptions!$B$5</f>
        <v>59.9506406217181</v>
      </c>
      <c r="H161" s="8" t="n">
        <f aca="false">IF(D161&gt;0,G161/D161,"")</f>
        <v>1.93389163295865</v>
      </c>
      <c r="I161" s="9" t="n">
        <f aca="false">IF(G161&gt;0,F161*Load_Model_Assumptions!$B$5/G161,"")</f>
        <v>1</v>
      </c>
    </row>
    <row r="162" customFormat="false" ht="15" hidden="false" customHeight="false" outlineLevel="0" collapsed="false">
      <c r="A162" s="2" t="s">
        <v>188</v>
      </c>
      <c r="B162" s="2" t="s">
        <v>83</v>
      </c>
      <c r="C162" s="2" t="n">
        <v>3</v>
      </c>
      <c r="D162" s="2" t="n">
        <v>29</v>
      </c>
      <c r="E162" s="2" t="n">
        <v>13</v>
      </c>
      <c r="F162" s="2" t="n">
        <v>178</v>
      </c>
      <c r="G162" s="7" t="n">
        <f aca="false">E162*Load_Model_Assumptions!$B$6+F162*Load_Model_Assumptions!$B$5</f>
        <v>58.7992018483512</v>
      </c>
      <c r="H162" s="8" t="n">
        <f aca="false">IF(D162&gt;0,G162/D162,"")</f>
        <v>2.0275586844259</v>
      </c>
      <c r="I162" s="9" t="n">
        <f aca="false">IF(G162&gt;0,F162*Load_Model_Assumptions!$B$5/G162,"")</f>
        <v>0.778908563529004</v>
      </c>
    </row>
    <row r="163" customFormat="false" ht="15" hidden="false" customHeight="false" outlineLevel="0" collapsed="false">
      <c r="A163" s="2" t="s">
        <v>189</v>
      </c>
      <c r="B163" s="2" t="s">
        <v>29</v>
      </c>
      <c r="C163" s="2" t="n">
        <v>3</v>
      </c>
      <c r="D163" s="2" t="n">
        <v>16</v>
      </c>
      <c r="E163" s="2" t="n">
        <v>43</v>
      </c>
      <c r="F163" s="2" t="n">
        <v>60</v>
      </c>
      <c r="G163" s="7" t="n">
        <f aca="false">E163*Load_Model_Assumptions!$B$6+F163*Load_Model_Assumptions!$B$5</f>
        <v>58.4379332073094</v>
      </c>
      <c r="H163" s="8" t="n">
        <f aca="false">IF(D163&gt;0,G163/D163,"")</f>
        <v>3.65237082545684</v>
      </c>
      <c r="I163" s="9" t="n">
        <f aca="false">IF(G163&gt;0,F163*Load_Model_Assumptions!$B$5/G163,"")</f>
        <v>0.264176577781132</v>
      </c>
    </row>
    <row r="164" customFormat="false" ht="15" hidden="false" customHeight="false" outlineLevel="0" collapsed="false">
      <c r="A164" s="2" t="s">
        <v>190</v>
      </c>
      <c r="B164" s="2" t="s">
        <v>117</v>
      </c>
      <c r="C164" s="2" t="n">
        <v>5</v>
      </c>
      <c r="D164" s="2" t="n">
        <v>46</v>
      </c>
      <c r="E164" s="2" t="n">
        <v>10</v>
      </c>
      <c r="F164" s="2" t="n">
        <v>185</v>
      </c>
      <c r="G164" s="7" t="n">
        <f aca="false">E164*Load_Model_Assumptions!$B$6+F164*Load_Model_Assumptions!$B$5</f>
        <v>57.6002940558706</v>
      </c>
      <c r="H164" s="8" t="n">
        <f aca="false">IF(D164&gt;0,G164/D164,"")</f>
        <v>1.2521803055624</v>
      </c>
      <c r="I164" s="9" t="n">
        <f aca="false">IF(G164&gt;0,F164*Load_Model_Assumptions!$B$5/G164,"")</f>
        <v>0.826389775192809</v>
      </c>
    </row>
    <row r="165" customFormat="false" ht="15" hidden="false" customHeight="false" outlineLevel="0" collapsed="false">
      <c r="A165" s="2" t="s">
        <v>191</v>
      </c>
      <c r="B165" s="2" t="s">
        <v>117</v>
      </c>
      <c r="C165" s="2" t="n">
        <v>4</v>
      </c>
      <c r="D165" s="2" t="n">
        <v>29</v>
      </c>
      <c r="E165" s="2" t="n">
        <v>9</v>
      </c>
      <c r="F165" s="2" t="n">
        <v>185</v>
      </c>
      <c r="G165" s="7" t="n">
        <f aca="false">E165*Load_Model_Assumptions!$B$6+F165*Load_Model_Assumptions!$B$5</f>
        <v>56.6002940558706</v>
      </c>
      <c r="H165" s="8" t="n">
        <f aca="false">IF(D165&gt;0,G165/D165,"")</f>
        <v>1.95173427778864</v>
      </c>
      <c r="I165" s="9" t="n">
        <f aca="false">IF(G165&gt;0,F165*Load_Model_Assumptions!$B$5/G165,"")</f>
        <v>0.84099022540208</v>
      </c>
    </row>
    <row r="166" customFormat="false" ht="15" hidden="false" customHeight="false" outlineLevel="0" collapsed="false">
      <c r="A166" s="2" t="s">
        <v>192</v>
      </c>
      <c r="B166" s="2" t="s">
        <v>83</v>
      </c>
      <c r="C166" s="2" t="n">
        <v>2</v>
      </c>
      <c r="D166" s="2" t="n">
        <v>22</v>
      </c>
      <c r="E166" s="2" t="n">
        <v>11</v>
      </c>
      <c r="F166" s="2" t="n">
        <v>177</v>
      </c>
      <c r="G166" s="7" t="n">
        <f aca="false">E166*Load_Model_Assumptions!$B$6+F166*Load_Model_Assumptions!$B$5</f>
        <v>56.5419029615627</v>
      </c>
      <c r="H166" s="8" t="n">
        <f aca="false">IF(D166&gt;0,G166/D166,"")</f>
        <v>2.57008649825285</v>
      </c>
      <c r="I166" s="9" t="n">
        <f aca="false">IF(G166&gt;0,F166*Load_Model_Assumptions!$B$5/G166,"")</f>
        <v>0.805454018633264</v>
      </c>
    </row>
    <row r="167" customFormat="false" ht="15" hidden="false" customHeight="false" outlineLevel="0" collapsed="false">
      <c r="A167" s="2" t="s">
        <v>193</v>
      </c>
      <c r="B167" s="2" t="s">
        <v>29</v>
      </c>
      <c r="C167" s="2" t="n">
        <v>1</v>
      </c>
      <c r="D167" s="2" t="n">
        <v>8</v>
      </c>
      <c r="E167" s="2" t="n">
        <v>30</v>
      </c>
      <c r="F167" s="2" t="n">
        <v>102</v>
      </c>
      <c r="G167" s="7" t="n">
        <f aca="false">E167*Load_Model_Assumptions!$B$6+F167*Load_Model_Assumptions!$B$5</f>
        <v>56.244486452426</v>
      </c>
      <c r="H167" s="8" t="n">
        <f aca="false">IF(D167&gt;0,G167/D167,"")</f>
        <v>7.03056080655325</v>
      </c>
      <c r="I167" s="9" t="n">
        <f aca="false">IF(G167&gt;0,F167*Load_Model_Assumptions!$B$5/G167,"")</f>
        <v>0.466614384942864</v>
      </c>
    </row>
    <row r="168" customFormat="false" ht="15" hidden="false" customHeight="false" outlineLevel="0" collapsed="false">
      <c r="A168" s="2" t="s">
        <v>194</v>
      </c>
      <c r="B168" s="2" t="s">
        <v>83</v>
      </c>
      <c r="C168" s="2" t="n">
        <v>3</v>
      </c>
      <c r="D168" s="2" t="n">
        <v>29</v>
      </c>
      <c r="E168" s="2" t="n">
        <v>9</v>
      </c>
      <c r="F168" s="2" t="n">
        <v>181</v>
      </c>
      <c r="G168" s="7" t="n">
        <f aca="false">E168*Load_Model_Assumptions!$B$6+F168*Load_Model_Assumptions!$B$5</f>
        <v>55.5710985087167</v>
      </c>
      <c r="H168" s="8" t="n">
        <f aca="false">IF(D168&gt;0,G168/D168,"")</f>
        <v>1.91624477616264</v>
      </c>
      <c r="I168" s="9" t="n">
        <f aca="false">IF(G168&gt;0,F168*Load_Model_Assumptions!$B$5/G168,"")</f>
        <v>0.838045310574735</v>
      </c>
    </row>
    <row r="169" customFormat="false" ht="15" hidden="false" customHeight="false" outlineLevel="0" collapsed="false">
      <c r="A169" s="2" t="s">
        <v>195</v>
      </c>
      <c r="B169" s="2" t="s">
        <v>29</v>
      </c>
      <c r="C169" s="2" t="n">
        <v>2</v>
      </c>
      <c r="D169" s="2" t="n">
        <v>9</v>
      </c>
      <c r="E169" s="2" t="n">
        <v>26</v>
      </c>
      <c r="F169" s="2" t="n">
        <v>111</v>
      </c>
      <c r="G169" s="7" t="n">
        <f aca="false">E169*Load_Model_Assumptions!$B$6+F169*Load_Model_Assumptions!$B$5</f>
        <v>54.5601764335224</v>
      </c>
      <c r="H169" s="8" t="n">
        <f aca="false">IF(D169&gt;0,G169/D169,"")</f>
        <v>6.06224182594693</v>
      </c>
      <c r="I169" s="9" t="n">
        <f aca="false">IF(G169&gt;0,F169*Load_Model_Assumptions!$B$5/G169,"")</f>
        <v>0.523461951563168</v>
      </c>
    </row>
    <row r="170" customFormat="false" ht="15" hidden="false" customHeight="false" outlineLevel="0" collapsed="false">
      <c r="A170" s="2" t="s">
        <v>196</v>
      </c>
      <c r="B170" s="2" t="s">
        <v>24</v>
      </c>
      <c r="C170" s="2" t="n">
        <v>1</v>
      </c>
      <c r="D170" s="2" t="n">
        <v>7</v>
      </c>
      <c r="E170" s="2" t="n">
        <v>27</v>
      </c>
      <c r="F170" s="2" t="n">
        <v>102</v>
      </c>
      <c r="G170" s="7" t="n">
        <f aca="false">E170*Load_Model_Assumptions!$B$6+F170*Load_Model_Assumptions!$B$5</f>
        <v>53.244486452426</v>
      </c>
      <c r="H170" s="8" t="n">
        <f aca="false">IF(D170&gt;0,G170/D170,"")</f>
        <v>7.60635520748942</v>
      </c>
      <c r="I170" s="9" t="n">
        <f aca="false">IF(G170&gt;0,F170*Load_Model_Assumptions!$B$5/G170,"")</f>
        <v>0.492905241482148</v>
      </c>
    </row>
    <row r="171" customFormat="false" ht="15" hidden="false" customHeight="false" outlineLevel="0" collapsed="false">
      <c r="A171" s="2" t="s">
        <v>197</v>
      </c>
      <c r="B171" s="2" t="s">
        <v>117</v>
      </c>
      <c r="C171" s="2" t="n">
        <v>4</v>
      </c>
      <c r="D171" s="2" t="n">
        <v>38</v>
      </c>
      <c r="E171" s="2" t="n">
        <v>2</v>
      </c>
      <c r="F171" s="2" t="n">
        <v>198</v>
      </c>
      <c r="G171" s="7" t="n">
        <f aca="false">E171*Load_Model_Assumptions!$B$6+F171*Load_Model_Assumptions!$B$5</f>
        <v>52.945179584121</v>
      </c>
      <c r="H171" s="8" t="n">
        <f aca="false">IF(D171&gt;0,G171/D171,"")</f>
        <v>1.39329419958213</v>
      </c>
      <c r="I171" s="9" t="n">
        <f aca="false">IF(G171&gt;0,F171*Load_Model_Assumptions!$B$5/G171,"")</f>
        <v>0.962225078548986</v>
      </c>
    </row>
    <row r="172" customFormat="false" ht="15" hidden="false" customHeight="false" outlineLevel="0" collapsed="false">
      <c r="A172" s="2" t="s">
        <v>198</v>
      </c>
      <c r="B172" s="2" t="s">
        <v>117</v>
      </c>
      <c r="C172" s="2" t="n">
        <v>4</v>
      </c>
      <c r="D172" s="2" t="n">
        <v>40</v>
      </c>
      <c r="E172" s="2" t="n">
        <v>4</v>
      </c>
      <c r="F172" s="2" t="n">
        <v>188</v>
      </c>
      <c r="G172" s="7" t="n">
        <f aca="false">E172*Load_Model_Assumptions!$B$6+F172*Load_Model_Assumptions!$B$5</f>
        <v>52.3721907162361</v>
      </c>
      <c r="H172" s="8" t="n">
        <f aca="false">IF(D172&gt;0,G172/D172,"")</f>
        <v>1.3093047679059</v>
      </c>
      <c r="I172" s="9" t="n">
        <f aca="false">IF(G172&gt;0,F172*Load_Model_Assumptions!$B$5/G172,"")</f>
        <v>0.923623588295688</v>
      </c>
    </row>
    <row r="173" customFormat="false" ht="15" hidden="false" customHeight="false" outlineLevel="0" collapsed="false">
      <c r="A173" s="2" t="s">
        <v>199</v>
      </c>
      <c r="B173" s="2" t="s">
        <v>24</v>
      </c>
      <c r="C173" s="2" t="n">
        <v>2</v>
      </c>
      <c r="D173" s="2" t="n">
        <v>7</v>
      </c>
      <c r="E173" s="2" t="n">
        <v>19</v>
      </c>
      <c r="F173" s="2" t="n">
        <v>129</v>
      </c>
      <c r="G173" s="7" t="n">
        <f aca="false">E173*Load_Model_Assumptions!$B$6+F173*Load_Model_Assumptions!$B$5</f>
        <v>52.1915563957152</v>
      </c>
      <c r="H173" s="8" t="n">
        <f aca="false">IF(D173&gt;0,G173/D173,"")</f>
        <v>7.45593662795931</v>
      </c>
      <c r="I173" s="9" t="n">
        <f aca="false">IF(G173&gt;0,F173*Load_Model_Assumptions!$B$5/G173,"")</f>
        <v>0.635956439851258</v>
      </c>
    </row>
    <row r="174" customFormat="false" ht="15" hidden="false" customHeight="false" outlineLevel="0" collapsed="false">
      <c r="A174" s="2" t="s">
        <v>200</v>
      </c>
      <c r="B174" s="2" t="s">
        <v>29</v>
      </c>
      <c r="C174" s="2" t="n">
        <v>3</v>
      </c>
      <c r="D174" s="2" t="n">
        <v>12</v>
      </c>
      <c r="E174" s="2" t="n">
        <v>31</v>
      </c>
      <c r="F174" s="2" t="n">
        <v>82</v>
      </c>
      <c r="G174" s="7" t="n">
        <f aca="false">E174*Load_Model_Assumptions!$B$6+F174*Load_Model_Assumptions!$B$5</f>
        <v>52.0985087166562</v>
      </c>
      <c r="H174" s="8" t="n">
        <f aca="false">IF(D174&gt;0,G174/D174,"")</f>
        <v>4.34154239305468</v>
      </c>
      <c r="I174" s="9" t="n">
        <f aca="false">IF(G174&gt;0,F174*Load_Model_Assumptions!$B$5/G174,"")</f>
        <v>0.404973371337803</v>
      </c>
    </row>
    <row r="175" customFormat="false" ht="15" hidden="false" customHeight="false" outlineLevel="0" collapsed="false">
      <c r="A175" s="2" t="s">
        <v>201</v>
      </c>
      <c r="B175" s="2" t="s">
        <v>24</v>
      </c>
      <c r="C175" s="2" t="n">
        <v>1</v>
      </c>
      <c r="D175" s="2" t="n">
        <v>7</v>
      </c>
      <c r="E175" s="2" t="n">
        <v>43</v>
      </c>
      <c r="F175" s="2" t="n">
        <v>34</v>
      </c>
      <c r="G175" s="7" t="n">
        <f aca="false">E175*Load_Model_Assumptions!$B$6+F175*Load_Model_Assumptions!$B$5</f>
        <v>51.7481621508087</v>
      </c>
      <c r="H175" s="8" t="n">
        <f aca="false">IF(D175&gt;0,G175/D175,"")</f>
        <v>7.39259459297267</v>
      </c>
      <c r="I175" s="9" t="n">
        <f aca="false">IF(G175&gt;0,F175*Load_Model_Assumptions!$B$5/G175,"")</f>
        <v>0.169052615343402</v>
      </c>
    </row>
    <row r="176" customFormat="false" ht="15" hidden="false" customHeight="false" outlineLevel="0" collapsed="false">
      <c r="A176" s="2" t="s">
        <v>202</v>
      </c>
      <c r="B176" s="2" t="s">
        <v>83</v>
      </c>
      <c r="C176" s="2" t="n">
        <v>3</v>
      </c>
      <c r="D176" s="2" t="n">
        <v>17</v>
      </c>
      <c r="E176" s="2" t="n">
        <v>23</v>
      </c>
      <c r="F176" s="2" t="n">
        <v>108</v>
      </c>
      <c r="G176" s="7" t="n">
        <f aca="false">E176*Load_Model_Assumptions!$B$6+F176*Load_Model_Assumptions!$B$5</f>
        <v>50.7882797731569</v>
      </c>
      <c r="H176" s="8" t="n">
        <f aca="false">IF(D176&gt;0,G176/D176,"")</f>
        <v>2.98754586900923</v>
      </c>
      <c r="I176" s="9" t="n">
        <f aca="false">IF(G176&gt;0,F176*Load_Model_Assumptions!$B$5/G176,"")</f>
        <v>0.547139613652436</v>
      </c>
    </row>
    <row r="177" customFormat="false" ht="15" hidden="false" customHeight="false" outlineLevel="0" collapsed="false">
      <c r="A177" s="2" t="s">
        <v>203</v>
      </c>
      <c r="B177" s="2" t="s">
        <v>83</v>
      </c>
      <c r="C177" s="2" t="n">
        <v>4</v>
      </c>
      <c r="D177" s="2" t="n">
        <v>29</v>
      </c>
      <c r="E177" s="2" t="n">
        <v>15</v>
      </c>
      <c r="F177" s="2" t="n">
        <v>138</v>
      </c>
      <c r="G177" s="7" t="n">
        <f aca="false">E177*Load_Model_Assumptions!$B$6+F177*Load_Model_Assumptions!$B$5</f>
        <v>50.5072463768116</v>
      </c>
      <c r="H177" s="8" t="n">
        <f aca="false">IF(D177&gt;0,G177/D177,"")</f>
        <v>1.7416291854073</v>
      </c>
      <c r="I177" s="9" t="n">
        <f aca="false">IF(G177&gt;0,F177*Load_Model_Assumptions!$B$5/G177,"")</f>
        <v>0.703012912482066</v>
      </c>
    </row>
    <row r="178" customFormat="false" ht="15" hidden="false" customHeight="false" outlineLevel="0" collapsed="false">
      <c r="A178" s="2" t="s">
        <v>204</v>
      </c>
      <c r="B178" s="2" t="s">
        <v>29</v>
      </c>
      <c r="C178" s="2" t="n">
        <v>1</v>
      </c>
      <c r="D178" s="2" t="n">
        <v>10</v>
      </c>
      <c r="E178" s="2" t="n">
        <v>22</v>
      </c>
      <c r="F178" s="2" t="n">
        <v>110</v>
      </c>
      <c r="G178" s="7" t="n">
        <f aca="false">E178*Load_Model_Assumptions!$B$6+F178*Load_Model_Assumptions!$B$5</f>
        <v>50.3028775467339</v>
      </c>
      <c r="H178" s="8" t="n">
        <f aca="false">IF(D178&gt;0,G178/D178,"")</f>
        <v>5.03028775467339</v>
      </c>
      <c r="I178" s="9" t="n">
        <f aca="false">IF(G178&gt;0,F178*Load_Model_Assumptions!$B$5/G178,"")</f>
        <v>0.562649274297263</v>
      </c>
    </row>
    <row r="179" customFormat="false" ht="15" hidden="false" customHeight="false" outlineLevel="0" collapsed="false">
      <c r="A179" s="2" t="s">
        <v>205</v>
      </c>
      <c r="B179" s="2" t="s">
        <v>29</v>
      </c>
      <c r="C179" s="2" t="n">
        <v>2</v>
      </c>
      <c r="D179" s="2" t="n">
        <v>11</v>
      </c>
      <c r="E179" s="2" t="n">
        <v>28</v>
      </c>
      <c r="F179" s="2" t="n">
        <v>86</v>
      </c>
      <c r="G179" s="7" t="n">
        <f aca="false">E179*Load_Model_Assumptions!$B$6+F179*Load_Model_Assumptions!$B$5</f>
        <v>50.1277042638101</v>
      </c>
      <c r="H179" s="8" t="n">
        <f aca="false">IF(D179&gt;0,G179/D179,"")</f>
        <v>4.55706402398274</v>
      </c>
      <c r="I179" s="9" t="n">
        <f aca="false">IF(G179&gt;0,F179*Load_Model_Assumptions!$B$5/G179,"")</f>
        <v>0.441426643984279</v>
      </c>
    </row>
    <row r="180" customFormat="false" ht="15" hidden="false" customHeight="false" outlineLevel="0" collapsed="false">
      <c r="A180" s="2" t="s">
        <v>206</v>
      </c>
      <c r="B180" s="2" t="s">
        <v>115</v>
      </c>
      <c r="C180" s="2" t="n">
        <v>4</v>
      </c>
      <c r="D180" s="2" t="n">
        <v>40</v>
      </c>
      <c r="E180" s="2" t="n">
        <v>10</v>
      </c>
      <c r="F180" s="2" t="n">
        <v>155</v>
      </c>
      <c r="G180" s="7" t="n">
        <f aca="false">E180*Load_Model_Assumptions!$B$6+F180*Load_Model_Assumptions!$B$5</f>
        <v>49.8813274522159</v>
      </c>
      <c r="H180" s="8" t="n">
        <f aca="false">IF(D180&gt;0,G180/D180,"")</f>
        <v>1.2470331863054</v>
      </c>
      <c r="I180" s="9" t="n">
        <f aca="false">IF(G180&gt;0,F180*Load_Model_Assumptions!$B$5/G180,"")</f>
        <v>0.799524180474556</v>
      </c>
    </row>
    <row r="181" customFormat="false" ht="15" hidden="false" customHeight="false" outlineLevel="0" collapsed="false">
      <c r="A181" s="2" t="s">
        <v>207</v>
      </c>
      <c r="B181" s="2" t="s">
        <v>29</v>
      </c>
      <c r="C181" s="2" t="n">
        <v>2</v>
      </c>
      <c r="D181" s="2" t="n">
        <v>11</v>
      </c>
      <c r="E181" s="2" t="n">
        <v>19</v>
      </c>
      <c r="F181" s="2" t="n">
        <v>114</v>
      </c>
      <c r="G181" s="7" t="n">
        <f aca="false">E181*Load_Model_Assumptions!$B$6+F181*Load_Model_Assumptions!$B$5</f>
        <v>48.3320730938878</v>
      </c>
      <c r="H181" s="8" t="n">
        <f aca="false">IF(D181&gt;0,G181/D181,"")</f>
        <v>4.39382482671708</v>
      </c>
      <c r="I181" s="9" t="n">
        <f aca="false">IF(G181&gt;0,F181*Load_Model_Assumptions!$B$5/G181,"")</f>
        <v>0.60688630170919</v>
      </c>
    </row>
    <row r="182" customFormat="false" ht="15" hidden="false" customHeight="false" outlineLevel="0" collapsed="false">
      <c r="A182" s="2" t="s">
        <v>208</v>
      </c>
      <c r="B182" s="2" t="s">
        <v>29</v>
      </c>
      <c r="C182" s="2" t="n">
        <v>1</v>
      </c>
      <c r="D182" s="2" t="n">
        <v>9</v>
      </c>
      <c r="E182" s="2" t="n">
        <v>31</v>
      </c>
      <c r="F182" s="2" t="n">
        <v>66</v>
      </c>
      <c r="G182" s="7" t="n">
        <f aca="false">E182*Load_Model_Assumptions!$B$6+F182*Load_Model_Assumptions!$B$5</f>
        <v>47.9817265280403</v>
      </c>
      <c r="H182" s="8" t="n">
        <f aca="false">IF(D182&gt;0,G182/D182,"")</f>
        <v>5.33130294756004</v>
      </c>
      <c r="I182" s="9" t="n">
        <f aca="false">IF(G182&gt;0,F182*Load_Model_Assumptions!$B$5/G182,"")</f>
        <v>0.353920706002863</v>
      </c>
    </row>
    <row r="183" customFormat="false" ht="15" hidden="false" customHeight="false" outlineLevel="0" collapsed="false">
      <c r="A183" s="2" t="s">
        <v>209</v>
      </c>
      <c r="B183" s="2" t="s">
        <v>115</v>
      </c>
      <c r="C183" s="2" t="n">
        <v>4</v>
      </c>
      <c r="D183" s="2" t="n">
        <v>30</v>
      </c>
      <c r="E183" s="2" t="n">
        <v>25</v>
      </c>
      <c r="F183" s="2" t="n">
        <v>86</v>
      </c>
      <c r="G183" s="7" t="n">
        <f aca="false">E183*Load_Model_Assumptions!$B$6+F183*Load_Model_Assumptions!$B$5</f>
        <v>47.1277042638101</v>
      </c>
      <c r="H183" s="8" t="n">
        <f aca="false">IF(D183&gt;0,G183/D183,"")</f>
        <v>1.57092347546034</v>
      </c>
      <c r="I183" s="9" t="n">
        <f aca="false">IF(G183&gt;0,F183*Load_Model_Assumptions!$B$5/G183,"")</f>
        <v>0.469526462395543</v>
      </c>
    </row>
    <row r="184" customFormat="false" ht="15" hidden="false" customHeight="false" outlineLevel="0" collapsed="false">
      <c r="A184" s="2" t="s">
        <v>210</v>
      </c>
      <c r="B184" s="2" t="s">
        <v>24</v>
      </c>
      <c r="C184" s="2" t="n">
        <v>1</v>
      </c>
      <c r="D184" s="2" t="n">
        <v>6</v>
      </c>
      <c r="E184" s="2" t="n">
        <v>36</v>
      </c>
      <c r="F184" s="2" t="n">
        <v>42</v>
      </c>
      <c r="G184" s="7" t="n">
        <f aca="false">E184*Load_Model_Assumptions!$B$6+F184*Load_Model_Assumptions!$B$5</f>
        <v>46.8065532451166</v>
      </c>
      <c r="H184" s="8" t="n">
        <f aca="false">IF(D184&gt;0,G184/D184,"")</f>
        <v>7.80109220751943</v>
      </c>
      <c r="I184" s="9" t="n">
        <f aca="false">IF(G184&gt;0,F184*Load_Model_Assumptions!$B$5/G184,"")</f>
        <v>0.230876928461808</v>
      </c>
    </row>
    <row r="185" customFormat="false" ht="15" hidden="false" customHeight="false" outlineLevel="0" collapsed="false">
      <c r="A185" s="2" t="s">
        <v>211</v>
      </c>
      <c r="B185" s="2" t="s">
        <v>83</v>
      </c>
      <c r="C185" s="2" t="n">
        <v>2</v>
      </c>
      <c r="D185" s="2" t="n">
        <v>17</v>
      </c>
      <c r="E185" s="2" t="n">
        <v>19</v>
      </c>
      <c r="F185" s="2" t="n">
        <v>106</v>
      </c>
      <c r="G185" s="7" t="n">
        <f aca="false">E185*Load_Model_Assumptions!$B$6+F185*Load_Model_Assumptions!$B$5</f>
        <v>46.2736819995799</v>
      </c>
      <c r="H185" s="8" t="n">
        <f aca="false">IF(D185&gt;0,G185/D185,"")</f>
        <v>2.72198129409294</v>
      </c>
      <c r="I185" s="9" t="n">
        <f aca="false">IF(G185&gt;0,F185*Load_Model_Assumptions!$B$5/G185,"")</f>
        <v>0.589399434430731</v>
      </c>
    </row>
    <row r="186" customFormat="false" ht="15" hidden="false" customHeight="false" outlineLevel="0" collapsed="false">
      <c r="A186" s="2" t="s">
        <v>212</v>
      </c>
      <c r="B186" s="2" t="s">
        <v>29</v>
      </c>
      <c r="C186" s="2" t="n">
        <v>3</v>
      </c>
      <c r="D186" s="2" t="n">
        <v>8</v>
      </c>
      <c r="E186" s="2" t="n">
        <v>25</v>
      </c>
      <c r="F186" s="2" t="n">
        <v>80</v>
      </c>
      <c r="G186" s="7" t="n">
        <f aca="false">E186*Load_Model_Assumptions!$B$6+F186*Load_Model_Assumptions!$B$5</f>
        <v>45.5839109430792</v>
      </c>
      <c r="H186" s="8" t="n">
        <f aca="false">IF(D186&gt;0,G186/D186,"")</f>
        <v>5.6979888678849</v>
      </c>
      <c r="I186" s="9" t="n">
        <f aca="false">IF(G186&gt;0,F186*Load_Model_Assumptions!$B$5/G186,"")</f>
        <v>0.45156088008294</v>
      </c>
    </row>
    <row r="187" customFormat="false" ht="15" hidden="false" customHeight="false" outlineLevel="0" collapsed="false">
      <c r="A187" s="2" t="s">
        <v>213</v>
      </c>
      <c r="B187" s="2" t="s">
        <v>117</v>
      </c>
      <c r="C187" s="2" t="n">
        <v>2</v>
      </c>
      <c r="D187" s="2" t="n">
        <v>21</v>
      </c>
      <c r="E187" s="2" t="n">
        <v>19</v>
      </c>
      <c r="F187" s="2" t="n">
        <v>103</v>
      </c>
      <c r="G187" s="7" t="n">
        <f aca="false">E187*Load_Model_Assumptions!$B$6+F187*Load_Model_Assumptions!$B$5</f>
        <v>45.5017853392145</v>
      </c>
      <c r="H187" s="8" t="n">
        <f aca="false">IF(D187&gt;0,G187/D187,"")</f>
        <v>2.16675168281974</v>
      </c>
      <c r="I187" s="9" t="n">
        <f aca="false">IF(G187&gt;0,F187*Load_Model_Assumptions!$B$5/G187,"")</f>
        <v>0.582433966967327</v>
      </c>
    </row>
    <row r="188" customFormat="false" ht="15" hidden="false" customHeight="false" outlineLevel="0" collapsed="false">
      <c r="A188" s="2" t="s">
        <v>214</v>
      </c>
      <c r="B188" s="2" t="s">
        <v>29</v>
      </c>
      <c r="C188" s="2" t="n">
        <v>2</v>
      </c>
      <c r="D188" s="2" t="n">
        <v>6</v>
      </c>
      <c r="E188" s="2" t="n">
        <v>17</v>
      </c>
      <c r="F188" s="2" t="n">
        <v>108</v>
      </c>
      <c r="G188" s="7" t="n">
        <f aca="false">E188*Load_Model_Assumptions!$B$6+F188*Load_Model_Assumptions!$B$5</f>
        <v>44.7882797731569</v>
      </c>
      <c r="H188" s="8" t="n">
        <f aca="false">IF(D188&gt;0,G188/D188,"")</f>
        <v>7.46471329552615</v>
      </c>
      <c r="I188" s="9" t="n">
        <f aca="false">IF(G188&gt;0,F188*Load_Model_Assumptions!$B$5/G188,"")</f>
        <v>0.620436415819018</v>
      </c>
    </row>
    <row r="189" customFormat="false" ht="15" hidden="false" customHeight="false" outlineLevel="0" collapsed="false">
      <c r="A189" s="2" t="s">
        <v>215</v>
      </c>
      <c r="B189" s="2" t="s">
        <v>83</v>
      </c>
      <c r="C189" s="2" t="n">
        <v>5</v>
      </c>
      <c r="D189" s="2" t="n">
        <v>30</v>
      </c>
      <c r="E189" s="2" t="n">
        <v>9</v>
      </c>
      <c r="F189" s="2" t="n">
        <v>139</v>
      </c>
      <c r="G189" s="7" t="n">
        <f aca="false">E189*Load_Model_Assumptions!$B$6+F189*Load_Model_Assumptions!$B$5</f>
        <v>44.7645452636001</v>
      </c>
      <c r="H189" s="8" t="n">
        <f aca="false">IF(D189&gt;0,G189/D189,"")</f>
        <v>1.49215150878667</v>
      </c>
      <c r="I189" s="9" t="n">
        <f aca="false">IF(G189&gt;0,F189*Load_Model_Assumptions!$B$5/G189,"")</f>
        <v>0.798948030254687</v>
      </c>
    </row>
    <row r="190" customFormat="false" ht="15" hidden="false" customHeight="false" outlineLevel="0" collapsed="false">
      <c r="A190" s="2" t="s">
        <v>216</v>
      </c>
      <c r="B190" s="2" t="s">
        <v>29</v>
      </c>
      <c r="C190" s="2" t="n">
        <v>2</v>
      </c>
      <c r="D190" s="2" t="n">
        <v>8</v>
      </c>
      <c r="E190" s="2" t="n">
        <v>25</v>
      </c>
      <c r="F190" s="2" t="n">
        <v>76</v>
      </c>
      <c r="G190" s="7" t="n">
        <f aca="false">E190*Load_Model_Assumptions!$B$6+F190*Load_Model_Assumptions!$B$5</f>
        <v>44.5547153959252</v>
      </c>
      <c r="H190" s="8" t="n">
        <f aca="false">IF(D190&gt;0,G190/D190,"")</f>
        <v>5.56933942449065</v>
      </c>
      <c r="I190" s="9" t="n">
        <f aca="false">IF(G190&gt;0,F190*Load_Model_Assumptions!$B$5/G190,"")</f>
        <v>0.438892162639953</v>
      </c>
    </row>
    <row r="191" customFormat="false" ht="15" hidden="false" customHeight="false" outlineLevel="0" collapsed="false">
      <c r="A191" s="2" t="s">
        <v>217</v>
      </c>
      <c r="B191" s="2" t="s">
        <v>117</v>
      </c>
      <c r="C191" s="2" t="n">
        <v>2</v>
      </c>
      <c r="D191" s="2" t="n">
        <v>19</v>
      </c>
      <c r="E191" s="2" t="n">
        <v>12</v>
      </c>
      <c r="F191" s="2" t="n">
        <v>124</v>
      </c>
      <c r="G191" s="7" t="n">
        <f aca="false">E191*Load_Model_Assumptions!$B$6+F191*Load_Model_Assumptions!$B$5</f>
        <v>43.9050619617727</v>
      </c>
      <c r="H191" s="8" t="n">
        <f aca="false">IF(D191&gt;0,G191/D191,"")</f>
        <v>2.31079273483014</v>
      </c>
      <c r="I191" s="9" t="n">
        <f aca="false">IF(G191&gt;0,F191*Load_Model_Assumptions!$B$5/G191,"")</f>
        <v>0.726682995904933</v>
      </c>
    </row>
    <row r="192" customFormat="false" ht="15" hidden="false" customHeight="false" outlineLevel="0" collapsed="false">
      <c r="A192" s="2" t="s">
        <v>218</v>
      </c>
      <c r="B192" s="2" t="s">
        <v>29</v>
      </c>
      <c r="C192" s="2" t="n">
        <v>1</v>
      </c>
      <c r="D192" s="2" t="n">
        <v>9</v>
      </c>
      <c r="E192" s="2" t="n">
        <v>23</v>
      </c>
      <c r="F192" s="2" t="n">
        <v>81</v>
      </c>
      <c r="G192" s="7" t="n">
        <f aca="false">E192*Load_Model_Assumptions!$B$6+F192*Load_Model_Assumptions!$B$5</f>
        <v>43.8412098298677</v>
      </c>
      <c r="H192" s="8" t="n">
        <f aca="false">IF(D192&gt;0,G192/D192,"")</f>
        <v>4.87124553665197</v>
      </c>
      <c r="I192" s="9" t="n">
        <f aca="false">IF(G192&gt;0,F192*Load_Model_Assumptions!$B$5/G192,"")</f>
        <v>0.475379441186616</v>
      </c>
    </row>
    <row r="193" customFormat="false" ht="15" hidden="false" customHeight="false" outlineLevel="0" collapsed="false">
      <c r="A193" s="2" t="s">
        <v>219</v>
      </c>
      <c r="B193" s="2" t="s">
        <v>29</v>
      </c>
      <c r="C193" s="2" t="n">
        <v>2</v>
      </c>
      <c r="D193" s="2" t="n">
        <v>7</v>
      </c>
      <c r="E193" s="2" t="n">
        <v>18</v>
      </c>
      <c r="F193" s="2" t="n">
        <v>100</v>
      </c>
      <c r="G193" s="7" t="n">
        <f aca="false">E193*Load_Model_Assumptions!$B$6+F193*Load_Model_Assumptions!$B$5</f>
        <v>43.729888678849</v>
      </c>
      <c r="H193" s="8" t="n">
        <f aca="false">IF(D193&gt;0,G193/D193,"")</f>
        <v>6.24712695412128</v>
      </c>
      <c r="I193" s="9" t="n">
        <f aca="false">IF(G193&gt;0,F193*Load_Model_Assumptions!$B$5/G193,"")</f>
        <v>0.58838221308562</v>
      </c>
    </row>
    <row r="194" customFormat="false" ht="15" hidden="false" customHeight="false" outlineLevel="0" collapsed="false">
      <c r="A194" s="2" t="s">
        <v>220</v>
      </c>
      <c r="B194" s="2" t="s">
        <v>117</v>
      </c>
      <c r="C194" s="2" t="n">
        <v>5</v>
      </c>
      <c r="D194" s="2" t="n">
        <v>39</v>
      </c>
      <c r="E194" s="2" t="n">
        <v>2</v>
      </c>
      <c r="F194" s="2" t="n">
        <v>162</v>
      </c>
      <c r="G194" s="7" t="n">
        <f aca="false">E194*Load_Model_Assumptions!$B$6+F194*Load_Model_Assumptions!$B$5</f>
        <v>43.6824196597354</v>
      </c>
      <c r="H194" s="8" t="n">
        <f aca="false">IF(D194&gt;0,G194/D194,"")</f>
        <v>1.12006204255732</v>
      </c>
      <c r="I194" s="9" t="n">
        <f aca="false">IF(G194&gt;0,F194*Load_Model_Assumptions!$B$5/G194,"")</f>
        <v>0.954214990479488</v>
      </c>
    </row>
    <row r="195" customFormat="false" ht="15" hidden="false" customHeight="false" outlineLevel="0" collapsed="false">
      <c r="A195" s="2" t="s">
        <v>221</v>
      </c>
      <c r="B195" s="2" t="s">
        <v>117</v>
      </c>
      <c r="C195" s="2" t="n">
        <v>4</v>
      </c>
      <c r="D195" s="2" t="n">
        <v>39</v>
      </c>
      <c r="E195" s="2" t="n">
        <v>0</v>
      </c>
      <c r="F195" s="2" t="n">
        <v>168</v>
      </c>
      <c r="G195" s="7" t="n">
        <f aca="false">E195*Load_Model_Assumptions!$B$6+F195*Load_Model_Assumptions!$B$5</f>
        <v>43.2262129804663</v>
      </c>
      <c r="H195" s="8" t="n">
        <f aca="false">IF(D195&gt;0,G195/D195,"")</f>
        <v>1.10836443539657</v>
      </c>
      <c r="I195" s="9" t="n">
        <f aca="false">IF(G195&gt;0,F195*Load_Model_Assumptions!$B$5/G195,"")</f>
        <v>1</v>
      </c>
    </row>
    <row r="196" customFormat="false" ht="15" hidden="false" customHeight="false" outlineLevel="0" collapsed="false">
      <c r="A196" s="2" t="s">
        <v>222</v>
      </c>
      <c r="B196" s="2" t="s">
        <v>29</v>
      </c>
      <c r="C196" s="2" t="n">
        <v>1</v>
      </c>
      <c r="D196" s="2" t="n">
        <v>5</v>
      </c>
      <c r="E196" s="2" t="n">
        <v>20</v>
      </c>
      <c r="F196" s="2" t="n">
        <v>90</v>
      </c>
      <c r="G196" s="7" t="n">
        <f aca="false">E196*Load_Model_Assumptions!$B$6+F196*Load_Model_Assumptions!$B$5</f>
        <v>43.1568998109641</v>
      </c>
      <c r="H196" s="8" t="n">
        <f aca="false">IF(D196&gt;0,G196/D196,"")</f>
        <v>8.63137996219282</v>
      </c>
      <c r="I196" s="9" t="n">
        <f aca="false">IF(G196&gt;0,F196*Load_Model_Assumptions!$B$5/G196,"")</f>
        <v>0.536574682435392</v>
      </c>
    </row>
    <row r="197" customFormat="false" ht="15" hidden="false" customHeight="false" outlineLevel="0" collapsed="false">
      <c r="A197" s="2" t="s">
        <v>223</v>
      </c>
      <c r="B197" s="2" t="s">
        <v>29</v>
      </c>
      <c r="C197" s="2" t="n">
        <v>2</v>
      </c>
      <c r="D197" s="2" t="n">
        <v>8</v>
      </c>
      <c r="E197" s="2" t="n">
        <v>23</v>
      </c>
      <c r="F197" s="2" t="n">
        <v>77</v>
      </c>
      <c r="G197" s="7" t="n">
        <f aca="false">E197*Load_Model_Assumptions!$B$6+F197*Load_Model_Assumptions!$B$5</f>
        <v>42.8120142827137</v>
      </c>
      <c r="H197" s="8" t="n">
        <f aca="false">IF(D197&gt;0,G197/D197,"")</f>
        <v>5.35150178533922</v>
      </c>
      <c r="I197" s="9" t="n">
        <f aca="false">IF(G197&gt;0,F197*Load_Model_Assumptions!$B$5/G197,"")</f>
        <v>0.462767627607591</v>
      </c>
    </row>
    <row r="198" customFormat="false" ht="15" hidden="false" customHeight="false" outlineLevel="0" collapsed="false">
      <c r="A198" s="2" t="s">
        <v>224</v>
      </c>
      <c r="B198" s="2" t="s">
        <v>83</v>
      </c>
      <c r="C198" s="2" t="n">
        <v>2</v>
      </c>
      <c r="D198" s="2" t="n">
        <v>20</v>
      </c>
      <c r="E198" s="2" t="n">
        <v>7</v>
      </c>
      <c r="F198" s="2" t="n">
        <v>138</v>
      </c>
      <c r="G198" s="7" t="n">
        <f aca="false">E198*Load_Model_Assumptions!$B$6+F198*Load_Model_Assumptions!$B$5</f>
        <v>42.5072463768116</v>
      </c>
      <c r="H198" s="8" t="n">
        <f aca="false">IF(D198&gt;0,G198/D198,"")</f>
        <v>2.12536231884058</v>
      </c>
      <c r="I198" s="9" t="n">
        <f aca="false">IF(G198&gt;0,F198*Load_Model_Assumptions!$B$5/G198,"")</f>
        <v>0.835322195704057</v>
      </c>
    </row>
    <row r="199" customFormat="false" ht="15" hidden="false" customHeight="false" outlineLevel="0" collapsed="false">
      <c r="A199" s="2" t="s">
        <v>225</v>
      </c>
      <c r="B199" s="2" t="s">
        <v>83</v>
      </c>
      <c r="C199" s="2" t="n">
        <v>3</v>
      </c>
      <c r="D199" s="2" t="n">
        <v>25</v>
      </c>
      <c r="E199" s="2" t="n">
        <v>3</v>
      </c>
      <c r="F199" s="2" t="n">
        <v>149</v>
      </c>
      <c r="G199" s="7" t="n">
        <f aca="false">E199*Load_Model_Assumptions!$B$6+F199*Load_Model_Assumptions!$B$5</f>
        <v>41.337534131485</v>
      </c>
      <c r="H199" s="8" t="n">
        <f aca="false">IF(D199&gt;0,G199/D199,"")</f>
        <v>1.6535013652594</v>
      </c>
      <c r="I199" s="9" t="n">
        <f aca="false">IF(G199&gt;0,F199*Load_Model_Assumptions!$B$5/G199,"")</f>
        <v>0.927426730620707</v>
      </c>
    </row>
    <row r="200" customFormat="false" ht="15" hidden="false" customHeight="false" outlineLevel="0" collapsed="false">
      <c r="A200" s="2" t="s">
        <v>226</v>
      </c>
      <c r="B200" s="2" t="s">
        <v>24</v>
      </c>
      <c r="C200" s="2" t="n">
        <v>1</v>
      </c>
      <c r="D200" s="2" t="n">
        <v>7</v>
      </c>
      <c r="E200" s="2" t="n">
        <v>28</v>
      </c>
      <c r="F200" s="2" t="n">
        <v>50</v>
      </c>
      <c r="G200" s="7" t="n">
        <f aca="false">E200*Load_Model_Assumptions!$B$6+F200*Load_Model_Assumptions!$B$5</f>
        <v>40.8649443394245</v>
      </c>
      <c r="H200" s="8" t="n">
        <f aca="false">IF(D200&gt;0,G200/D200,"")</f>
        <v>5.83784919134636</v>
      </c>
      <c r="I200" s="9" t="n">
        <f aca="false">IF(G200&gt;0,F200*Load_Model_Assumptions!$B$5/G200,"")</f>
        <v>0.314816147369936</v>
      </c>
    </row>
    <row r="201" customFormat="false" ht="15" hidden="false" customHeight="false" outlineLevel="0" collapsed="false">
      <c r="A201" s="2" t="s">
        <v>227</v>
      </c>
      <c r="B201" s="2" t="s">
        <v>83</v>
      </c>
      <c r="C201" s="2" t="n">
        <v>4</v>
      </c>
      <c r="D201" s="2" t="n">
        <v>25</v>
      </c>
      <c r="E201" s="2" t="n">
        <v>10</v>
      </c>
      <c r="F201" s="2" t="n">
        <v>117</v>
      </c>
      <c r="G201" s="7" t="n">
        <f aca="false">E201*Load_Model_Assumptions!$B$6+F201*Load_Model_Assumptions!$B$5</f>
        <v>40.1039697542533</v>
      </c>
      <c r="H201" s="8" t="n">
        <f aca="false">IF(D201&gt;0,G201/D201,"")</f>
        <v>1.60415879017013</v>
      </c>
      <c r="I201" s="9" t="n">
        <f aca="false">IF(G201&gt;0,F201*Load_Model_Assumptions!$B$5/G201,"")</f>
        <v>0.750648126325713</v>
      </c>
    </row>
    <row r="202" customFormat="false" ht="15" hidden="false" customHeight="false" outlineLevel="0" collapsed="false">
      <c r="A202" s="2" t="s">
        <v>228</v>
      </c>
      <c r="B202" s="2" t="s">
        <v>117</v>
      </c>
      <c r="C202" s="2" t="n">
        <v>2</v>
      </c>
      <c r="D202" s="2" t="n">
        <v>22</v>
      </c>
      <c r="E202" s="2" t="n">
        <v>2</v>
      </c>
      <c r="F202" s="2" t="n">
        <v>147</v>
      </c>
      <c r="G202" s="7" t="n">
        <f aca="false">E202*Load_Model_Assumptions!$B$6+F202*Load_Model_Assumptions!$B$5</f>
        <v>39.822936357908</v>
      </c>
      <c r="H202" s="8" t="n">
        <f aca="false">IF(D202&gt;0,G202/D202,"")</f>
        <v>1.810133470814</v>
      </c>
      <c r="I202" s="9" t="n">
        <f aca="false">IF(G202&gt;0,F202*Load_Model_Assumptions!$B$5/G202,"")</f>
        <v>0.949777686355797</v>
      </c>
    </row>
    <row r="203" customFormat="false" ht="15" hidden="false" customHeight="false" outlineLevel="0" collapsed="false">
      <c r="A203" s="2" t="s">
        <v>229</v>
      </c>
      <c r="B203" s="2" t="s">
        <v>29</v>
      </c>
      <c r="C203" s="2" t="n">
        <v>1</v>
      </c>
      <c r="D203" s="2" t="n">
        <v>9</v>
      </c>
      <c r="E203" s="2" t="n">
        <v>22</v>
      </c>
      <c r="F203" s="2" t="n">
        <v>69</v>
      </c>
      <c r="G203" s="7" t="n">
        <f aca="false">E203*Load_Model_Assumptions!$B$6+F203*Load_Model_Assumptions!$B$5</f>
        <v>39.7536231884058</v>
      </c>
      <c r="H203" s="8" t="n">
        <f aca="false">IF(D203&gt;0,G203/D203,"")</f>
        <v>4.4170692431562</v>
      </c>
      <c r="I203" s="9" t="n">
        <f aca="false">IF(G203&gt;0,F203*Load_Model_Assumptions!$B$5/G203,"")</f>
        <v>0.446591323368575</v>
      </c>
    </row>
    <row r="204" customFormat="false" ht="15" hidden="false" customHeight="false" outlineLevel="0" collapsed="false">
      <c r="A204" s="2" t="s">
        <v>230</v>
      </c>
      <c r="B204" s="2" t="s">
        <v>24</v>
      </c>
      <c r="C204" s="2" t="n">
        <v>2</v>
      </c>
      <c r="D204" s="2" t="n">
        <v>6</v>
      </c>
      <c r="E204" s="2" t="n">
        <v>22</v>
      </c>
      <c r="F204" s="2" t="n">
        <v>67</v>
      </c>
      <c r="G204" s="7" t="n">
        <f aca="false">E204*Load_Model_Assumptions!$B$6+F204*Load_Model_Assumptions!$B$5</f>
        <v>39.2390254148288</v>
      </c>
      <c r="H204" s="8" t="n">
        <f aca="false">IF(D204&gt;0,G204/D204,"")</f>
        <v>6.53983756913814</v>
      </c>
      <c r="I204" s="9" t="n">
        <f aca="false">IF(G204&gt;0,F204*Load_Model_Assumptions!$B$5/G204,"")</f>
        <v>0.439333679483131</v>
      </c>
    </row>
    <row r="205" customFormat="false" ht="15" hidden="false" customHeight="false" outlineLevel="0" collapsed="false">
      <c r="A205" s="2" t="s">
        <v>231</v>
      </c>
      <c r="B205" s="2" t="s">
        <v>115</v>
      </c>
      <c r="C205" s="2" t="n">
        <v>4</v>
      </c>
      <c r="D205" s="2" t="n">
        <v>25</v>
      </c>
      <c r="E205" s="2" t="n">
        <v>21</v>
      </c>
      <c r="F205" s="2" t="n">
        <v>68</v>
      </c>
      <c r="G205" s="7" t="n">
        <f aca="false">E205*Load_Model_Assumptions!$B$6+F205*Load_Model_Assumptions!$B$5</f>
        <v>38.4963243016173</v>
      </c>
      <c r="H205" s="8" t="n">
        <f aca="false">IF(D205&gt;0,G205/D205,"")</f>
        <v>1.53985297206469</v>
      </c>
      <c r="I205" s="9" t="n">
        <f aca="false">IF(G205&gt;0,F205*Load_Model_Assumptions!$B$5/G205,"")</f>
        <v>0.454493373562999</v>
      </c>
    </row>
    <row r="206" customFormat="false" ht="15" hidden="false" customHeight="false" outlineLevel="0" collapsed="false">
      <c r="A206" s="2" t="s">
        <v>232</v>
      </c>
      <c r="B206" s="2" t="s">
        <v>29</v>
      </c>
      <c r="C206" s="2" t="n">
        <v>2</v>
      </c>
      <c r="D206" s="2" t="n">
        <v>12</v>
      </c>
      <c r="E206" s="2" t="n">
        <v>17</v>
      </c>
      <c r="F206" s="2" t="n">
        <v>82</v>
      </c>
      <c r="G206" s="7" t="n">
        <f aca="false">E206*Load_Model_Assumptions!$B$6+F206*Load_Model_Assumptions!$B$5</f>
        <v>38.0985087166562</v>
      </c>
      <c r="H206" s="8" t="n">
        <f aca="false">IF(D206&gt;0,G206/D206,"")</f>
        <v>3.17487572638801</v>
      </c>
      <c r="I206" s="9" t="n">
        <f aca="false">IF(G206&gt;0,F206*Load_Model_Assumptions!$B$5/G206,"")</f>
        <v>0.553788308974734</v>
      </c>
    </row>
    <row r="207" customFormat="false" ht="15" hidden="false" customHeight="false" outlineLevel="0" collapsed="false">
      <c r="A207" s="2" t="s">
        <v>233</v>
      </c>
      <c r="B207" s="2" t="s">
        <v>115</v>
      </c>
      <c r="C207" s="2" t="n">
        <v>2</v>
      </c>
      <c r="D207" s="2" t="n">
        <v>13</v>
      </c>
      <c r="E207" s="2" t="n">
        <v>19</v>
      </c>
      <c r="F207" s="2" t="n">
        <v>73</v>
      </c>
      <c r="G207" s="7" t="n">
        <f aca="false">E207*Load_Model_Assumptions!$B$6+F207*Load_Model_Assumptions!$B$5</f>
        <v>37.7828187355598</v>
      </c>
      <c r="H207" s="8" t="n">
        <f aca="false">IF(D207&gt;0,G207/D207,"")</f>
        <v>2.90637067196614</v>
      </c>
      <c r="I207" s="9" t="n">
        <f aca="false">IF(G207&gt;0,F207*Load_Model_Assumptions!$B$5/G207,"")</f>
        <v>0.497125925596496</v>
      </c>
    </row>
    <row r="208" customFormat="false" ht="15" hidden="false" customHeight="false" outlineLevel="0" collapsed="false">
      <c r="A208" s="2" t="s">
        <v>234</v>
      </c>
      <c r="B208" s="2" t="s">
        <v>117</v>
      </c>
      <c r="C208" s="2" t="n">
        <v>2</v>
      </c>
      <c r="D208" s="2" t="n">
        <v>19</v>
      </c>
      <c r="E208" s="2" t="n">
        <v>17</v>
      </c>
      <c r="F208" s="2" t="n">
        <v>80</v>
      </c>
      <c r="G208" s="7" t="n">
        <f aca="false">E208*Load_Model_Assumptions!$B$6+F208*Load_Model_Assumptions!$B$5</f>
        <v>37.5839109430792</v>
      </c>
      <c r="H208" s="8" t="n">
        <f aca="false">IF(D208&gt;0,G208/D208,"")</f>
        <v>1.97810057595154</v>
      </c>
      <c r="I208" s="9" t="n">
        <f aca="false">IF(G208&gt;0,F208*Load_Model_Assumptions!$B$5/G208,"")</f>
        <v>0.547678791977065</v>
      </c>
    </row>
    <row r="209" customFormat="false" ht="15" hidden="false" customHeight="false" outlineLevel="0" collapsed="false">
      <c r="A209" s="2" t="s">
        <v>235</v>
      </c>
      <c r="B209" s="2" t="s">
        <v>29</v>
      </c>
      <c r="C209" s="2" t="n">
        <v>1</v>
      </c>
      <c r="D209" s="2" t="n">
        <v>6</v>
      </c>
      <c r="E209" s="2" t="n">
        <v>16</v>
      </c>
      <c r="F209" s="2" t="n">
        <v>83</v>
      </c>
      <c r="G209" s="7" t="n">
        <f aca="false">E209*Load_Model_Assumptions!$B$6+F209*Load_Model_Assumptions!$B$5</f>
        <v>37.3558076034447</v>
      </c>
      <c r="H209" s="8" t="n">
        <f aca="false">IF(D209&gt;0,G209/D209,"")</f>
        <v>6.22596793390744</v>
      </c>
      <c r="I209" s="9" t="n">
        <f aca="false">IF(G209&gt;0,F209*Load_Model_Assumptions!$B$5/G209,"")</f>
        <v>0.571686411659198</v>
      </c>
    </row>
    <row r="210" customFormat="false" ht="15" hidden="false" customHeight="false" outlineLevel="0" collapsed="false">
      <c r="A210" s="2" t="s">
        <v>236</v>
      </c>
      <c r="B210" s="2" t="s">
        <v>29</v>
      </c>
      <c r="C210" s="2" t="n">
        <v>1</v>
      </c>
      <c r="D210" s="2" t="n">
        <v>6</v>
      </c>
      <c r="E210" s="2" t="n">
        <v>22</v>
      </c>
      <c r="F210" s="2" t="n">
        <v>56</v>
      </c>
      <c r="G210" s="7" t="n">
        <f aca="false">E210*Load_Model_Assumptions!$B$6+F210*Load_Model_Assumptions!$B$5</f>
        <v>36.4087376601554</v>
      </c>
      <c r="H210" s="8" t="n">
        <f aca="false">IF(D210&gt;0,G210/D210,"")</f>
        <v>6.06812294335924</v>
      </c>
      <c r="I210" s="9" t="n">
        <f aca="false">IF(G210&gt;0,F210*Load_Model_Assumptions!$B$5/G210,"")</f>
        <v>0.395749443297066</v>
      </c>
    </row>
    <row r="211" customFormat="false" ht="15" hidden="false" customHeight="false" outlineLevel="0" collapsed="false">
      <c r="A211" s="2" t="s">
        <v>237</v>
      </c>
      <c r="B211" s="2" t="s">
        <v>24</v>
      </c>
      <c r="C211" s="2" t="n">
        <v>2</v>
      </c>
      <c r="D211" s="2" t="n">
        <v>4</v>
      </c>
      <c r="E211" s="2" t="n">
        <v>27</v>
      </c>
      <c r="F211" s="2" t="n">
        <v>35</v>
      </c>
      <c r="G211" s="7" t="n">
        <f aca="false">E211*Load_Model_Assumptions!$B$6+F211*Load_Model_Assumptions!$B$5</f>
        <v>36.0054610375971</v>
      </c>
      <c r="H211" s="8" t="n">
        <f aca="false">IF(D211&gt;0,G211/D211,"")</f>
        <v>9.00136525939929</v>
      </c>
      <c r="I211" s="9" t="n">
        <f aca="false">IF(G211&gt;0,F211*Load_Model_Assumptions!$B$5/G211,"")</f>
        <v>0.250113754360584</v>
      </c>
    </row>
    <row r="212" customFormat="false" ht="15" hidden="false" customHeight="false" outlineLevel="0" collapsed="false">
      <c r="A212" s="2" t="s">
        <v>238</v>
      </c>
      <c r="B212" s="2" t="s">
        <v>117</v>
      </c>
      <c r="C212" s="2" t="n">
        <v>2</v>
      </c>
      <c r="D212" s="2" t="n">
        <v>19</v>
      </c>
      <c r="E212" s="2" t="n">
        <v>3</v>
      </c>
      <c r="F212" s="2" t="n">
        <v>128</v>
      </c>
      <c r="G212" s="7" t="n">
        <f aca="false">E212*Load_Model_Assumptions!$B$6+F212*Load_Model_Assumptions!$B$5</f>
        <v>35.9342575089267</v>
      </c>
      <c r="H212" s="8" t="n">
        <f aca="false">IF(D212&gt;0,G212/D212,"")</f>
        <v>1.89127671099614</v>
      </c>
      <c r="I212" s="9" t="n">
        <f aca="false">IF(G212&gt;0,F212*Load_Model_Assumptions!$B$5/G212,"")</f>
        <v>0.916514206554713</v>
      </c>
    </row>
    <row r="213" customFormat="false" ht="15" hidden="false" customHeight="false" outlineLevel="0" collapsed="false">
      <c r="A213" s="2" t="s">
        <v>239</v>
      </c>
      <c r="B213" s="2" t="s">
        <v>117</v>
      </c>
      <c r="C213" s="2" t="n">
        <v>1</v>
      </c>
      <c r="D213" s="2" t="n">
        <v>10</v>
      </c>
      <c r="E213" s="2" t="n">
        <v>10</v>
      </c>
      <c r="F213" s="2" t="n">
        <v>97</v>
      </c>
      <c r="G213" s="7" t="n">
        <f aca="false">E213*Load_Model_Assumptions!$B$6+F213*Load_Model_Assumptions!$B$5</f>
        <v>34.9579920184835</v>
      </c>
      <c r="H213" s="8" t="n">
        <f aca="false">IF(D213&gt;0,G213/D213,"")</f>
        <v>3.49579920184835</v>
      </c>
      <c r="I213" s="9" t="n">
        <f aca="false">IF(G213&gt;0,F213*Load_Model_Assumptions!$B$5/G213,"")</f>
        <v>0.713942379908072</v>
      </c>
    </row>
    <row r="214" customFormat="false" ht="15" hidden="false" customHeight="false" outlineLevel="0" collapsed="false">
      <c r="A214" s="2" t="s">
        <v>240</v>
      </c>
      <c r="B214" s="2" t="s">
        <v>115</v>
      </c>
      <c r="C214" s="2" t="n">
        <v>2</v>
      </c>
      <c r="D214" s="2" t="n">
        <v>20</v>
      </c>
      <c r="E214" s="2" t="n">
        <v>18</v>
      </c>
      <c r="F214" s="2" t="n">
        <v>65</v>
      </c>
      <c r="G214" s="7" t="n">
        <f aca="false">E214*Load_Model_Assumptions!$B$6+F214*Load_Model_Assumptions!$B$5</f>
        <v>34.7244276412518</v>
      </c>
      <c r="H214" s="8" t="n">
        <f aca="false">IF(D214&gt;0,G214/D214,"")</f>
        <v>1.73622138206259</v>
      </c>
      <c r="I214" s="9" t="n">
        <f aca="false">IF(G214&gt;0,F214*Load_Model_Assumptions!$B$5/G214,"")</f>
        <v>0.481632924638435</v>
      </c>
    </row>
    <row r="215" customFormat="false" ht="15" hidden="false" customHeight="false" outlineLevel="0" collapsed="false">
      <c r="A215" s="2" t="s">
        <v>241</v>
      </c>
      <c r="B215" s="2" t="s">
        <v>83</v>
      </c>
      <c r="C215" s="2" t="n">
        <v>4</v>
      </c>
      <c r="D215" s="2" t="n">
        <v>29</v>
      </c>
      <c r="E215" s="2" t="n">
        <v>2</v>
      </c>
      <c r="F215" s="2" t="n">
        <v>126</v>
      </c>
      <c r="G215" s="7" t="n">
        <f aca="false">E215*Load_Model_Assumptions!$B$6+F215*Load_Model_Assumptions!$B$5</f>
        <v>34.4196597353497</v>
      </c>
      <c r="H215" s="8" t="n">
        <f aca="false">IF(D215&gt;0,G215/D215,"")</f>
        <v>1.18688481846034</v>
      </c>
      <c r="I215" s="9" t="n">
        <f aca="false">IF(G215&gt;0,F215*Load_Model_Assumptions!$B$5/G215,"")</f>
        <v>0.941893673110721</v>
      </c>
    </row>
    <row r="216" customFormat="false" ht="15" hidden="false" customHeight="false" outlineLevel="0" collapsed="false">
      <c r="A216" s="2" t="s">
        <v>242</v>
      </c>
      <c r="B216" s="2" t="s">
        <v>24</v>
      </c>
      <c r="C216" s="2" t="n">
        <v>1</v>
      </c>
      <c r="D216" s="2" t="n">
        <v>5</v>
      </c>
      <c r="E216" s="2" t="n">
        <v>19</v>
      </c>
      <c r="F216" s="2" t="n">
        <v>59</v>
      </c>
      <c r="G216" s="7" t="n">
        <f aca="false">E216*Load_Model_Assumptions!$B$6+F216*Load_Model_Assumptions!$B$5</f>
        <v>34.1806343205209</v>
      </c>
      <c r="H216" s="8" t="n">
        <f aca="false">IF(D216&gt;0,G216/D216,"")</f>
        <v>6.83612686410418</v>
      </c>
      <c r="I216" s="9" t="n">
        <f aca="false">IF(G216&gt;0,F216*Load_Model_Assumptions!$B$5/G216,"")</f>
        <v>0.444129684024236</v>
      </c>
    </row>
    <row r="217" customFormat="false" ht="15" hidden="false" customHeight="false" outlineLevel="0" collapsed="false">
      <c r="A217" s="2" t="s">
        <v>243</v>
      </c>
      <c r="B217" s="2" t="s">
        <v>115</v>
      </c>
      <c r="C217" s="2" t="n">
        <v>4</v>
      </c>
      <c r="D217" s="2" t="n">
        <v>34</v>
      </c>
      <c r="E217" s="2" t="n">
        <v>11</v>
      </c>
      <c r="F217" s="2" t="n">
        <v>90</v>
      </c>
      <c r="G217" s="7" t="n">
        <f aca="false">E217*Load_Model_Assumptions!$B$6+F217*Load_Model_Assumptions!$B$5</f>
        <v>34.1568998109641</v>
      </c>
      <c r="H217" s="8" t="n">
        <f aca="false">IF(D217&gt;0,G217/D217,"")</f>
        <v>1.00461470032247</v>
      </c>
      <c r="I217" s="9" t="n">
        <f aca="false">IF(G217&gt;0,F217*Load_Model_Assumptions!$B$5/G217,"")</f>
        <v>0.677956721456638</v>
      </c>
    </row>
    <row r="218" customFormat="false" ht="15" hidden="false" customHeight="false" outlineLevel="0" collapsed="false">
      <c r="A218" s="2" t="s">
        <v>244</v>
      </c>
      <c r="B218" s="2" t="s">
        <v>117</v>
      </c>
      <c r="C218" s="2" t="n">
        <v>1</v>
      </c>
      <c r="D218" s="2" t="n">
        <v>10</v>
      </c>
      <c r="E218" s="2" t="n">
        <v>11</v>
      </c>
      <c r="F218" s="2" t="n">
        <v>89</v>
      </c>
      <c r="G218" s="7" t="n">
        <f aca="false">E218*Load_Model_Assumptions!$B$6+F218*Load_Model_Assumptions!$B$5</f>
        <v>33.8996009241756</v>
      </c>
      <c r="H218" s="8" t="n">
        <f aca="false">IF(D218&gt;0,G218/D218,"")</f>
        <v>3.38996009241756</v>
      </c>
      <c r="I218" s="9" t="n">
        <f aca="false">IF(G218&gt;0,F218*Load_Model_Assumptions!$B$5/G218,"")</f>
        <v>0.675512404272721</v>
      </c>
    </row>
    <row r="219" customFormat="false" ht="15" hidden="false" customHeight="false" outlineLevel="0" collapsed="false">
      <c r="A219" s="2" t="s">
        <v>245</v>
      </c>
      <c r="B219" s="2" t="s">
        <v>83</v>
      </c>
      <c r="C219" s="2" t="n">
        <v>2</v>
      </c>
      <c r="D219" s="2" t="n">
        <v>19</v>
      </c>
      <c r="E219" s="2" t="n">
        <v>5</v>
      </c>
      <c r="F219" s="2" t="n">
        <v>111</v>
      </c>
      <c r="G219" s="7" t="n">
        <f aca="false">E219*Load_Model_Assumptions!$B$6+F219*Load_Model_Assumptions!$B$5</f>
        <v>33.5601764335224</v>
      </c>
      <c r="H219" s="8" t="n">
        <f aca="false">IF(D219&gt;0,G219/D219,"")</f>
        <v>1.76632507544855</v>
      </c>
      <c r="I219" s="9" t="n">
        <f aca="false">IF(G219&gt;0,F219*Load_Model_Assumptions!$B$5/G219,"")</f>
        <v>0.851013894104394</v>
      </c>
    </row>
    <row r="220" customFormat="false" ht="15" hidden="false" customHeight="false" outlineLevel="0" collapsed="false">
      <c r="A220" s="2" t="s">
        <v>246</v>
      </c>
      <c r="B220" s="2" t="s">
        <v>29</v>
      </c>
      <c r="C220" s="2" t="n">
        <v>1</v>
      </c>
      <c r="D220" s="2" t="n">
        <v>3</v>
      </c>
      <c r="E220" s="2" t="n">
        <v>16</v>
      </c>
      <c r="F220" s="2" t="n">
        <v>68</v>
      </c>
      <c r="G220" s="7" t="n">
        <f aca="false">E220*Load_Model_Assumptions!$B$6+F220*Load_Model_Assumptions!$B$5</f>
        <v>33.4963243016173</v>
      </c>
      <c r="H220" s="8" t="n">
        <f aca="false">IF(D220&gt;0,G220/D220,"")</f>
        <v>11.1654414338724</v>
      </c>
      <c r="I220" s="9" t="n">
        <f aca="false">IF(G220&gt;0,F220*Load_Model_Assumptions!$B$5/G220,"")</f>
        <v>0.522335649251298</v>
      </c>
    </row>
    <row r="221" customFormat="false" ht="15" hidden="false" customHeight="false" outlineLevel="0" collapsed="false">
      <c r="A221" s="2" t="s">
        <v>247</v>
      </c>
      <c r="B221" s="2" t="s">
        <v>24</v>
      </c>
      <c r="C221" s="2" t="n">
        <v>2</v>
      </c>
      <c r="D221" s="2" t="n">
        <v>8</v>
      </c>
      <c r="E221" s="2" t="n">
        <v>20</v>
      </c>
      <c r="F221" s="2" t="n">
        <v>52</v>
      </c>
      <c r="G221" s="7" t="n">
        <f aca="false">E221*Load_Model_Assumptions!$B$6+F221*Load_Model_Assumptions!$B$5</f>
        <v>33.3795421130015</v>
      </c>
      <c r="H221" s="8" t="n">
        <f aca="false">IF(D221&gt;0,G221/D221,"")</f>
        <v>4.17244276412518</v>
      </c>
      <c r="I221" s="9" t="n">
        <f aca="false">IF(G221&gt;0,F221*Load_Model_Assumptions!$B$5/G221,"")</f>
        <v>0.400830606594513</v>
      </c>
    </row>
    <row r="222" customFormat="false" ht="15" hidden="false" customHeight="false" outlineLevel="0" collapsed="false">
      <c r="A222" s="2" t="s">
        <v>248</v>
      </c>
      <c r="B222" s="2" t="s">
        <v>29</v>
      </c>
      <c r="C222" s="2" t="n">
        <v>1</v>
      </c>
      <c r="D222" s="2" t="n">
        <v>7</v>
      </c>
      <c r="E222" s="2" t="n">
        <v>10</v>
      </c>
      <c r="F222" s="2" t="n">
        <v>88</v>
      </c>
      <c r="G222" s="7" t="n">
        <f aca="false">E222*Load_Model_Assumptions!$B$6+F222*Load_Model_Assumptions!$B$5</f>
        <v>32.6423020373871</v>
      </c>
      <c r="H222" s="8" t="n">
        <f aca="false">IF(D222&gt;0,G222/D222,"")</f>
        <v>4.66318600534102</v>
      </c>
      <c r="I222" s="9" t="n">
        <f aca="false">IF(G222&gt;0,F222*Load_Model_Assumptions!$B$5/G222,"")</f>
        <v>0.693649057332218</v>
      </c>
    </row>
    <row r="223" customFormat="false" ht="15" hidden="false" customHeight="false" outlineLevel="0" collapsed="false">
      <c r="A223" s="2" t="s">
        <v>249</v>
      </c>
      <c r="B223" s="2" t="s">
        <v>117</v>
      </c>
      <c r="C223" s="2" t="n">
        <v>3</v>
      </c>
      <c r="D223" s="2" t="n">
        <v>26</v>
      </c>
      <c r="E223" s="2" t="n">
        <v>2</v>
      </c>
      <c r="F223" s="2" t="n">
        <v>119</v>
      </c>
      <c r="G223" s="7" t="n">
        <f aca="false">E223*Load_Model_Assumptions!$B$6+F223*Load_Model_Assumptions!$B$5</f>
        <v>32.6185675278303</v>
      </c>
      <c r="H223" s="8" t="n">
        <f aca="false">IF(D223&gt;0,G223/D223,"")</f>
        <v>1.25456028953193</v>
      </c>
      <c r="I223" s="9" t="n">
        <f aca="false">IF(G223&gt;0,F223*Load_Model_Assumptions!$B$5/G223,"")</f>
        <v>0.938685228948402</v>
      </c>
    </row>
    <row r="224" customFormat="false" ht="15" hidden="false" customHeight="false" outlineLevel="0" collapsed="false">
      <c r="A224" s="2" t="s">
        <v>250</v>
      </c>
      <c r="B224" s="2" t="s">
        <v>29</v>
      </c>
      <c r="C224" s="2" t="n">
        <v>1</v>
      </c>
      <c r="D224" s="2" t="n">
        <v>6</v>
      </c>
      <c r="E224" s="2" t="n">
        <v>12</v>
      </c>
      <c r="F224" s="2" t="n">
        <v>80</v>
      </c>
      <c r="G224" s="7" t="n">
        <f aca="false">E224*Load_Model_Assumptions!$B$6+F224*Load_Model_Assumptions!$B$5</f>
        <v>32.5839109430792</v>
      </c>
      <c r="H224" s="8" t="n">
        <f aca="false">IF(D224&gt;0,G224/D224,"")</f>
        <v>5.43065182384653</v>
      </c>
      <c r="I224" s="9" t="n">
        <f aca="false">IF(G224&gt;0,F224*Load_Model_Assumptions!$B$5/G224,"")</f>
        <v>0.631720083541758</v>
      </c>
    </row>
    <row r="225" customFormat="false" ht="15" hidden="false" customHeight="false" outlineLevel="0" collapsed="false">
      <c r="A225" s="2" t="s">
        <v>251</v>
      </c>
      <c r="B225" s="2" t="s">
        <v>83</v>
      </c>
      <c r="C225" s="2" t="n">
        <v>2</v>
      </c>
      <c r="D225" s="2" t="n">
        <v>20</v>
      </c>
      <c r="E225" s="2" t="n">
        <v>5</v>
      </c>
      <c r="F225" s="2" t="n">
        <v>103</v>
      </c>
      <c r="G225" s="7" t="n">
        <f aca="false">E225*Load_Model_Assumptions!$B$6+F225*Load_Model_Assumptions!$B$5</f>
        <v>31.5017853392145</v>
      </c>
      <c r="H225" s="8" t="n">
        <f aca="false">IF(D225&gt;0,G225/D225,"")</f>
        <v>1.57508926696072</v>
      </c>
      <c r="I225" s="9" t="n">
        <f aca="false">IF(G225&gt;0,F225*Load_Model_Assumptions!$B$5/G225,"")</f>
        <v>0.84127883717829</v>
      </c>
    </row>
    <row r="226" customFormat="false" ht="15" hidden="false" customHeight="false" outlineLevel="0" collapsed="false">
      <c r="A226" s="2" t="s">
        <v>252</v>
      </c>
      <c r="B226" s="2" t="s">
        <v>29</v>
      </c>
      <c r="C226" s="2" t="n">
        <v>1</v>
      </c>
      <c r="D226" s="2" t="n">
        <v>6</v>
      </c>
      <c r="E226" s="2" t="n">
        <v>15</v>
      </c>
      <c r="F226" s="2" t="n">
        <v>62</v>
      </c>
      <c r="G226" s="7" t="n">
        <f aca="false">E226*Load_Model_Assumptions!$B$6+F226*Load_Model_Assumptions!$B$5</f>
        <v>30.9525309808864</v>
      </c>
      <c r="H226" s="8" t="n">
        <f aca="false">IF(D226&gt;0,G226/D226,"")</f>
        <v>5.15875516348106</v>
      </c>
      <c r="I226" s="9" t="n">
        <f aca="false">IF(G226&gt;0,F226*Load_Model_Assumptions!$B$5/G226,"")</f>
        <v>0.515386964340244</v>
      </c>
    </row>
    <row r="227" customFormat="false" ht="15" hidden="false" customHeight="false" outlineLevel="0" collapsed="false">
      <c r="A227" s="2" t="s">
        <v>253</v>
      </c>
      <c r="B227" s="2" t="s">
        <v>115</v>
      </c>
      <c r="C227" s="2" t="n">
        <v>5</v>
      </c>
      <c r="D227" s="2" t="n">
        <v>35</v>
      </c>
      <c r="E227" s="2" t="n">
        <v>9</v>
      </c>
      <c r="F227" s="2" t="n">
        <v>84</v>
      </c>
      <c r="G227" s="7" t="n">
        <f aca="false">E227*Load_Model_Assumptions!$B$6+F227*Load_Model_Assumptions!$B$5</f>
        <v>30.6131064902331</v>
      </c>
      <c r="H227" s="8" t="n">
        <f aca="false">IF(D227&gt;0,G227/D227,"")</f>
        <v>0.874660185435233</v>
      </c>
      <c r="I227" s="9" t="n">
        <f aca="false">IF(G227&gt;0,F227*Load_Model_Assumptions!$B$5/G227,"")</f>
        <v>0.706008274499311</v>
      </c>
    </row>
    <row r="228" customFormat="false" ht="15" hidden="false" customHeight="false" outlineLevel="0" collapsed="false">
      <c r="A228" s="2" t="s">
        <v>254</v>
      </c>
      <c r="B228" s="2" t="s">
        <v>83</v>
      </c>
      <c r="C228" s="2" t="n">
        <v>2</v>
      </c>
      <c r="D228" s="2" t="n">
        <v>20</v>
      </c>
      <c r="E228" s="2" t="n">
        <v>0</v>
      </c>
      <c r="F228" s="2" t="n">
        <v>118</v>
      </c>
      <c r="G228" s="7" t="n">
        <f aca="false">E228*Load_Model_Assumptions!$B$6+F228*Load_Model_Assumptions!$B$5</f>
        <v>30.3612686410418</v>
      </c>
      <c r="H228" s="8" t="n">
        <f aca="false">IF(D228&gt;0,G228/D228,"")</f>
        <v>1.51806343205209</v>
      </c>
      <c r="I228" s="9" t="n">
        <f aca="false">IF(G228&gt;0,F228*Load_Model_Assumptions!$B$5/G228,"")</f>
        <v>1</v>
      </c>
    </row>
    <row r="229" customFormat="false" ht="15" hidden="false" customHeight="false" outlineLevel="0" collapsed="false">
      <c r="A229" s="2" t="s">
        <v>255</v>
      </c>
      <c r="B229" s="2" t="s">
        <v>115</v>
      </c>
      <c r="C229" s="2" t="n">
        <v>5</v>
      </c>
      <c r="D229" s="2" t="n">
        <v>35</v>
      </c>
      <c r="E229" s="2" t="n">
        <v>1</v>
      </c>
      <c r="F229" s="2" t="n">
        <v>114</v>
      </c>
      <c r="G229" s="7" t="n">
        <f aca="false">E229*Load_Model_Assumptions!$B$6+F229*Load_Model_Assumptions!$B$5</f>
        <v>30.3320730938878</v>
      </c>
      <c r="H229" s="8" t="n">
        <f aca="false">IF(D229&gt;0,G229/D229,"")</f>
        <v>0.866630659825367</v>
      </c>
      <c r="I229" s="9" t="n">
        <f aca="false">IF(G229&gt;0,F229*Load_Model_Assumptions!$B$5/G229,"")</f>
        <v>0.967031597315994</v>
      </c>
    </row>
    <row r="230" customFormat="false" ht="15" hidden="false" customHeight="false" outlineLevel="0" collapsed="false">
      <c r="A230" s="2" t="s">
        <v>256</v>
      </c>
      <c r="B230" s="2" t="s">
        <v>117</v>
      </c>
      <c r="C230" s="2" t="n">
        <v>2</v>
      </c>
      <c r="D230" s="2" t="n">
        <v>20</v>
      </c>
      <c r="E230" s="2" t="n">
        <v>3</v>
      </c>
      <c r="F230" s="2" t="n">
        <v>106</v>
      </c>
      <c r="G230" s="7" t="n">
        <f aca="false">E230*Load_Model_Assumptions!$B$6+F230*Load_Model_Assumptions!$B$5</f>
        <v>30.2736819995799</v>
      </c>
      <c r="H230" s="8" t="n">
        <f aca="false">IF(D230&gt;0,G230/D230,"")</f>
        <v>1.513684099979</v>
      </c>
      <c r="I230" s="9" t="n">
        <f aca="false">IF(G230&gt;0,F230*Load_Model_Assumptions!$B$5/G230,"")</f>
        <v>0.900904026142521</v>
      </c>
    </row>
    <row r="231" customFormat="false" ht="15" hidden="false" customHeight="false" outlineLevel="0" collapsed="false">
      <c r="A231" s="2" t="s">
        <v>257</v>
      </c>
      <c r="B231" s="2" t="s">
        <v>29</v>
      </c>
      <c r="C231" s="2" t="n">
        <v>1</v>
      </c>
      <c r="D231" s="2" t="n">
        <v>5</v>
      </c>
      <c r="E231" s="2" t="n">
        <v>18</v>
      </c>
      <c r="F231" s="2" t="n">
        <v>44</v>
      </c>
      <c r="G231" s="7" t="n">
        <f aca="false">E231*Load_Model_Assumptions!$B$6+F231*Load_Model_Assumptions!$B$5</f>
        <v>29.3211510186936</v>
      </c>
      <c r="H231" s="8" t="n">
        <f aca="false">IF(D231&gt;0,G231/D231,"")</f>
        <v>5.86423020373871</v>
      </c>
      <c r="I231" s="9" t="n">
        <f aca="false">IF(G231&gt;0,F231*Load_Model_Assumptions!$B$5/G231,"")</f>
        <v>0.386108683505494</v>
      </c>
    </row>
    <row r="232" customFormat="false" ht="15" hidden="false" customHeight="false" outlineLevel="0" collapsed="false">
      <c r="A232" s="2" t="s">
        <v>258</v>
      </c>
      <c r="B232" s="2" t="s">
        <v>24</v>
      </c>
      <c r="C232" s="2" t="n">
        <v>1</v>
      </c>
      <c r="D232" s="2" t="n">
        <v>4</v>
      </c>
      <c r="E232" s="2" t="n">
        <v>6</v>
      </c>
      <c r="F232" s="2" t="n">
        <v>90</v>
      </c>
      <c r="G232" s="7" t="n">
        <f aca="false">E232*Load_Model_Assumptions!$B$6+F232*Load_Model_Assumptions!$B$5</f>
        <v>29.1568998109641</v>
      </c>
      <c r="H232" s="8" t="n">
        <f aca="false">IF(D232&gt;0,G232/D232,"")</f>
        <v>7.28922495274102</v>
      </c>
      <c r="I232" s="9" t="n">
        <f aca="false">IF(G232&gt;0,F232*Load_Model_Assumptions!$B$5/G232,"")</f>
        <v>0.794216804979253</v>
      </c>
    </row>
    <row r="233" customFormat="false" ht="15" hidden="false" customHeight="false" outlineLevel="0" collapsed="false">
      <c r="A233" s="2" t="s">
        <v>259</v>
      </c>
      <c r="B233" s="2" t="s">
        <v>29</v>
      </c>
      <c r="C233" s="2" t="n">
        <v>1</v>
      </c>
      <c r="D233" s="2" t="n">
        <v>6</v>
      </c>
      <c r="E233" s="2" t="n">
        <v>13</v>
      </c>
      <c r="F233" s="2" t="n">
        <v>62</v>
      </c>
      <c r="G233" s="7" t="n">
        <f aca="false">E233*Load_Model_Assumptions!$B$6+F233*Load_Model_Assumptions!$B$5</f>
        <v>28.9525309808864</v>
      </c>
      <c r="H233" s="8" t="n">
        <f aca="false">IF(D233&gt;0,G233/D233,"")</f>
        <v>4.82542183014773</v>
      </c>
      <c r="I233" s="9" t="n">
        <f aca="false">IF(G233&gt;0,F233*Load_Model_Assumptions!$B$5/G233,"")</f>
        <v>0.55098916883701</v>
      </c>
    </row>
    <row r="234" customFormat="false" ht="15" hidden="false" customHeight="false" outlineLevel="0" collapsed="false">
      <c r="A234" s="2" t="s">
        <v>260</v>
      </c>
      <c r="B234" s="2" t="s">
        <v>29</v>
      </c>
      <c r="C234" s="2" t="n">
        <v>1</v>
      </c>
      <c r="D234" s="2" t="n">
        <v>4</v>
      </c>
      <c r="E234" s="2" t="n">
        <v>16</v>
      </c>
      <c r="F234" s="2" t="n">
        <v>50</v>
      </c>
      <c r="G234" s="7" t="n">
        <f aca="false">E234*Load_Model_Assumptions!$B$6+F234*Load_Model_Assumptions!$B$5</f>
        <v>28.8649443394245</v>
      </c>
      <c r="H234" s="8" t="n">
        <f aca="false">IF(D234&gt;0,G234/D234,"")</f>
        <v>7.21623608485612</v>
      </c>
      <c r="I234" s="9" t="n">
        <f aca="false">IF(G234&gt;0,F234*Load_Model_Assumptions!$B$5/G234,"")</f>
        <v>0.445694410082517</v>
      </c>
    </row>
    <row r="235" customFormat="false" ht="15" hidden="false" customHeight="false" outlineLevel="0" collapsed="false">
      <c r="A235" s="2" t="s">
        <v>261</v>
      </c>
      <c r="B235" s="2" t="s">
        <v>83</v>
      </c>
      <c r="C235" s="2" t="n">
        <v>1</v>
      </c>
      <c r="D235" s="2" t="n">
        <v>10</v>
      </c>
      <c r="E235" s="2" t="n">
        <v>12</v>
      </c>
      <c r="F235" s="2" t="n">
        <v>63</v>
      </c>
      <c r="G235" s="7" t="n">
        <f aca="false">E235*Load_Model_Assumptions!$B$6+F235*Load_Model_Assumptions!$B$5</f>
        <v>28.2098298676749</v>
      </c>
      <c r="H235" s="8" t="n">
        <f aca="false">IF(D235&gt;0,G235/D235,"")</f>
        <v>2.82098298676749</v>
      </c>
      <c r="I235" s="9" t="n">
        <f aca="false">IF(G235&gt;0,F235*Load_Model_Assumptions!$B$5/G235,"")</f>
        <v>0.574616364001876</v>
      </c>
    </row>
    <row r="236" customFormat="false" ht="15" hidden="false" customHeight="false" outlineLevel="0" collapsed="false">
      <c r="A236" s="2" t="s">
        <v>262</v>
      </c>
      <c r="B236" s="2" t="s">
        <v>115</v>
      </c>
      <c r="C236" s="2" t="n">
        <v>1</v>
      </c>
      <c r="D236" s="2" t="n">
        <v>10</v>
      </c>
      <c r="E236" s="2" t="n">
        <v>11</v>
      </c>
      <c r="F236" s="2" t="n">
        <v>65</v>
      </c>
      <c r="G236" s="7" t="n">
        <f aca="false">E236*Load_Model_Assumptions!$B$6+F236*Load_Model_Assumptions!$B$5</f>
        <v>27.7244276412518</v>
      </c>
      <c r="H236" s="8" t="n">
        <f aca="false">IF(D236&gt;0,G236/D236,"")</f>
        <v>2.77244276412518</v>
      </c>
      <c r="I236" s="9" t="n">
        <f aca="false">IF(G236&gt;0,F236*Load_Model_Assumptions!$B$5/G236,"")</f>
        <v>0.603237976908391</v>
      </c>
    </row>
    <row r="237" customFormat="false" ht="15" hidden="false" customHeight="false" outlineLevel="0" collapsed="false">
      <c r="A237" s="2" t="s">
        <v>263</v>
      </c>
      <c r="B237" s="2" t="s">
        <v>83</v>
      </c>
      <c r="C237" s="2" t="n">
        <v>2</v>
      </c>
      <c r="D237" s="2" t="n">
        <v>17</v>
      </c>
      <c r="E237" s="2" t="n">
        <v>5</v>
      </c>
      <c r="F237" s="2" t="n">
        <v>85</v>
      </c>
      <c r="G237" s="7" t="n">
        <f aca="false">E237*Load_Model_Assumptions!$B$6+F237*Load_Model_Assumptions!$B$5</f>
        <v>26.8704053770216</v>
      </c>
      <c r="H237" s="8" t="n">
        <f aca="false">IF(D237&gt;0,G237/D237,"")</f>
        <v>1.58061208100127</v>
      </c>
      <c r="I237" s="9" t="n">
        <f aca="false">IF(G237&gt;0,F237*Load_Model_Assumptions!$B$5/G237,"")</f>
        <v>0.813921675916517</v>
      </c>
    </row>
    <row r="238" customFormat="false" ht="15" hidden="false" customHeight="false" outlineLevel="0" collapsed="false">
      <c r="A238" s="2" t="s">
        <v>264</v>
      </c>
      <c r="B238" s="2" t="s">
        <v>115</v>
      </c>
      <c r="C238" s="2" t="n">
        <v>3</v>
      </c>
      <c r="D238" s="2" t="n">
        <v>20</v>
      </c>
      <c r="E238" s="2" t="n">
        <v>6</v>
      </c>
      <c r="F238" s="2" t="n">
        <v>80</v>
      </c>
      <c r="G238" s="7" t="n">
        <f aca="false">E238*Load_Model_Assumptions!$B$6+F238*Load_Model_Assumptions!$B$5</f>
        <v>26.5839109430792</v>
      </c>
      <c r="H238" s="8" t="n">
        <f aca="false">IF(D238&gt;0,G238/D238,"")</f>
        <v>1.32919554715396</v>
      </c>
      <c r="I238" s="9" t="n">
        <f aca="false">IF(G238&gt;0,F238*Load_Model_Assumptions!$B$5/G238,"")</f>
        <v>0.774299574925335</v>
      </c>
    </row>
    <row r="239" customFormat="false" ht="15" hidden="false" customHeight="false" outlineLevel="0" collapsed="false">
      <c r="A239" s="2" t="s">
        <v>265</v>
      </c>
      <c r="B239" s="2" t="s">
        <v>29</v>
      </c>
      <c r="C239" s="2" t="n">
        <v>1</v>
      </c>
      <c r="D239" s="2" t="n">
        <v>5</v>
      </c>
      <c r="E239" s="2" t="n">
        <v>14</v>
      </c>
      <c r="F239" s="2" t="n">
        <v>48</v>
      </c>
      <c r="G239" s="7" t="n">
        <f aca="false">E239*Load_Model_Assumptions!$B$6+F239*Load_Model_Assumptions!$B$5</f>
        <v>26.3503465658475</v>
      </c>
      <c r="H239" s="8" t="n">
        <f aca="false">IF(D239&gt;0,G239/D239,"")</f>
        <v>5.2700693131695</v>
      </c>
      <c r="I239" s="9" t="n">
        <f aca="false">IF(G239&gt;0,F239*Load_Model_Assumptions!$B$5/G239,"")</f>
        <v>0.468697689989957</v>
      </c>
    </row>
    <row r="240" customFormat="false" ht="15" hidden="false" customHeight="false" outlineLevel="0" collapsed="false">
      <c r="A240" s="2" t="s">
        <v>266</v>
      </c>
      <c r="B240" s="2" t="s">
        <v>83</v>
      </c>
      <c r="C240" s="2" t="n">
        <v>2</v>
      </c>
      <c r="D240" s="2" t="n">
        <v>11</v>
      </c>
      <c r="E240" s="2" t="n">
        <v>7</v>
      </c>
      <c r="F240" s="2" t="n">
        <v>75</v>
      </c>
      <c r="G240" s="7" t="n">
        <f aca="false">E240*Load_Model_Assumptions!$B$6+F240*Load_Model_Assumptions!$B$5</f>
        <v>26.2974165091367</v>
      </c>
      <c r="H240" s="8" t="n">
        <f aca="false">IF(D240&gt;0,G240/D240,"")</f>
        <v>2.39067422810334</v>
      </c>
      <c r="I240" s="9" t="n">
        <f aca="false">IF(G240&gt;0,F240*Load_Model_Assumptions!$B$5/G240,"")</f>
        <v>0.733814156323381</v>
      </c>
    </row>
    <row r="241" customFormat="false" ht="15" hidden="false" customHeight="false" outlineLevel="0" collapsed="false">
      <c r="A241" s="2" t="s">
        <v>267</v>
      </c>
      <c r="B241" s="2" t="s">
        <v>83</v>
      </c>
      <c r="C241" s="2" t="n">
        <v>1</v>
      </c>
      <c r="D241" s="2" t="n">
        <v>12</v>
      </c>
      <c r="E241" s="2" t="n">
        <v>5</v>
      </c>
      <c r="F241" s="2" t="n">
        <v>80</v>
      </c>
      <c r="G241" s="7" t="n">
        <f aca="false">E241*Load_Model_Assumptions!$B$6+F241*Load_Model_Assumptions!$B$5</f>
        <v>25.5839109430792</v>
      </c>
      <c r="H241" s="8" t="n">
        <f aca="false">IF(D241&gt;0,G241/D241,"")</f>
        <v>2.13199257858993</v>
      </c>
      <c r="I241" s="9" t="n">
        <f aca="false">IF(G241&gt;0,F241*Load_Model_Assumptions!$B$5/G241,"")</f>
        <v>0.804564673042979</v>
      </c>
    </row>
    <row r="242" customFormat="false" ht="15" hidden="false" customHeight="false" outlineLevel="0" collapsed="false">
      <c r="A242" s="2" t="s">
        <v>268</v>
      </c>
      <c r="B242" s="2" t="s">
        <v>115</v>
      </c>
      <c r="C242" s="2" t="n">
        <v>3</v>
      </c>
      <c r="D242" s="2" t="n">
        <v>23</v>
      </c>
      <c r="E242" s="2" t="n">
        <v>4</v>
      </c>
      <c r="F242" s="2" t="n">
        <v>81</v>
      </c>
      <c r="G242" s="7" t="n">
        <f aca="false">E242*Load_Model_Assumptions!$B$6+F242*Load_Model_Assumptions!$B$5</f>
        <v>24.8412098298677</v>
      </c>
      <c r="H242" s="8" t="n">
        <f aca="false">IF(D242&gt;0,G242/D242,"")</f>
        <v>1.08005260129859</v>
      </c>
      <c r="I242" s="9" t="n">
        <f aca="false">IF(G242&gt;0,F242*Load_Model_Assumptions!$B$5/G242,"")</f>
        <v>0.838977246784872</v>
      </c>
    </row>
    <row r="243" customFormat="false" ht="15" hidden="false" customHeight="false" outlineLevel="0" collapsed="false">
      <c r="A243" s="2" t="s">
        <v>269</v>
      </c>
      <c r="B243" s="2" t="s">
        <v>115</v>
      </c>
      <c r="C243" s="2" t="n">
        <v>3</v>
      </c>
      <c r="D243" s="2" t="n">
        <v>16</v>
      </c>
      <c r="E243" s="2" t="n">
        <v>8</v>
      </c>
      <c r="F243" s="2" t="n">
        <v>65</v>
      </c>
      <c r="G243" s="7" t="n">
        <f aca="false">E243*Load_Model_Assumptions!$B$6+F243*Load_Model_Assumptions!$B$5</f>
        <v>24.7244276412518</v>
      </c>
      <c r="H243" s="8" t="n">
        <f aca="false">IF(D243&gt;0,G243/D243,"")</f>
        <v>1.54527672757824</v>
      </c>
      <c r="I243" s="9" t="n">
        <f aca="false">IF(G243&gt;0,F243*Load_Model_Assumptions!$B$5/G243,"")</f>
        <v>0.676433359102223</v>
      </c>
    </row>
    <row r="244" customFormat="false" ht="15" hidden="false" customHeight="false" outlineLevel="0" collapsed="false">
      <c r="A244" s="2" t="s">
        <v>270</v>
      </c>
      <c r="B244" s="2" t="s">
        <v>117</v>
      </c>
      <c r="C244" s="2" t="n">
        <v>3</v>
      </c>
      <c r="D244" s="2" t="n">
        <v>22</v>
      </c>
      <c r="E244" s="2" t="n">
        <v>5</v>
      </c>
      <c r="F244" s="2" t="n">
        <v>76</v>
      </c>
      <c r="G244" s="7" t="n">
        <f aca="false">E244*Load_Model_Assumptions!$B$6+F244*Load_Model_Assumptions!$B$5</f>
        <v>24.5547153959252</v>
      </c>
      <c r="H244" s="8" t="n">
        <f aca="false">IF(D244&gt;0,G244/D244,"")</f>
        <v>1.11612342708751</v>
      </c>
      <c r="I244" s="9" t="n">
        <f aca="false">IF(G244&gt;0,F244*Load_Model_Assumptions!$B$5/G244,"")</f>
        <v>0.796373123476327</v>
      </c>
    </row>
    <row r="245" customFormat="false" ht="15" hidden="false" customHeight="false" outlineLevel="0" collapsed="false">
      <c r="A245" s="2" t="s">
        <v>271</v>
      </c>
      <c r="B245" s="2" t="s">
        <v>24</v>
      </c>
      <c r="C245" s="2" t="n">
        <v>1</v>
      </c>
      <c r="D245" s="2" t="n">
        <v>6</v>
      </c>
      <c r="E245" s="2" t="n">
        <v>16</v>
      </c>
      <c r="F245" s="2" t="n">
        <v>32</v>
      </c>
      <c r="G245" s="7" t="n">
        <f aca="false">E245*Load_Model_Assumptions!$B$6+F245*Load_Model_Assumptions!$B$5</f>
        <v>24.2335643772317</v>
      </c>
      <c r="H245" s="8" t="n">
        <f aca="false">IF(D245&gt;0,G245/D245,"")</f>
        <v>4.03892739620528</v>
      </c>
      <c r="I245" s="9" t="n">
        <f aca="false">IF(G245&gt;0,F245*Load_Model_Assumptions!$B$5/G245,"")</f>
        <v>0.339758701983081</v>
      </c>
    </row>
    <row r="246" customFormat="false" ht="15" hidden="false" customHeight="false" outlineLevel="0" collapsed="false">
      <c r="A246" s="2" t="s">
        <v>272</v>
      </c>
      <c r="B246" s="2" t="s">
        <v>115</v>
      </c>
      <c r="C246" s="2" t="n">
        <v>3</v>
      </c>
      <c r="D246" s="2" t="n">
        <v>23</v>
      </c>
      <c r="E246" s="2" t="n">
        <v>2</v>
      </c>
      <c r="F246" s="2" t="n">
        <v>84</v>
      </c>
      <c r="G246" s="7" t="n">
        <f aca="false">E246*Load_Model_Assumptions!$B$6+F246*Load_Model_Assumptions!$B$5</f>
        <v>23.6131064902331</v>
      </c>
      <c r="H246" s="8" t="n">
        <f aca="false">IF(D246&gt;0,G246/D246,"")</f>
        <v>1.02665680392318</v>
      </c>
      <c r="I246" s="9" t="n">
        <f aca="false">IF(G246&gt;0,F246*Load_Model_Assumptions!$B$5/G246,"")</f>
        <v>0.915301275551049</v>
      </c>
    </row>
    <row r="247" customFormat="false" ht="15" hidden="false" customHeight="false" outlineLevel="0" collapsed="false">
      <c r="A247" s="2" t="s">
        <v>273</v>
      </c>
      <c r="B247" s="2" t="s">
        <v>29</v>
      </c>
      <c r="C247" s="2" t="n">
        <v>2</v>
      </c>
      <c r="D247" s="2" t="n">
        <v>5</v>
      </c>
      <c r="E247" s="2" t="n">
        <v>13</v>
      </c>
      <c r="F247" s="2" t="n">
        <v>41</v>
      </c>
      <c r="G247" s="7" t="n">
        <f aca="false">E247*Load_Model_Assumptions!$B$6+F247*Load_Model_Assumptions!$B$5</f>
        <v>23.5492543583281</v>
      </c>
      <c r="H247" s="8" t="n">
        <f aca="false">IF(D247&gt;0,G247/D247,"")</f>
        <v>4.70985087166562</v>
      </c>
      <c r="I247" s="9" t="n">
        <f aca="false">IF(G247&gt;0,F247*Load_Model_Assumptions!$B$5/G247,"")</f>
        <v>0.447965536309959</v>
      </c>
    </row>
    <row r="248" customFormat="false" ht="15" hidden="false" customHeight="false" outlineLevel="0" collapsed="false">
      <c r="A248" s="2" t="s">
        <v>274</v>
      </c>
      <c r="B248" s="2" t="s">
        <v>83</v>
      </c>
      <c r="C248" s="2" t="n">
        <v>2</v>
      </c>
      <c r="D248" s="2" t="n">
        <v>11</v>
      </c>
      <c r="E248" s="2" t="n">
        <v>6</v>
      </c>
      <c r="F248" s="2" t="n">
        <v>68</v>
      </c>
      <c r="G248" s="7" t="n">
        <f aca="false">E248*Load_Model_Assumptions!$B$6+F248*Load_Model_Assumptions!$B$5</f>
        <v>23.4963243016173</v>
      </c>
      <c r="H248" s="8" t="n">
        <f aca="false">IF(D248&gt;0,G248/D248,"")</f>
        <v>2.13602948196521</v>
      </c>
      <c r="I248" s="9" t="n">
        <f aca="false">IF(G248&gt;0,F248*Load_Model_Assumptions!$B$5/G248,"")</f>
        <v>0.744640909659772</v>
      </c>
    </row>
    <row r="249" customFormat="false" ht="15" hidden="false" customHeight="false" outlineLevel="0" collapsed="false">
      <c r="A249" s="2" t="s">
        <v>275</v>
      </c>
      <c r="B249" s="2" t="s">
        <v>83</v>
      </c>
      <c r="C249" s="2" t="n">
        <v>2</v>
      </c>
      <c r="D249" s="2" t="n">
        <v>15</v>
      </c>
      <c r="E249" s="2" t="n">
        <v>8</v>
      </c>
      <c r="F249" s="2" t="n">
        <v>60</v>
      </c>
      <c r="G249" s="7" t="n">
        <f aca="false">E249*Load_Model_Assumptions!$B$6+F249*Load_Model_Assumptions!$B$5</f>
        <v>23.4379332073094</v>
      </c>
      <c r="H249" s="8" t="n">
        <f aca="false">IF(D249&gt;0,G249/D249,"")</f>
        <v>1.56252888048729</v>
      </c>
      <c r="I249" s="9" t="n">
        <f aca="false">IF(G249&gt;0,F249*Load_Model_Assumptions!$B$5/G249,"")</f>
        <v>0.658672975588773</v>
      </c>
    </row>
    <row r="250" customFormat="false" ht="15" hidden="false" customHeight="false" outlineLevel="0" collapsed="false">
      <c r="A250" s="2" t="s">
        <v>276</v>
      </c>
      <c r="B250" s="2" t="s">
        <v>29</v>
      </c>
      <c r="C250" s="2" t="n">
        <v>1</v>
      </c>
      <c r="D250" s="2" t="n">
        <v>3</v>
      </c>
      <c r="E250" s="2" t="n">
        <v>11</v>
      </c>
      <c r="F250" s="2" t="n">
        <v>45</v>
      </c>
      <c r="G250" s="7" t="n">
        <f aca="false">E250*Load_Model_Assumptions!$B$6+F250*Load_Model_Assumptions!$B$5</f>
        <v>22.578449905482</v>
      </c>
      <c r="H250" s="8" t="n">
        <f aca="false">IF(D250&gt;0,G250/D250,"")</f>
        <v>7.52614996849401</v>
      </c>
      <c r="I250" s="9" t="n">
        <f aca="false">IF(G250&gt;0,F250*Load_Model_Assumptions!$B$5/G250,"")</f>
        <v>0.51280977896852</v>
      </c>
    </row>
    <row r="251" customFormat="false" ht="15" hidden="false" customHeight="false" outlineLevel="0" collapsed="false">
      <c r="A251" s="2" t="s">
        <v>277</v>
      </c>
      <c r="B251" s="2" t="s">
        <v>117</v>
      </c>
      <c r="C251" s="2" t="n">
        <v>2</v>
      </c>
      <c r="D251" s="2" t="n">
        <v>13</v>
      </c>
      <c r="E251" s="2" t="n">
        <v>13</v>
      </c>
      <c r="F251" s="2" t="n">
        <v>37</v>
      </c>
      <c r="G251" s="7" t="n">
        <f aca="false">E251*Load_Model_Assumptions!$B$6+F251*Load_Model_Assumptions!$B$5</f>
        <v>22.5200588111741</v>
      </c>
      <c r="H251" s="8" t="n">
        <f aca="false">IF(D251&gt;0,G251/D251,"")</f>
        <v>1.73231221624416</v>
      </c>
      <c r="I251" s="9" t="n">
        <f aca="false">IF(G251&gt;0,F251*Load_Model_Assumptions!$B$5/G251,"")</f>
        <v>0.422736853886474</v>
      </c>
    </row>
    <row r="252" customFormat="false" ht="15" hidden="false" customHeight="false" outlineLevel="0" collapsed="false">
      <c r="A252" s="2" t="s">
        <v>278</v>
      </c>
      <c r="B252" s="2" t="s">
        <v>29</v>
      </c>
      <c r="C252" s="2" t="n">
        <v>1</v>
      </c>
      <c r="D252" s="2" t="n">
        <v>5</v>
      </c>
      <c r="E252" s="2" t="n">
        <v>7</v>
      </c>
      <c r="F252" s="2" t="n">
        <v>60</v>
      </c>
      <c r="G252" s="7" t="n">
        <f aca="false">E252*Load_Model_Assumptions!$B$6+F252*Load_Model_Assumptions!$B$5</f>
        <v>22.4379332073094</v>
      </c>
      <c r="H252" s="8" t="n">
        <f aca="false">IF(D252&gt;0,G252/D252,"")</f>
        <v>4.48758664146188</v>
      </c>
      <c r="I252" s="9" t="n">
        <f aca="false">IF(G252&gt;0,F252*Load_Model_Assumptions!$B$5/G252,"")</f>
        <v>0.688028307450364</v>
      </c>
    </row>
    <row r="253" customFormat="false" ht="15" hidden="false" customHeight="false" outlineLevel="0" collapsed="false">
      <c r="A253" s="2" t="s">
        <v>279</v>
      </c>
      <c r="B253" s="2" t="s">
        <v>29</v>
      </c>
      <c r="C253" s="2" t="n">
        <v>1</v>
      </c>
      <c r="D253" s="2" t="n">
        <v>2</v>
      </c>
      <c r="E253" s="2" t="n">
        <v>10</v>
      </c>
      <c r="F253" s="2" t="n">
        <v>48</v>
      </c>
      <c r="G253" s="7" t="n">
        <f aca="false">E253*Load_Model_Assumptions!$B$6+F253*Load_Model_Assumptions!$B$5</f>
        <v>22.3503465658475</v>
      </c>
      <c r="H253" s="8" t="n">
        <f aca="false">IF(D253&gt;0,G253/D253,"")</f>
        <v>11.1751732829238</v>
      </c>
      <c r="I253" s="9" t="n">
        <f aca="false">IF(G253&gt;0,F253*Load_Model_Assumptions!$B$5/G253,"")</f>
        <v>0.552579644770228</v>
      </c>
    </row>
    <row r="254" customFormat="false" ht="15" hidden="false" customHeight="false" outlineLevel="0" collapsed="false">
      <c r="A254" s="2" t="s">
        <v>280</v>
      </c>
      <c r="B254" s="2" t="s">
        <v>24</v>
      </c>
      <c r="C254" s="2" t="n">
        <v>1</v>
      </c>
      <c r="D254" s="2" t="n">
        <v>4</v>
      </c>
      <c r="E254" s="2" t="n">
        <v>11</v>
      </c>
      <c r="F254" s="2" t="n">
        <v>41</v>
      </c>
      <c r="G254" s="7" t="n">
        <f aca="false">E254*Load_Model_Assumptions!$B$6+F254*Load_Model_Assumptions!$B$5</f>
        <v>21.5492543583281</v>
      </c>
      <c r="H254" s="8" t="n">
        <f aca="false">IF(D254&gt;0,G254/D254,"")</f>
        <v>5.38731358958202</v>
      </c>
      <c r="I254" s="9" t="n">
        <f aca="false">IF(G254&gt;0,F254*Load_Model_Assumptions!$B$5/G254,"")</f>
        <v>0.489541502592694</v>
      </c>
    </row>
    <row r="255" customFormat="false" ht="15" hidden="false" customHeight="false" outlineLevel="0" collapsed="false">
      <c r="A255" s="2" t="s">
        <v>281</v>
      </c>
      <c r="B255" s="2" t="s">
        <v>115</v>
      </c>
      <c r="C255" s="2" t="n">
        <v>3</v>
      </c>
      <c r="D255" s="2" t="n">
        <v>17</v>
      </c>
      <c r="E255" s="2" t="n">
        <v>5</v>
      </c>
      <c r="F255" s="2" t="n">
        <v>62</v>
      </c>
      <c r="G255" s="7" t="n">
        <f aca="false">E255*Load_Model_Assumptions!$B$6+F255*Load_Model_Assumptions!$B$5</f>
        <v>20.9525309808864</v>
      </c>
      <c r="H255" s="8" t="n">
        <f aca="false">IF(D255&gt;0,G255/D255,"")</f>
        <v>1.23250182240508</v>
      </c>
      <c r="I255" s="9" t="n">
        <f aca="false">IF(G255&gt;0,F255*Load_Model_Assumptions!$B$5/G255,"")</f>
        <v>0.761365345095484</v>
      </c>
    </row>
    <row r="256" customFormat="false" ht="15" hidden="false" customHeight="false" outlineLevel="0" collapsed="false">
      <c r="A256" s="2" t="s">
        <v>282</v>
      </c>
      <c r="B256" s="2" t="s">
        <v>117</v>
      </c>
      <c r="C256" s="2" t="n">
        <v>4</v>
      </c>
      <c r="D256" s="2" t="n">
        <v>16</v>
      </c>
      <c r="E256" s="2" t="n">
        <v>8</v>
      </c>
      <c r="F256" s="2" t="n">
        <v>50</v>
      </c>
      <c r="G256" s="7" t="n">
        <f aca="false">E256*Load_Model_Assumptions!$B$6+F256*Load_Model_Assumptions!$B$5</f>
        <v>20.8649443394245</v>
      </c>
      <c r="H256" s="8" t="n">
        <f aca="false">IF(D256&gt;0,G256/D256,"")</f>
        <v>1.30405902121403</v>
      </c>
      <c r="I256" s="9" t="n">
        <f aca="false">IF(G256&gt;0,F256*Load_Model_Assumptions!$B$5/G256,"")</f>
        <v>0.616581771326179</v>
      </c>
    </row>
    <row r="257" customFormat="false" ht="15" hidden="false" customHeight="false" outlineLevel="0" collapsed="false">
      <c r="A257" s="2" t="s">
        <v>283</v>
      </c>
      <c r="B257" s="2" t="s">
        <v>117</v>
      </c>
      <c r="C257" s="2" t="n">
        <v>2</v>
      </c>
      <c r="D257" s="2" t="n">
        <v>17</v>
      </c>
      <c r="E257" s="2" t="n">
        <v>4</v>
      </c>
      <c r="F257" s="2" t="n">
        <v>65</v>
      </c>
      <c r="G257" s="7" t="n">
        <f aca="false">E257*Load_Model_Assumptions!$B$6+F257*Load_Model_Assumptions!$B$5</f>
        <v>20.7244276412518</v>
      </c>
      <c r="H257" s="8" t="n">
        <f aca="false">IF(D257&gt;0,G257/D257,"")</f>
        <v>1.21908397889717</v>
      </c>
      <c r="I257" s="9" t="n">
        <f aca="false">IF(G257&gt;0,F257*Load_Model_Assumptions!$B$5/G257,"")</f>
        <v>0.80699105088731</v>
      </c>
    </row>
    <row r="258" customFormat="false" ht="15" hidden="false" customHeight="false" outlineLevel="0" collapsed="false">
      <c r="A258" s="2" t="s">
        <v>284</v>
      </c>
      <c r="B258" s="2" t="s">
        <v>83</v>
      </c>
      <c r="C258" s="2" t="n">
        <v>1</v>
      </c>
      <c r="D258" s="2" t="n">
        <v>10</v>
      </c>
      <c r="E258" s="2" t="n">
        <v>6</v>
      </c>
      <c r="F258" s="2" t="n">
        <v>56</v>
      </c>
      <c r="G258" s="7" t="n">
        <f aca="false">E258*Load_Model_Assumptions!$B$6+F258*Load_Model_Assumptions!$B$5</f>
        <v>20.4087376601554</v>
      </c>
      <c r="H258" s="8" t="n">
        <f aca="false">IF(D258&gt;0,G258/D258,"")</f>
        <v>2.04087376601554</v>
      </c>
      <c r="I258" s="9" t="n">
        <f aca="false">IF(G258&gt;0,F258*Load_Model_Assumptions!$B$5/G258,"")</f>
        <v>0.706008274499311</v>
      </c>
    </row>
    <row r="259" customFormat="false" ht="15" hidden="false" customHeight="false" outlineLevel="0" collapsed="false">
      <c r="A259" s="2" t="s">
        <v>285</v>
      </c>
      <c r="B259" s="2" t="s">
        <v>115</v>
      </c>
      <c r="C259" s="2" t="n">
        <v>2</v>
      </c>
      <c r="D259" s="2" t="n">
        <v>15</v>
      </c>
      <c r="E259" s="2" t="n">
        <v>8</v>
      </c>
      <c r="F259" s="2" t="n">
        <v>45</v>
      </c>
      <c r="G259" s="7" t="n">
        <f aca="false">E259*Load_Model_Assumptions!$B$6+F259*Load_Model_Assumptions!$B$5</f>
        <v>19.578449905482</v>
      </c>
      <c r="H259" s="8" t="n">
        <f aca="false">IF(D259&gt;0,G259/D259,"")</f>
        <v>1.3052299936988</v>
      </c>
      <c r="I259" s="9" t="n">
        <f aca="false">IF(G259&gt;0,F259*Load_Model_Assumptions!$B$5/G259,"")</f>
        <v>0.591387467413344</v>
      </c>
    </row>
    <row r="260" customFormat="false" ht="15" hidden="false" customHeight="false" outlineLevel="0" collapsed="false">
      <c r="A260" s="2" t="s">
        <v>286</v>
      </c>
      <c r="B260" s="2" t="s">
        <v>115</v>
      </c>
      <c r="C260" s="2" t="n">
        <v>1</v>
      </c>
      <c r="D260" s="2" t="n">
        <v>8</v>
      </c>
      <c r="E260" s="2" t="n">
        <v>6</v>
      </c>
      <c r="F260" s="2" t="n">
        <v>51</v>
      </c>
      <c r="G260" s="7" t="n">
        <f aca="false">E260*Load_Model_Assumptions!$B$6+F260*Load_Model_Assumptions!$B$5</f>
        <v>19.122243226213</v>
      </c>
      <c r="H260" s="8" t="n">
        <f aca="false">IF(D260&gt;0,G260/D260,"")</f>
        <v>2.39028040327662</v>
      </c>
      <c r="I260" s="9" t="n">
        <f aca="false">IF(G260&gt;0,F260*Load_Model_Assumptions!$B$5/G260,"")</f>
        <v>0.686229281312815</v>
      </c>
    </row>
    <row r="261" customFormat="false" ht="15" hidden="false" customHeight="false" outlineLevel="0" collapsed="false">
      <c r="A261" s="2" t="s">
        <v>287</v>
      </c>
      <c r="B261" s="2" t="s">
        <v>83</v>
      </c>
      <c r="C261" s="2" t="n">
        <v>2</v>
      </c>
      <c r="D261" s="2" t="n">
        <v>11</v>
      </c>
      <c r="E261" s="2" t="n">
        <v>5</v>
      </c>
      <c r="F261" s="2" t="n">
        <v>54</v>
      </c>
      <c r="G261" s="7" t="n">
        <f aca="false">E261*Load_Model_Assumptions!$B$6+F261*Load_Model_Assumptions!$B$5</f>
        <v>18.8941398865785</v>
      </c>
      <c r="H261" s="8" t="n">
        <f aca="false">IF(D261&gt;0,G261/D261,"")</f>
        <v>1.71764908059804</v>
      </c>
      <c r="I261" s="9" t="n">
        <f aca="false">IF(G261&gt;0,F261*Load_Model_Assumptions!$B$5/G261,"")</f>
        <v>0.735367683841921</v>
      </c>
    </row>
    <row r="262" customFormat="false" ht="15" hidden="false" customHeight="false" outlineLevel="0" collapsed="false">
      <c r="A262" s="2" t="s">
        <v>288</v>
      </c>
      <c r="B262" s="2" t="s">
        <v>24</v>
      </c>
      <c r="C262" s="2" t="n">
        <v>2</v>
      </c>
      <c r="D262" s="2" t="n">
        <v>4</v>
      </c>
      <c r="E262" s="2" t="n">
        <v>10</v>
      </c>
      <c r="F262" s="2" t="n">
        <v>34</v>
      </c>
      <c r="G262" s="7" t="n">
        <f aca="false">E262*Load_Model_Assumptions!$B$6+F262*Load_Model_Assumptions!$B$5</f>
        <v>18.7481621508087</v>
      </c>
      <c r="H262" s="8" t="n">
        <f aca="false">IF(D262&gt;0,G262/D262,"")</f>
        <v>4.68704053770216</v>
      </c>
      <c r="I262" s="9" t="n">
        <f aca="false">IF(G262&gt;0,F262*Load_Model_Assumptions!$B$5/G262,"")</f>
        <v>0.466614384942864</v>
      </c>
    </row>
    <row r="263" customFormat="false" ht="15" hidden="false" customHeight="false" outlineLevel="0" collapsed="false">
      <c r="A263" s="2" t="s">
        <v>289</v>
      </c>
      <c r="B263" s="2" t="s">
        <v>117</v>
      </c>
      <c r="C263" s="2" t="n">
        <v>1</v>
      </c>
      <c r="D263" s="2" t="n">
        <v>10</v>
      </c>
      <c r="E263" s="2" t="n">
        <v>4</v>
      </c>
      <c r="F263" s="2" t="n">
        <v>57</v>
      </c>
      <c r="G263" s="7" t="n">
        <f aca="false">E263*Load_Model_Assumptions!$B$6+F263*Load_Model_Assumptions!$B$5</f>
        <v>18.6660365469439</v>
      </c>
      <c r="H263" s="8" t="n">
        <f aca="false">IF(D263&gt;0,G263/D263,"")</f>
        <v>1.86660365469439</v>
      </c>
      <c r="I263" s="9" t="n">
        <f aca="false">IF(G263&gt;0,F263*Load_Model_Assumptions!$B$5/G263,"")</f>
        <v>0.785707051952875</v>
      </c>
    </row>
    <row r="264" customFormat="false" ht="15" hidden="false" customHeight="false" outlineLevel="0" collapsed="false">
      <c r="A264" s="2" t="s">
        <v>290</v>
      </c>
      <c r="B264" s="2" t="s">
        <v>24</v>
      </c>
      <c r="C264" s="2" t="n">
        <v>1</v>
      </c>
      <c r="D264" s="2" t="n">
        <v>4</v>
      </c>
      <c r="E264" s="2" t="n">
        <v>4</v>
      </c>
      <c r="F264" s="2" t="n">
        <v>56</v>
      </c>
      <c r="G264" s="7" t="n">
        <f aca="false">E264*Load_Model_Assumptions!$B$6+F264*Load_Model_Assumptions!$B$5</f>
        <v>18.4087376601554</v>
      </c>
      <c r="H264" s="8" t="n">
        <f aca="false">IF(D264&gt;0,G264/D264,"")</f>
        <v>4.60218441503886</v>
      </c>
      <c r="I264" s="9" t="n">
        <f aca="false">IF(G264&gt;0,F264*Load_Model_Assumptions!$B$5/G264,"")</f>
        <v>0.782711879877687</v>
      </c>
    </row>
    <row r="265" customFormat="false" ht="15" hidden="false" customHeight="false" outlineLevel="0" collapsed="false">
      <c r="A265" s="2" t="s">
        <v>291</v>
      </c>
      <c r="B265" s="2" t="s">
        <v>83</v>
      </c>
      <c r="C265" s="2" t="n">
        <v>3</v>
      </c>
      <c r="D265" s="2" t="n">
        <v>14</v>
      </c>
      <c r="E265" s="2" t="n">
        <v>5</v>
      </c>
      <c r="F265" s="2" t="n">
        <v>51</v>
      </c>
      <c r="G265" s="7" t="n">
        <f aca="false">E265*Load_Model_Assumptions!$B$6+F265*Load_Model_Assumptions!$B$5</f>
        <v>18.122243226213</v>
      </c>
      <c r="H265" s="8" t="n">
        <f aca="false">IF(D265&gt;0,G265/D265,"")</f>
        <v>1.2944459447295</v>
      </c>
      <c r="I265" s="9" t="n">
        <f aca="false">IF(G265&gt;0,F265*Load_Model_Assumptions!$B$5/G265,"")</f>
        <v>0.724095966620306</v>
      </c>
    </row>
    <row r="266" customFormat="false" ht="15" hidden="false" customHeight="false" outlineLevel="0" collapsed="false">
      <c r="A266" s="2" t="s">
        <v>292</v>
      </c>
      <c r="B266" s="2" t="s">
        <v>83</v>
      </c>
      <c r="C266" s="2" t="n">
        <v>1</v>
      </c>
      <c r="D266" s="2" t="n">
        <v>9</v>
      </c>
      <c r="E266" s="2" t="n">
        <v>1</v>
      </c>
      <c r="F266" s="2" t="n">
        <v>65</v>
      </c>
      <c r="G266" s="7" t="n">
        <f aca="false">E266*Load_Model_Assumptions!$B$6+F266*Load_Model_Assumptions!$B$5</f>
        <v>17.7244276412518</v>
      </c>
      <c r="H266" s="8" t="n">
        <f aca="false">IF(D266&gt;0,G266/D266,"")</f>
        <v>1.96938084902798</v>
      </c>
      <c r="I266" s="9" t="n">
        <f aca="false">IF(G266&gt;0,F266*Load_Model_Assumptions!$B$5/G266,"")</f>
        <v>0.943580688739838</v>
      </c>
    </row>
    <row r="267" customFormat="false" ht="15" hidden="false" customHeight="false" outlineLevel="0" collapsed="false">
      <c r="A267" s="2" t="s">
        <v>293</v>
      </c>
      <c r="B267" s="2" t="s">
        <v>29</v>
      </c>
      <c r="C267" s="2" t="n">
        <v>1</v>
      </c>
      <c r="D267" s="2" t="n">
        <v>3</v>
      </c>
      <c r="E267" s="2" t="n">
        <v>10</v>
      </c>
      <c r="F267" s="2" t="n">
        <v>30</v>
      </c>
      <c r="G267" s="7" t="n">
        <f aca="false">E267*Load_Model_Assumptions!$B$6+F267*Load_Model_Assumptions!$B$5</f>
        <v>17.7189666036547</v>
      </c>
      <c r="H267" s="8" t="n">
        <f aca="false">IF(D267&gt;0,G267/D267,"")</f>
        <v>5.90632220121823</v>
      </c>
      <c r="I267" s="9" t="n">
        <f aca="false">IF(G267&gt;0,F267*Load_Model_Assumptions!$B$5/G267,"")</f>
        <v>0.435633001422475</v>
      </c>
    </row>
    <row r="268" customFormat="false" ht="15" hidden="false" customHeight="false" outlineLevel="0" collapsed="false">
      <c r="A268" s="2" t="s">
        <v>294</v>
      </c>
      <c r="B268" s="2" t="s">
        <v>29</v>
      </c>
      <c r="C268" s="2" t="n">
        <v>1</v>
      </c>
      <c r="D268" s="2" t="n">
        <v>3</v>
      </c>
      <c r="E268" s="2" t="n">
        <v>11</v>
      </c>
      <c r="F268" s="2" t="n">
        <v>24</v>
      </c>
      <c r="G268" s="7" t="n">
        <f aca="false">E268*Load_Model_Assumptions!$B$6+F268*Load_Model_Assumptions!$B$5</f>
        <v>17.1751732829238</v>
      </c>
      <c r="H268" s="8" t="n">
        <f aca="false">IF(D268&gt;0,G268/D268,"")</f>
        <v>5.72505776097459</v>
      </c>
      <c r="I268" s="9" t="n">
        <f aca="false">IF(G268&gt;0,F268*Load_Model_Assumptions!$B$5/G268,"")</f>
        <v>0.359540668452141</v>
      </c>
    </row>
    <row r="269" customFormat="false" ht="15" hidden="false" customHeight="false" outlineLevel="0" collapsed="false">
      <c r="A269" s="2" t="s">
        <v>295</v>
      </c>
      <c r="B269" s="2" t="s">
        <v>24</v>
      </c>
      <c r="C269" s="2" t="n">
        <v>1</v>
      </c>
      <c r="D269" s="2" t="n">
        <v>4</v>
      </c>
      <c r="E269" s="2" t="n">
        <v>12</v>
      </c>
      <c r="F269" s="2" t="n">
        <v>20</v>
      </c>
      <c r="G269" s="7" t="n">
        <f aca="false">E269*Load_Model_Assumptions!$B$6+F269*Load_Model_Assumptions!$B$5</f>
        <v>17.1459777357698</v>
      </c>
      <c r="H269" s="8" t="n">
        <f aca="false">IF(D269&gt;0,G269/D269,"")</f>
        <v>4.28649443394245</v>
      </c>
      <c r="I269" s="9" t="n">
        <f aca="false">IF(G269&gt;0,F269*Load_Model_Assumptions!$B$5/G269,"")</f>
        <v>0.300127401019208</v>
      </c>
    </row>
    <row r="270" customFormat="false" ht="15" hidden="false" customHeight="false" outlineLevel="0" collapsed="false">
      <c r="A270" s="2" t="s">
        <v>296</v>
      </c>
      <c r="B270" s="2" t="s">
        <v>29</v>
      </c>
      <c r="C270" s="2" t="n">
        <v>1</v>
      </c>
      <c r="D270" s="2" t="n">
        <v>2</v>
      </c>
      <c r="E270" s="2" t="n">
        <v>7</v>
      </c>
      <c r="F270" s="2" t="n">
        <v>39</v>
      </c>
      <c r="G270" s="7" t="n">
        <f aca="false">E270*Load_Model_Assumptions!$B$6+F270*Load_Model_Assumptions!$B$5</f>
        <v>17.0346565847511</v>
      </c>
      <c r="H270" s="8" t="n">
        <f aca="false">IF(D270&gt;0,G270/D270,"")</f>
        <v>8.51732829237555</v>
      </c>
      <c r="I270" s="9" t="n">
        <f aca="false">IF(G270&gt;0,F270*Load_Model_Assumptions!$B$5/G270,"")</f>
        <v>0.589073019161056</v>
      </c>
    </row>
    <row r="271" customFormat="false" ht="15" hidden="false" customHeight="false" outlineLevel="0" collapsed="false">
      <c r="A271" s="2" t="s">
        <v>297</v>
      </c>
      <c r="B271" s="2" t="s">
        <v>83</v>
      </c>
      <c r="C271" s="2" t="n">
        <v>2</v>
      </c>
      <c r="D271" s="2" t="n">
        <v>13</v>
      </c>
      <c r="E271" s="2" t="n">
        <v>6</v>
      </c>
      <c r="F271" s="2" t="n">
        <v>41</v>
      </c>
      <c r="G271" s="7" t="n">
        <f aca="false">E271*Load_Model_Assumptions!$B$6+F271*Load_Model_Assumptions!$B$5</f>
        <v>16.5492543583281</v>
      </c>
      <c r="H271" s="8" t="n">
        <f aca="false">IF(D271&gt;0,G271/D271,"")</f>
        <v>1.27301956602524</v>
      </c>
      <c r="I271" s="9" t="n">
        <f aca="false">IF(G271&gt;0,F271*Load_Model_Assumptions!$B$5/G271,"")</f>
        <v>0.637445901181607</v>
      </c>
    </row>
    <row r="272" customFormat="false" ht="15" hidden="false" customHeight="false" outlineLevel="0" collapsed="false">
      <c r="A272" s="2" t="s">
        <v>298</v>
      </c>
      <c r="B272" s="2" t="s">
        <v>115</v>
      </c>
      <c r="C272" s="2" t="n">
        <v>1</v>
      </c>
      <c r="D272" s="2" t="n">
        <v>10</v>
      </c>
      <c r="E272" s="2" t="n">
        <v>6</v>
      </c>
      <c r="F272" s="2" t="n">
        <v>40</v>
      </c>
      <c r="G272" s="7" t="n">
        <f aca="false">E272*Load_Model_Assumptions!$B$6+F272*Load_Model_Assumptions!$B$5</f>
        <v>16.2919554715396</v>
      </c>
      <c r="H272" s="8" t="n">
        <f aca="false">IF(D272&gt;0,G272/D272,"")</f>
        <v>1.62919554715396</v>
      </c>
      <c r="I272" s="9" t="n">
        <f aca="false">IF(G272&gt;0,F272*Load_Model_Assumptions!$B$5/G272,"")</f>
        <v>0.631720083541758</v>
      </c>
    </row>
    <row r="273" customFormat="false" ht="15" hidden="false" customHeight="false" outlineLevel="0" collapsed="false">
      <c r="A273" s="2" t="s">
        <v>299</v>
      </c>
      <c r="B273" s="2" t="s">
        <v>117</v>
      </c>
      <c r="C273" s="2" t="n">
        <v>2</v>
      </c>
      <c r="D273" s="2" t="n">
        <v>12</v>
      </c>
      <c r="E273" s="2" t="n">
        <v>2</v>
      </c>
      <c r="F273" s="2" t="n">
        <v>52</v>
      </c>
      <c r="G273" s="7" t="n">
        <f aca="false">E273*Load_Model_Assumptions!$B$6+F273*Load_Model_Assumptions!$B$5</f>
        <v>15.3795421130015</v>
      </c>
      <c r="H273" s="8" t="n">
        <f aca="false">IF(D273&gt;0,G273/D273,"")</f>
        <v>1.28162850941679</v>
      </c>
      <c r="I273" s="9" t="n">
        <f aca="false">IF(G273&gt;0,F273*Load_Model_Assumptions!$B$5/G273,"")</f>
        <v>0.869957116713556</v>
      </c>
    </row>
    <row r="274" customFormat="false" ht="15" hidden="false" customHeight="false" outlineLevel="0" collapsed="false">
      <c r="A274" s="2" t="s">
        <v>300</v>
      </c>
      <c r="B274" s="2" t="s">
        <v>29</v>
      </c>
      <c r="C274" s="2" t="n">
        <v>1</v>
      </c>
      <c r="D274" s="2" t="n">
        <v>2</v>
      </c>
      <c r="E274" s="2" t="n">
        <v>12</v>
      </c>
      <c r="F274" s="2" t="n">
        <v>13</v>
      </c>
      <c r="G274" s="7" t="n">
        <f aca="false">E274*Load_Model_Assumptions!$B$6+F274*Load_Model_Assumptions!$B$5</f>
        <v>15.3448855282504</v>
      </c>
      <c r="H274" s="8" t="n">
        <f aca="false">IF(D274&gt;0,G274/D274,"")</f>
        <v>7.67244276412518</v>
      </c>
      <c r="I274" s="9" t="n">
        <f aca="false">IF(G274&gt;0,F274*Load_Model_Assumptions!$B$5/G274,"")</f>
        <v>0.217980480994292</v>
      </c>
    </row>
    <row r="275" customFormat="false" ht="15" hidden="false" customHeight="false" outlineLevel="0" collapsed="false">
      <c r="A275" s="2" t="s">
        <v>301</v>
      </c>
      <c r="B275" s="2" t="s">
        <v>29</v>
      </c>
      <c r="C275" s="2" t="n">
        <v>1</v>
      </c>
      <c r="D275" s="2" t="n">
        <v>4</v>
      </c>
      <c r="E275" s="2" t="n">
        <v>6</v>
      </c>
      <c r="F275" s="2" t="n">
        <v>35</v>
      </c>
      <c r="G275" s="7" t="n">
        <f aca="false">E275*Load_Model_Assumptions!$B$6+F275*Load_Model_Assumptions!$B$5</f>
        <v>15.0054610375971</v>
      </c>
      <c r="H275" s="8" t="n">
        <f aca="false">IF(D275&gt;0,G275/D275,"")</f>
        <v>3.75136525939929</v>
      </c>
      <c r="I275" s="9" t="n">
        <f aca="false">IF(G275&gt;0,F275*Load_Model_Assumptions!$B$5/G275,"")</f>
        <v>0.600145574670007</v>
      </c>
    </row>
    <row r="276" customFormat="false" ht="15" hidden="false" customHeight="false" outlineLevel="0" collapsed="false">
      <c r="A276" s="2" t="s">
        <v>302</v>
      </c>
      <c r="B276" s="2" t="s">
        <v>24</v>
      </c>
      <c r="C276" s="2" t="n">
        <v>1</v>
      </c>
      <c r="D276" s="2" t="n">
        <v>2</v>
      </c>
      <c r="E276" s="2" t="n">
        <v>11</v>
      </c>
      <c r="F276" s="2" t="n">
        <v>15</v>
      </c>
      <c r="G276" s="7" t="n">
        <f aca="false">E276*Load_Model_Assumptions!$B$6+F276*Load_Model_Assumptions!$B$5</f>
        <v>14.8594833018273</v>
      </c>
      <c r="H276" s="8" t="n">
        <f aca="false">IF(D276&gt;0,G276/D276,"")</f>
        <v>7.42974165091367</v>
      </c>
      <c r="I276" s="9" t="n">
        <f aca="false">IF(G276&gt;0,F276*Load_Model_Assumptions!$B$5/G276,"")</f>
        <v>0.259731998982275</v>
      </c>
    </row>
    <row r="277" customFormat="false" ht="15" hidden="false" customHeight="false" outlineLevel="0" collapsed="false">
      <c r="A277" s="2" t="s">
        <v>303</v>
      </c>
      <c r="B277" s="2" t="s">
        <v>29</v>
      </c>
      <c r="C277" s="2" t="n">
        <v>2</v>
      </c>
      <c r="D277" s="2" t="n">
        <v>4</v>
      </c>
      <c r="E277" s="2" t="n">
        <v>7</v>
      </c>
      <c r="F277" s="2" t="n">
        <v>30</v>
      </c>
      <c r="G277" s="7" t="n">
        <f aca="false">E277*Load_Model_Assumptions!$B$6+F277*Load_Model_Assumptions!$B$5</f>
        <v>14.7189666036547</v>
      </c>
      <c r="H277" s="8" t="n">
        <f aca="false">IF(D277&gt;0,G277/D277,"")</f>
        <v>3.67974165091367</v>
      </c>
      <c r="I277" s="9" t="n">
        <f aca="false">IF(G277&gt;0,F277*Load_Model_Assumptions!$B$5/G277,"")</f>
        <v>0.524423134551993</v>
      </c>
    </row>
    <row r="278" customFormat="false" ht="15" hidden="false" customHeight="false" outlineLevel="0" collapsed="false">
      <c r="A278" s="2" t="s">
        <v>304</v>
      </c>
      <c r="B278" s="2" t="s">
        <v>117</v>
      </c>
      <c r="C278" s="2" t="n">
        <v>2</v>
      </c>
      <c r="D278" s="2" t="n">
        <v>20</v>
      </c>
      <c r="E278" s="2" t="n">
        <v>0</v>
      </c>
      <c r="F278" s="2" t="n">
        <v>56</v>
      </c>
      <c r="G278" s="7" t="n">
        <f aca="false">E278*Load_Model_Assumptions!$B$6+F278*Load_Model_Assumptions!$B$5</f>
        <v>14.4087376601554</v>
      </c>
      <c r="H278" s="8" t="n">
        <f aca="false">IF(D278&gt;0,G278/D278,"")</f>
        <v>0.720436883007772</v>
      </c>
      <c r="I278" s="9" t="n">
        <f aca="false">IF(G278&gt;0,F278*Load_Model_Assumptions!$B$5/G278,"")</f>
        <v>1</v>
      </c>
    </row>
    <row r="279" customFormat="false" ht="15" hidden="false" customHeight="false" outlineLevel="0" collapsed="false">
      <c r="A279" s="2" t="s">
        <v>305</v>
      </c>
      <c r="B279" s="2" t="s">
        <v>24</v>
      </c>
      <c r="C279" s="2" t="n">
        <v>1</v>
      </c>
      <c r="D279" s="2" t="n">
        <v>2</v>
      </c>
      <c r="E279" s="2" t="n">
        <v>6</v>
      </c>
      <c r="F279" s="2" t="n">
        <v>32</v>
      </c>
      <c r="G279" s="7" t="n">
        <f aca="false">E279*Load_Model_Assumptions!$B$6+F279*Load_Model_Assumptions!$B$5</f>
        <v>14.2335643772317</v>
      </c>
      <c r="H279" s="8" t="n">
        <f aca="false">IF(D279&gt;0,G279/D279,"")</f>
        <v>7.11678218861584</v>
      </c>
      <c r="I279" s="9" t="n">
        <f aca="false">IF(G279&gt;0,F279*Load_Model_Assumptions!$B$5/G279,"")</f>
        <v>0.578461175220612</v>
      </c>
    </row>
    <row r="280" customFormat="false" ht="15" hidden="false" customHeight="false" outlineLevel="0" collapsed="false">
      <c r="A280" s="2" t="s">
        <v>306</v>
      </c>
      <c r="B280" s="2" t="s">
        <v>117</v>
      </c>
      <c r="C280" s="2" t="n">
        <v>1</v>
      </c>
      <c r="D280" s="2" t="n">
        <v>12</v>
      </c>
      <c r="E280" s="2" t="n">
        <v>1</v>
      </c>
      <c r="F280" s="2" t="n">
        <v>51</v>
      </c>
      <c r="G280" s="7" t="n">
        <f aca="false">E280*Load_Model_Assumptions!$B$6+F280*Load_Model_Assumptions!$B$5</f>
        <v>14.122243226213</v>
      </c>
      <c r="H280" s="8" t="n">
        <f aca="false">IF(D280&gt;0,G280/D280,"")</f>
        <v>1.17685360218442</v>
      </c>
      <c r="I280" s="9" t="n">
        <f aca="false">IF(G280&gt;0,F280*Load_Model_Assumptions!$B$5/G280,"")</f>
        <v>0.929189719792968</v>
      </c>
    </row>
    <row r="281" customFormat="false" ht="15" hidden="false" customHeight="false" outlineLevel="0" collapsed="false">
      <c r="A281" s="2" t="s">
        <v>307</v>
      </c>
      <c r="B281" s="2" t="s">
        <v>115</v>
      </c>
      <c r="C281" s="2" t="n">
        <v>1</v>
      </c>
      <c r="D281" s="2" t="n">
        <v>10</v>
      </c>
      <c r="E281" s="2" t="n">
        <v>3</v>
      </c>
      <c r="F281" s="2" t="n">
        <v>43</v>
      </c>
      <c r="G281" s="7" t="n">
        <f aca="false">E281*Load_Model_Assumptions!$B$6+F281*Load_Model_Assumptions!$B$5</f>
        <v>14.0638521319051</v>
      </c>
      <c r="H281" s="8" t="n">
        <f aca="false">IF(D281&gt;0,G281/D281,"")</f>
        <v>1.40638521319051</v>
      </c>
      <c r="I281" s="9" t="n">
        <f aca="false">IF(G281&gt;0,F281*Load_Model_Assumptions!$B$5/G281,"")</f>
        <v>0.786687177036351</v>
      </c>
    </row>
    <row r="282" customFormat="false" ht="15" hidden="false" customHeight="false" outlineLevel="0" collapsed="false">
      <c r="A282" s="2" t="s">
        <v>308</v>
      </c>
      <c r="B282" s="2" t="s">
        <v>115</v>
      </c>
      <c r="C282" s="2" t="n">
        <v>2</v>
      </c>
      <c r="D282" s="2" t="n">
        <v>13</v>
      </c>
      <c r="E282" s="2" t="n">
        <v>4</v>
      </c>
      <c r="F282" s="2" t="n">
        <v>39</v>
      </c>
      <c r="G282" s="7" t="n">
        <f aca="false">E282*Load_Model_Assumptions!$B$6+F282*Load_Model_Assumptions!$B$5</f>
        <v>14.0346565847511</v>
      </c>
      <c r="H282" s="8" t="n">
        <f aca="false">IF(D282&gt;0,G282/D282,"")</f>
        <v>1.07958896805778</v>
      </c>
      <c r="I282" s="9" t="n">
        <f aca="false">IF(G282&gt;0,F282*Load_Model_Assumptions!$B$5/G282,"")</f>
        <v>0.714991245005163</v>
      </c>
    </row>
    <row r="283" customFormat="false" ht="15" hidden="false" customHeight="false" outlineLevel="0" collapsed="false">
      <c r="A283" s="2" t="s">
        <v>309</v>
      </c>
      <c r="B283" s="2" t="s">
        <v>117</v>
      </c>
      <c r="C283" s="2" t="n">
        <v>2</v>
      </c>
      <c r="D283" s="2" t="n">
        <v>20</v>
      </c>
      <c r="E283" s="2" t="n">
        <v>0</v>
      </c>
      <c r="F283" s="2" t="n">
        <v>54</v>
      </c>
      <c r="G283" s="7" t="n">
        <f aca="false">E283*Load_Model_Assumptions!$B$6+F283*Load_Model_Assumptions!$B$5</f>
        <v>13.8941398865785</v>
      </c>
      <c r="H283" s="8" t="n">
        <f aca="false">IF(D283&gt;0,G283/D283,"")</f>
        <v>0.694706994328923</v>
      </c>
      <c r="I283" s="9" t="n">
        <f aca="false">IF(G283&gt;0,F283*Load_Model_Assumptions!$B$5/G283,"")</f>
        <v>1</v>
      </c>
    </row>
    <row r="284" customFormat="false" ht="15" hidden="false" customHeight="false" outlineLevel="0" collapsed="false">
      <c r="A284" s="2" t="s">
        <v>310</v>
      </c>
      <c r="B284" s="2" t="s">
        <v>117</v>
      </c>
      <c r="C284" s="2" t="n">
        <v>3</v>
      </c>
      <c r="D284" s="2" t="n">
        <v>15</v>
      </c>
      <c r="E284" s="2" t="n">
        <v>2</v>
      </c>
      <c r="F284" s="2" t="n">
        <v>46</v>
      </c>
      <c r="G284" s="7" t="n">
        <f aca="false">E284*Load_Model_Assumptions!$B$6+F284*Load_Model_Assumptions!$B$5</f>
        <v>13.8357487922705</v>
      </c>
      <c r="H284" s="8" t="n">
        <f aca="false">IF(D284&gt;0,G284/D284,"")</f>
        <v>0.922383252818036</v>
      </c>
      <c r="I284" s="9" t="n">
        <f aca="false">IF(G284&gt;0,F284*Load_Model_Assumptions!$B$5/G284,"")</f>
        <v>0.855446927374302</v>
      </c>
    </row>
    <row r="285" customFormat="false" ht="15" hidden="false" customHeight="false" outlineLevel="0" collapsed="false">
      <c r="A285" s="2" t="s">
        <v>311</v>
      </c>
      <c r="B285" s="2" t="s">
        <v>83</v>
      </c>
      <c r="C285" s="2" t="n">
        <v>1</v>
      </c>
      <c r="D285" s="2" t="n">
        <v>8</v>
      </c>
      <c r="E285" s="2" t="n">
        <v>1</v>
      </c>
      <c r="F285" s="2" t="n">
        <v>48</v>
      </c>
      <c r="G285" s="7" t="n">
        <f aca="false">E285*Load_Model_Assumptions!$B$6+F285*Load_Model_Assumptions!$B$5</f>
        <v>13.3503465658475</v>
      </c>
      <c r="H285" s="8" t="n">
        <f aca="false">IF(D285&gt;0,G285/D285,"")</f>
        <v>1.66879332073094</v>
      </c>
      <c r="I285" s="9" t="n">
        <f aca="false">IF(G285&gt;0,F285*Load_Model_Assumptions!$B$5/G285,"")</f>
        <v>0.925095577476755</v>
      </c>
    </row>
    <row r="286" customFormat="false" ht="15" hidden="false" customHeight="false" outlineLevel="0" collapsed="false">
      <c r="A286" s="2" t="s">
        <v>312</v>
      </c>
      <c r="B286" s="2" t="s">
        <v>83</v>
      </c>
      <c r="C286" s="2" t="n">
        <v>1</v>
      </c>
      <c r="D286" s="2" t="n">
        <v>7</v>
      </c>
      <c r="E286" s="2" t="n">
        <v>1</v>
      </c>
      <c r="F286" s="2" t="n">
        <v>48</v>
      </c>
      <c r="G286" s="7" t="n">
        <f aca="false">E286*Load_Model_Assumptions!$B$6+F286*Load_Model_Assumptions!$B$5</f>
        <v>13.3503465658475</v>
      </c>
      <c r="H286" s="8" t="n">
        <f aca="false">IF(D286&gt;0,G286/D286,"")</f>
        <v>1.90719236654964</v>
      </c>
      <c r="I286" s="9" t="n">
        <f aca="false">IF(G286&gt;0,F286*Load_Model_Assumptions!$B$5/G286,"")</f>
        <v>0.925095577476755</v>
      </c>
    </row>
    <row r="287" customFormat="false" ht="15" hidden="false" customHeight="false" outlineLevel="0" collapsed="false">
      <c r="A287" s="2" t="s">
        <v>313</v>
      </c>
      <c r="B287" s="2" t="s">
        <v>29</v>
      </c>
      <c r="C287" s="2" t="n">
        <v>1</v>
      </c>
      <c r="D287" s="2" t="n">
        <v>2</v>
      </c>
      <c r="E287" s="2" t="n">
        <v>4</v>
      </c>
      <c r="F287" s="2" t="n">
        <v>36</v>
      </c>
      <c r="G287" s="7" t="n">
        <f aca="false">E287*Load_Model_Assumptions!$B$6+F287*Load_Model_Assumptions!$B$5</f>
        <v>13.2627599243856</v>
      </c>
      <c r="H287" s="8" t="n">
        <f aca="false">IF(D287&gt;0,G287/D287,"")</f>
        <v>6.63137996219282</v>
      </c>
      <c r="I287" s="9" t="n">
        <f aca="false">IF(G287&gt;0,F287*Load_Model_Assumptions!$B$5/G287,"")</f>
        <v>0.698403648802737</v>
      </c>
    </row>
    <row r="288" customFormat="false" ht="15" hidden="false" customHeight="false" outlineLevel="0" collapsed="false">
      <c r="A288" s="2" t="s">
        <v>314</v>
      </c>
      <c r="B288" s="2" t="s">
        <v>24</v>
      </c>
      <c r="C288" s="2" t="n">
        <v>1</v>
      </c>
      <c r="D288" s="2" t="n">
        <v>2</v>
      </c>
      <c r="E288" s="2" t="n">
        <v>8</v>
      </c>
      <c r="F288" s="2" t="n">
        <v>20</v>
      </c>
      <c r="G288" s="7" t="n">
        <f aca="false">E288*Load_Model_Assumptions!$B$6+F288*Load_Model_Assumptions!$B$5</f>
        <v>13.1459777357698</v>
      </c>
      <c r="H288" s="8" t="n">
        <f aca="false">IF(D288&gt;0,G288/D288,"")</f>
        <v>6.5729888678849</v>
      </c>
      <c r="I288" s="9" t="n">
        <f aca="false">IF(G288&gt;0,F288*Load_Model_Assumptions!$B$5/G288,"")</f>
        <v>0.391448840033233</v>
      </c>
    </row>
    <row r="289" customFormat="false" ht="15" hidden="false" customHeight="false" outlineLevel="0" collapsed="false">
      <c r="A289" s="2" t="s">
        <v>315</v>
      </c>
      <c r="B289" s="2" t="s">
        <v>83</v>
      </c>
      <c r="C289" s="2" t="n">
        <v>1</v>
      </c>
      <c r="D289" s="2" t="n">
        <v>9</v>
      </c>
      <c r="E289" s="2" t="n">
        <v>3</v>
      </c>
      <c r="F289" s="2" t="n">
        <v>39</v>
      </c>
      <c r="G289" s="7" t="n">
        <f aca="false">E289*Load_Model_Assumptions!$B$6+F289*Load_Model_Assumptions!$B$5</f>
        <v>13.0346565847511</v>
      </c>
      <c r="H289" s="8" t="n">
        <f aca="false">IF(D289&gt;0,G289/D289,"")</f>
        <v>1.44829517608346</v>
      </c>
      <c r="I289" s="9" t="n">
        <f aca="false">IF(G289&gt;0,F289*Load_Model_Assumptions!$B$5/G289,"")</f>
        <v>0.769844339166586</v>
      </c>
    </row>
    <row r="290" customFormat="false" ht="15" hidden="false" customHeight="false" outlineLevel="0" collapsed="false">
      <c r="A290" s="2" t="s">
        <v>316</v>
      </c>
      <c r="B290" s="2" t="s">
        <v>29</v>
      </c>
      <c r="C290" s="2" t="n">
        <v>1</v>
      </c>
      <c r="D290" s="2" t="n">
        <v>2</v>
      </c>
      <c r="E290" s="2" t="n">
        <v>8</v>
      </c>
      <c r="F290" s="2" t="n">
        <v>19</v>
      </c>
      <c r="G290" s="7" t="n">
        <f aca="false">E290*Load_Model_Assumptions!$B$6+F290*Load_Model_Assumptions!$B$5</f>
        <v>12.8886788489813</v>
      </c>
      <c r="H290" s="8" t="n">
        <f aca="false">IF(D290&gt;0,G290/D290,"")</f>
        <v>6.44433942449065</v>
      </c>
      <c r="I290" s="9" t="n">
        <f aca="false">IF(G290&gt;0,F290*Load_Model_Assumptions!$B$5/G290,"")</f>
        <v>0.379300229780161</v>
      </c>
    </row>
    <row r="291" customFormat="false" ht="15" hidden="false" customHeight="false" outlineLevel="0" collapsed="false">
      <c r="A291" s="2" t="s">
        <v>317</v>
      </c>
      <c r="B291" s="2" t="s">
        <v>24</v>
      </c>
      <c r="C291" s="2" t="n">
        <v>1</v>
      </c>
      <c r="D291" s="2" t="n">
        <v>4</v>
      </c>
      <c r="E291" s="2" t="n">
        <v>9</v>
      </c>
      <c r="F291" s="2" t="n">
        <v>14</v>
      </c>
      <c r="G291" s="7" t="n">
        <f aca="false">E291*Load_Model_Assumptions!$B$6+F291*Load_Model_Assumptions!$B$5</f>
        <v>12.6021844150389</v>
      </c>
      <c r="H291" s="8" t="n">
        <f aca="false">IF(D291&gt;0,G291/D291,"")</f>
        <v>3.15054610375971</v>
      </c>
      <c r="I291" s="9" t="n">
        <f aca="false">IF(G291&gt;0,F291*Load_Model_Assumptions!$B$5/G291,"")</f>
        <v>0.285838097301622</v>
      </c>
    </row>
    <row r="292" customFormat="false" ht="15" hidden="false" customHeight="false" outlineLevel="0" collapsed="false">
      <c r="A292" s="2" t="s">
        <v>318</v>
      </c>
      <c r="B292" s="2" t="s">
        <v>83</v>
      </c>
      <c r="C292" s="2" t="n">
        <v>1</v>
      </c>
      <c r="D292" s="2" t="n">
        <v>7</v>
      </c>
      <c r="E292" s="2" t="n">
        <v>2</v>
      </c>
      <c r="F292" s="2" t="n">
        <v>41</v>
      </c>
      <c r="G292" s="7" t="n">
        <f aca="false">E292*Load_Model_Assumptions!$B$6+F292*Load_Model_Assumptions!$B$5</f>
        <v>12.5492543583281</v>
      </c>
      <c r="H292" s="8" t="n">
        <f aca="false">IF(D292&gt;0,G292/D292,"")</f>
        <v>1.7927506226183</v>
      </c>
      <c r="I292" s="9" t="n">
        <f aca="false">IF(G292&gt;0,F292*Load_Model_Assumptions!$B$5/G292,"")</f>
        <v>0.840627981321238</v>
      </c>
    </row>
    <row r="293" customFormat="false" ht="15" hidden="false" customHeight="false" outlineLevel="0" collapsed="false">
      <c r="A293" s="2" t="s">
        <v>319</v>
      </c>
      <c r="B293" s="2" t="s">
        <v>117</v>
      </c>
      <c r="C293" s="2" t="n">
        <v>3</v>
      </c>
      <c r="D293" s="2" t="n">
        <v>13</v>
      </c>
      <c r="E293" s="2" t="n">
        <v>3</v>
      </c>
      <c r="F293" s="2" t="n">
        <v>35</v>
      </c>
      <c r="G293" s="7" t="n">
        <f aca="false">E293*Load_Model_Assumptions!$B$6+F293*Load_Model_Assumptions!$B$5</f>
        <v>12.0054610375971</v>
      </c>
      <c r="H293" s="8" t="n">
        <f aca="false">IF(D293&gt;0,G293/D293,"")</f>
        <v>0.923497002892088</v>
      </c>
      <c r="I293" s="9" t="n">
        <f aca="false">IF(G293&gt;0,F293*Load_Model_Assumptions!$B$5/G293,"")</f>
        <v>0.750113719864236</v>
      </c>
    </row>
    <row r="294" customFormat="false" ht="15" hidden="false" customHeight="false" outlineLevel="0" collapsed="false">
      <c r="A294" s="2" t="s">
        <v>320</v>
      </c>
      <c r="B294" s="2" t="s">
        <v>117</v>
      </c>
      <c r="C294" s="2" t="n">
        <v>2</v>
      </c>
      <c r="D294" s="2" t="n">
        <v>10</v>
      </c>
      <c r="E294" s="2" t="n">
        <v>0</v>
      </c>
      <c r="F294" s="2" t="n">
        <v>46</v>
      </c>
      <c r="G294" s="7" t="n">
        <f aca="false">E294*Load_Model_Assumptions!$B$6+F294*Load_Model_Assumptions!$B$5</f>
        <v>11.8357487922705</v>
      </c>
      <c r="H294" s="8" t="n">
        <f aca="false">IF(D294&gt;0,G294/D294,"")</f>
        <v>1.18357487922705</v>
      </c>
      <c r="I294" s="9" t="n">
        <f aca="false">IF(G294&gt;0,F294*Load_Model_Assumptions!$B$5/G294,"")</f>
        <v>1</v>
      </c>
    </row>
    <row r="295" customFormat="false" ht="15" hidden="false" customHeight="false" outlineLevel="0" collapsed="false">
      <c r="A295" s="2" t="s">
        <v>321</v>
      </c>
      <c r="B295" s="2" t="s">
        <v>29</v>
      </c>
      <c r="C295" s="2" t="n">
        <v>1</v>
      </c>
      <c r="D295" s="2" t="n">
        <v>5</v>
      </c>
      <c r="E295" s="2" t="n">
        <v>4</v>
      </c>
      <c r="F295" s="2" t="n">
        <v>30</v>
      </c>
      <c r="G295" s="7" t="n">
        <f aca="false">E295*Load_Model_Assumptions!$B$6+F295*Load_Model_Assumptions!$B$5</f>
        <v>11.7189666036547</v>
      </c>
      <c r="H295" s="8" t="n">
        <f aca="false">IF(D295&gt;0,G295/D295,"")</f>
        <v>2.34379332073094</v>
      </c>
      <c r="I295" s="9" t="n">
        <f aca="false">IF(G295&gt;0,F295*Load_Model_Assumptions!$B$5/G295,"")</f>
        <v>0.658672975588773</v>
      </c>
    </row>
    <row r="296" customFormat="false" ht="15" hidden="false" customHeight="false" outlineLevel="0" collapsed="false">
      <c r="A296" s="2" t="s">
        <v>322</v>
      </c>
      <c r="B296" s="2" t="s">
        <v>29</v>
      </c>
      <c r="C296" s="2" t="n">
        <v>1</v>
      </c>
      <c r="D296" s="2" t="n">
        <v>3</v>
      </c>
      <c r="E296" s="2" t="n">
        <v>4</v>
      </c>
      <c r="F296" s="2" t="n">
        <v>30</v>
      </c>
      <c r="G296" s="7" t="n">
        <f aca="false">E296*Load_Model_Assumptions!$B$6+F296*Load_Model_Assumptions!$B$5</f>
        <v>11.7189666036547</v>
      </c>
      <c r="H296" s="8" t="n">
        <f aca="false">IF(D296&gt;0,G296/D296,"")</f>
        <v>3.90632220121823</v>
      </c>
      <c r="I296" s="9" t="n">
        <f aca="false">IF(G296&gt;0,F296*Load_Model_Assumptions!$B$5/G296,"")</f>
        <v>0.658672975588773</v>
      </c>
    </row>
    <row r="297" customFormat="false" ht="15" hidden="false" customHeight="false" outlineLevel="0" collapsed="false">
      <c r="A297" s="2" t="s">
        <v>323</v>
      </c>
      <c r="B297" s="2" t="s">
        <v>83</v>
      </c>
      <c r="C297" s="2" t="n">
        <v>1</v>
      </c>
      <c r="D297" s="2" t="n">
        <v>7</v>
      </c>
      <c r="E297" s="2" t="n">
        <v>0</v>
      </c>
      <c r="F297" s="2" t="n">
        <v>45</v>
      </c>
      <c r="G297" s="7" t="n">
        <f aca="false">E297*Load_Model_Assumptions!$B$6+F297*Load_Model_Assumptions!$B$5</f>
        <v>11.578449905482</v>
      </c>
      <c r="H297" s="8" t="n">
        <f aca="false">IF(D297&gt;0,G297/D297,"")</f>
        <v>1.65406427221172</v>
      </c>
      <c r="I297" s="9" t="n">
        <f aca="false">IF(G297&gt;0,F297*Load_Model_Assumptions!$B$5/G297,"")</f>
        <v>1</v>
      </c>
    </row>
    <row r="298" customFormat="false" ht="15" hidden="false" customHeight="false" outlineLevel="0" collapsed="false">
      <c r="A298" s="2" t="s">
        <v>324</v>
      </c>
      <c r="B298" s="2" t="s">
        <v>117</v>
      </c>
      <c r="C298" s="2" t="n">
        <v>1</v>
      </c>
      <c r="D298" s="2" t="n">
        <v>9</v>
      </c>
      <c r="E298" s="2" t="n">
        <v>1</v>
      </c>
      <c r="F298" s="2" t="n">
        <v>41</v>
      </c>
      <c r="G298" s="7" t="n">
        <f aca="false">E298*Load_Model_Assumptions!$B$6+F298*Load_Model_Assumptions!$B$5</f>
        <v>11.5492543583281</v>
      </c>
      <c r="H298" s="8" t="n">
        <f aca="false">IF(D298&gt;0,G298/D298,"")</f>
        <v>1.28325048425868</v>
      </c>
      <c r="I298" s="9" t="n">
        <f aca="false">IF(G298&gt;0,F298*Load_Model_Assumptions!$B$5/G298,"")</f>
        <v>0.913414323646019</v>
      </c>
    </row>
    <row r="299" customFormat="false" ht="15" hidden="false" customHeight="false" outlineLevel="0" collapsed="false">
      <c r="A299" s="2" t="s">
        <v>325</v>
      </c>
      <c r="B299" s="2" t="s">
        <v>117</v>
      </c>
      <c r="C299" s="2" t="n">
        <v>3</v>
      </c>
      <c r="D299" s="2" t="n">
        <v>10</v>
      </c>
      <c r="E299" s="2" t="n">
        <v>0</v>
      </c>
      <c r="F299" s="2" t="n">
        <v>44</v>
      </c>
      <c r="G299" s="7" t="n">
        <f aca="false">E299*Load_Model_Assumptions!$B$6+F299*Load_Model_Assumptions!$B$5</f>
        <v>11.3211510186936</v>
      </c>
      <c r="H299" s="8" t="n">
        <f aca="false">IF(D299&gt;0,G299/D299,"")</f>
        <v>1.13211510186936</v>
      </c>
      <c r="I299" s="9" t="n">
        <f aca="false">IF(G299&gt;0,F299*Load_Model_Assumptions!$B$5/G299,"")</f>
        <v>1</v>
      </c>
    </row>
    <row r="300" customFormat="false" ht="15" hidden="false" customHeight="false" outlineLevel="0" collapsed="false">
      <c r="A300" s="2" t="s">
        <v>326</v>
      </c>
      <c r="B300" s="2" t="s">
        <v>29</v>
      </c>
      <c r="C300" s="2" t="n">
        <v>1</v>
      </c>
      <c r="D300" s="2" t="n">
        <v>4</v>
      </c>
      <c r="E300" s="2" t="n">
        <v>6</v>
      </c>
      <c r="F300" s="2" t="n">
        <v>20</v>
      </c>
      <c r="G300" s="7" t="n">
        <f aca="false">E300*Load_Model_Assumptions!$B$6+F300*Load_Model_Assumptions!$B$5</f>
        <v>11.1459777357698</v>
      </c>
      <c r="H300" s="8" t="n">
        <f aca="false">IF(D300&gt;0,G300/D300,"")</f>
        <v>2.78649443394245</v>
      </c>
      <c r="I300" s="9" t="n">
        <f aca="false">IF(G300&gt;0,F300*Load_Model_Assumptions!$B$5/G300,"")</f>
        <v>0.461689217201221</v>
      </c>
    </row>
    <row r="301" customFormat="false" ht="15" hidden="false" customHeight="false" outlineLevel="0" collapsed="false">
      <c r="A301" s="2" t="s">
        <v>327</v>
      </c>
      <c r="B301" s="2" t="s">
        <v>29</v>
      </c>
      <c r="C301" s="2" t="n">
        <v>1</v>
      </c>
      <c r="D301" s="2" t="n">
        <v>1</v>
      </c>
      <c r="E301" s="2" t="n">
        <v>6</v>
      </c>
      <c r="F301" s="2" t="n">
        <v>19</v>
      </c>
      <c r="G301" s="7" t="n">
        <f aca="false">E301*Load_Model_Assumptions!$B$6+F301*Load_Model_Assumptions!$B$5</f>
        <v>10.8886788489813</v>
      </c>
      <c r="H301" s="8" t="n">
        <f aca="false">IF(D301&gt;0,G301/D301,"")</f>
        <v>10.8886788489813</v>
      </c>
      <c r="I301" s="9" t="n">
        <f aca="false">IF(G301&gt;0,F301*Load_Model_Assumptions!$B$5/G301,"")</f>
        <v>0.44896896279007</v>
      </c>
    </row>
    <row r="302" customFormat="false" ht="15" hidden="false" customHeight="false" outlineLevel="0" collapsed="false">
      <c r="A302" s="2" t="s">
        <v>328</v>
      </c>
      <c r="B302" s="2" t="s">
        <v>83</v>
      </c>
      <c r="C302" s="2" t="n">
        <v>2</v>
      </c>
      <c r="D302" s="2" t="n">
        <v>14</v>
      </c>
      <c r="E302" s="2" t="n">
        <v>3</v>
      </c>
      <c r="F302" s="2" t="n">
        <v>30</v>
      </c>
      <c r="G302" s="7" t="n">
        <f aca="false">E302*Load_Model_Assumptions!$B$6+F302*Load_Model_Assumptions!$B$5</f>
        <v>10.7189666036547</v>
      </c>
      <c r="H302" s="8" t="n">
        <f aca="false">IF(D302&gt;0,G302/D302,"")</f>
        <v>0.765640471689621</v>
      </c>
      <c r="I302" s="9" t="n">
        <f aca="false">IF(G302&gt;0,F302*Load_Model_Assumptions!$B$5/G302,"")</f>
        <v>0.720122273822821</v>
      </c>
    </row>
    <row r="303" customFormat="false" ht="15" hidden="false" customHeight="false" outlineLevel="0" collapsed="false">
      <c r="A303" s="2" t="s">
        <v>329</v>
      </c>
      <c r="B303" s="2" t="s">
        <v>83</v>
      </c>
      <c r="C303" s="2" t="n">
        <v>1</v>
      </c>
      <c r="D303" s="2" t="n">
        <v>2</v>
      </c>
      <c r="E303" s="2" t="n">
        <v>4</v>
      </c>
      <c r="F303" s="2" t="n">
        <v>26</v>
      </c>
      <c r="G303" s="7" t="n">
        <f aca="false">E303*Load_Model_Assumptions!$B$6+F303*Load_Model_Assumptions!$B$5</f>
        <v>10.6897710565007</v>
      </c>
      <c r="H303" s="8" t="n">
        <f aca="false">IF(D303&gt;0,G303/D303,"")</f>
        <v>5.34488552825037</v>
      </c>
      <c r="I303" s="9" t="n">
        <f aca="false">IF(G303&gt;0,F303*Load_Model_Assumptions!$B$5/G303,"")</f>
        <v>0.625810508114906</v>
      </c>
    </row>
    <row r="304" customFormat="false" ht="15" hidden="false" customHeight="false" outlineLevel="0" collapsed="false">
      <c r="A304" s="2" t="s">
        <v>330</v>
      </c>
      <c r="B304" s="2" t="s">
        <v>117</v>
      </c>
      <c r="C304" s="2" t="n">
        <v>1</v>
      </c>
      <c r="D304" s="2" t="n">
        <v>7</v>
      </c>
      <c r="E304" s="2" t="n">
        <v>0</v>
      </c>
      <c r="F304" s="2" t="n">
        <v>41</v>
      </c>
      <c r="G304" s="7" t="n">
        <f aca="false">E304*Load_Model_Assumptions!$B$6+F304*Load_Model_Assumptions!$B$5</f>
        <v>10.5492543583281</v>
      </c>
      <c r="H304" s="8" t="n">
        <f aca="false">IF(D304&gt;0,G304/D304,"")</f>
        <v>1.50703633690401</v>
      </c>
      <c r="I304" s="9" t="n">
        <f aca="false">IF(G304&gt;0,F304*Load_Model_Assumptions!$B$5/G304,"")</f>
        <v>1</v>
      </c>
    </row>
    <row r="305" customFormat="false" ht="15" hidden="false" customHeight="false" outlineLevel="0" collapsed="false">
      <c r="A305" s="2" t="s">
        <v>331</v>
      </c>
      <c r="B305" s="2" t="s">
        <v>24</v>
      </c>
      <c r="C305" s="2" t="n">
        <v>1</v>
      </c>
      <c r="D305" s="2" t="n">
        <v>2</v>
      </c>
      <c r="E305" s="2" t="n">
        <v>4</v>
      </c>
      <c r="F305" s="2" t="n">
        <v>25</v>
      </c>
      <c r="G305" s="7" t="n">
        <f aca="false">E305*Load_Model_Assumptions!$B$6+F305*Load_Model_Assumptions!$B$5</f>
        <v>10.4324721697122</v>
      </c>
      <c r="H305" s="8" t="n">
        <f aca="false">IF(D305&gt;0,G305/D305,"")</f>
        <v>5.21623608485612</v>
      </c>
      <c r="I305" s="9" t="n">
        <f aca="false">IF(G305&gt;0,F305*Load_Model_Assumptions!$B$5/G305,"")</f>
        <v>0.616581771326179</v>
      </c>
    </row>
    <row r="306" customFormat="false" ht="15" hidden="false" customHeight="false" outlineLevel="0" collapsed="false">
      <c r="A306" s="2" t="s">
        <v>332</v>
      </c>
      <c r="B306" s="2" t="s">
        <v>117</v>
      </c>
      <c r="C306" s="2" t="n">
        <v>1</v>
      </c>
      <c r="D306" s="2" t="n">
        <v>4</v>
      </c>
      <c r="E306" s="2" t="n">
        <v>1</v>
      </c>
      <c r="F306" s="2" t="n">
        <v>36</v>
      </c>
      <c r="G306" s="7" t="n">
        <f aca="false">E306*Load_Model_Assumptions!$B$6+F306*Load_Model_Assumptions!$B$5</f>
        <v>10.2627599243856</v>
      </c>
      <c r="H306" s="8" t="n">
        <f aca="false">IF(D306&gt;0,G306/D306,"")</f>
        <v>2.56568998109641</v>
      </c>
      <c r="I306" s="9" t="n">
        <f aca="false">IF(G306&gt;0,F306*Load_Model_Assumptions!$B$5/G306,"")</f>
        <v>0.902560324184933</v>
      </c>
    </row>
    <row r="307" customFormat="false" ht="15" hidden="false" customHeight="false" outlineLevel="0" collapsed="false">
      <c r="A307" s="2" t="s">
        <v>333</v>
      </c>
      <c r="B307" s="2" t="s">
        <v>117</v>
      </c>
      <c r="C307" s="2" t="n">
        <v>1</v>
      </c>
      <c r="D307" s="2" t="n">
        <v>8</v>
      </c>
      <c r="E307" s="2" t="n">
        <v>4</v>
      </c>
      <c r="F307" s="2" t="n">
        <v>24</v>
      </c>
      <c r="G307" s="7" t="n">
        <f aca="false">E307*Load_Model_Assumptions!$B$6+F307*Load_Model_Assumptions!$B$5</f>
        <v>10.1751732829238</v>
      </c>
      <c r="H307" s="8" t="n">
        <f aca="false">IF(D307&gt;0,G307/D307,"")</f>
        <v>1.27189666036547</v>
      </c>
      <c r="I307" s="9" t="n">
        <f aca="false">IF(G307&gt;0,F307*Load_Model_Assumptions!$B$5/G307,"")</f>
        <v>0.60688630170919</v>
      </c>
    </row>
    <row r="308" customFormat="false" ht="15" hidden="false" customHeight="false" outlineLevel="0" collapsed="false">
      <c r="A308" s="2" t="s">
        <v>334</v>
      </c>
      <c r="B308" s="2" t="s">
        <v>115</v>
      </c>
      <c r="C308" s="2" t="n">
        <v>1</v>
      </c>
      <c r="D308" s="2" t="n">
        <v>9</v>
      </c>
      <c r="E308" s="2" t="n">
        <v>1</v>
      </c>
      <c r="F308" s="2" t="n">
        <v>33</v>
      </c>
      <c r="G308" s="7" t="n">
        <f aca="false">E308*Load_Model_Assumptions!$B$6+F308*Load_Model_Assumptions!$B$5</f>
        <v>9.49086326402017</v>
      </c>
      <c r="H308" s="8" t="n">
        <f aca="false">IF(D308&gt;0,G308/D308,"")</f>
        <v>1.05454036266891</v>
      </c>
      <c r="I308" s="9" t="n">
        <f aca="false">IF(G308&gt;0,F308*Load_Model_Assumptions!$B$5/G308,"")</f>
        <v>0.894635506572832</v>
      </c>
    </row>
    <row r="309" customFormat="false" ht="15" hidden="false" customHeight="false" outlineLevel="0" collapsed="false">
      <c r="A309" s="2" t="s">
        <v>335</v>
      </c>
      <c r="B309" s="2" t="s">
        <v>83</v>
      </c>
      <c r="C309" s="2" t="n">
        <v>1</v>
      </c>
      <c r="D309" s="2" t="n">
        <v>5</v>
      </c>
      <c r="E309" s="2" t="n">
        <v>1</v>
      </c>
      <c r="F309" s="2" t="n">
        <v>31</v>
      </c>
      <c r="G309" s="7" t="n">
        <f aca="false">E309*Load_Model_Assumptions!$B$6+F309*Load_Model_Assumptions!$B$5</f>
        <v>8.97626549044318</v>
      </c>
      <c r="H309" s="8" t="n">
        <f aca="false">IF(D309&gt;0,G309/D309,"")</f>
        <v>1.79525309808864</v>
      </c>
      <c r="I309" s="9" t="n">
        <f aca="false">IF(G309&gt;0,F309*Load_Model_Assumptions!$B$5/G309,"")</f>
        <v>0.888595095469862</v>
      </c>
    </row>
    <row r="310" customFormat="false" ht="15" hidden="false" customHeight="false" outlineLevel="0" collapsed="false">
      <c r="A310" s="2" t="s">
        <v>336</v>
      </c>
      <c r="B310" s="2" t="s">
        <v>24</v>
      </c>
      <c r="C310" s="2" t="n">
        <v>2</v>
      </c>
      <c r="D310" s="2" t="n">
        <v>4</v>
      </c>
      <c r="E310" s="2" t="n">
        <v>4</v>
      </c>
      <c r="F310" s="2" t="n">
        <v>19</v>
      </c>
      <c r="G310" s="7" t="n">
        <f aca="false">E310*Load_Model_Assumptions!$B$6+F310*Load_Model_Assumptions!$B$5</f>
        <v>8.88867884898131</v>
      </c>
      <c r="H310" s="8" t="n">
        <f aca="false">IF(D310&gt;0,G310/D310,"")</f>
        <v>2.22216971224533</v>
      </c>
      <c r="I310" s="9" t="n">
        <f aca="false">IF(G310&gt;0,F310*Load_Model_Assumptions!$B$5/G310,"")</f>
        <v>0.549989366478414</v>
      </c>
    </row>
    <row r="311" customFormat="false" ht="15" hidden="false" customHeight="false" outlineLevel="0" collapsed="false">
      <c r="A311" s="2" t="s">
        <v>337</v>
      </c>
      <c r="B311" s="2" t="s">
        <v>83</v>
      </c>
      <c r="C311" s="2" t="n">
        <v>1</v>
      </c>
      <c r="D311" s="2" t="n">
        <v>9</v>
      </c>
      <c r="E311" s="2" t="n">
        <v>0</v>
      </c>
      <c r="F311" s="2" t="n">
        <v>33</v>
      </c>
      <c r="G311" s="7" t="n">
        <f aca="false">E311*Load_Model_Assumptions!$B$6+F311*Load_Model_Assumptions!$B$5</f>
        <v>8.49086326402017</v>
      </c>
      <c r="H311" s="8" t="n">
        <f aca="false">IF(D311&gt;0,G311/D311,"")</f>
        <v>0.943429251557796</v>
      </c>
      <c r="I311" s="9" t="n">
        <f aca="false">IF(G311&gt;0,F311*Load_Model_Assumptions!$B$5/G311,"")</f>
        <v>1</v>
      </c>
    </row>
    <row r="312" customFormat="false" ht="15" hidden="false" customHeight="false" outlineLevel="0" collapsed="false">
      <c r="A312" s="2" t="s">
        <v>338</v>
      </c>
      <c r="B312" s="2" t="s">
        <v>24</v>
      </c>
      <c r="C312" s="2" t="n">
        <v>1</v>
      </c>
      <c r="D312" s="2" t="n">
        <v>2</v>
      </c>
      <c r="E312" s="2" t="n">
        <v>4</v>
      </c>
      <c r="F312" s="2" t="n">
        <v>17</v>
      </c>
      <c r="G312" s="7" t="n">
        <f aca="false">E312*Load_Model_Assumptions!$B$6+F312*Load_Model_Assumptions!$B$5</f>
        <v>8.37408107540433</v>
      </c>
      <c r="H312" s="8" t="n">
        <f aca="false">IF(D312&gt;0,G312/D312,"")</f>
        <v>4.18704053770216</v>
      </c>
      <c r="I312" s="9" t="n">
        <f aca="false">IF(G312&gt;0,F312*Load_Model_Assumptions!$B$5/G312,"")</f>
        <v>0.522335649251298</v>
      </c>
    </row>
    <row r="313" customFormat="false" ht="15" hidden="false" customHeight="false" outlineLevel="0" collapsed="false">
      <c r="A313" s="2" t="s">
        <v>339</v>
      </c>
      <c r="B313" s="2" t="s">
        <v>24</v>
      </c>
      <c r="C313" s="2" t="n">
        <v>1</v>
      </c>
      <c r="D313" s="2" t="n">
        <v>2</v>
      </c>
      <c r="E313" s="2" t="n">
        <v>4</v>
      </c>
      <c r="F313" s="2" t="n">
        <v>16</v>
      </c>
      <c r="G313" s="7" t="n">
        <f aca="false">E313*Load_Model_Assumptions!$B$6+F313*Load_Model_Assumptions!$B$5</f>
        <v>8.11678218861584</v>
      </c>
      <c r="H313" s="8" t="n">
        <f aca="false">IF(D313&gt;0,G313/D313,"")</f>
        <v>4.05839109430792</v>
      </c>
      <c r="I313" s="9" t="n">
        <f aca="false">IF(G313&gt;0,F313*Load_Model_Assumptions!$B$5/G313,"")</f>
        <v>0.507193872269951</v>
      </c>
    </row>
    <row r="314" customFormat="false" ht="15" hidden="false" customHeight="false" outlineLevel="0" collapsed="false">
      <c r="A314" s="2" t="s">
        <v>340</v>
      </c>
      <c r="B314" s="2" t="s">
        <v>115</v>
      </c>
      <c r="C314" s="2" t="n">
        <v>1</v>
      </c>
      <c r="D314" s="2" t="n">
        <v>6</v>
      </c>
      <c r="E314" s="2" t="n">
        <v>0</v>
      </c>
      <c r="F314" s="2" t="n">
        <v>31</v>
      </c>
      <c r="G314" s="7" t="n">
        <f aca="false">E314*Load_Model_Assumptions!$B$6+F314*Load_Model_Assumptions!$B$5</f>
        <v>7.97626549044318</v>
      </c>
      <c r="H314" s="8" t="n">
        <f aca="false">IF(D314&gt;0,G314/D314,"")</f>
        <v>1.32937758174053</v>
      </c>
      <c r="I314" s="9" t="n">
        <f aca="false">IF(G314&gt;0,F314*Load_Model_Assumptions!$B$5/G314,"")</f>
        <v>1</v>
      </c>
    </row>
    <row r="315" customFormat="false" ht="15" hidden="false" customHeight="false" outlineLevel="0" collapsed="false">
      <c r="A315" s="2" t="s">
        <v>341</v>
      </c>
      <c r="B315" s="2" t="s">
        <v>117</v>
      </c>
      <c r="C315" s="2" t="n">
        <v>1</v>
      </c>
      <c r="D315" s="2" t="n">
        <v>5</v>
      </c>
      <c r="E315" s="2" t="n">
        <v>1</v>
      </c>
      <c r="F315" s="2" t="n">
        <v>27</v>
      </c>
      <c r="G315" s="7" t="n">
        <f aca="false">E315*Load_Model_Assumptions!$B$6+F315*Load_Model_Assumptions!$B$5</f>
        <v>7.94706994328923</v>
      </c>
      <c r="H315" s="8" t="n">
        <f aca="false">IF(D315&gt;0,G315/D315,"")</f>
        <v>1.58941398865785</v>
      </c>
      <c r="I315" s="9" t="n">
        <f aca="false">IF(G315&gt;0,F315*Load_Model_Assumptions!$B$5/G315,"")</f>
        <v>0.874167459562322</v>
      </c>
    </row>
    <row r="316" customFormat="false" ht="15" hidden="false" customHeight="false" outlineLevel="0" collapsed="false">
      <c r="A316" s="2" t="s">
        <v>342</v>
      </c>
      <c r="B316" s="2" t="s">
        <v>29</v>
      </c>
      <c r="C316" s="2" t="n">
        <v>1</v>
      </c>
      <c r="D316" s="2" t="n">
        <v>4</v>
      </c>
      <c r="E316" s="2" t="n">
        <v>2</v>
      </c>
      <c r="F316" s="2" t="n">
        <v>22</v>
      </c>
      <c r="G316" s="7" t="n">
        <f aca="false">E316*Load_Model_Assumptions!$B$6+F316*Load_Model_Assumptions!$B$5</f>
        <v>7.66057550934678</v>
      </c>
      <c r="H316" s="8" t="n">
        <f aca="false">IF(D316&gt;0,G316/D316,"")</f>
        <v>1.91514387733669</v>
      </c>
      <c r="I316" s="9" t="n">
        <f aca="false">IF(G316&gt;0,F316*Load_Model_Assumptions!$B$5/G316,"")</f>
        <v>0.738923009431893</v>
      </c>
    </row>
    <row r="317" customFormat="false" ht="15" hidden="false" customHeight="false" outlineLevel="0" collapsed="false">
      <c r="A317" s="2" t="s">
        <v>343</v>
      </c>
      <c r="B317" s="2" t="s">
        <v>24</v>
      </c>
      <c r="C317" s="2" t="n">
        <v>1</v>
      </c>
      <c r="D317" s="2" t="n">
        <v>2</v>
      </c>
      <c r="E317" s="2" t="n">
        <v>6</v>
      </c>
      <c r="F317" s="2" t="n">
        <v>6</v>
      </c>
      <c r="G317" s="7" t="n">
        <f aca="false">E317*Load_Model_Assumptions!$B$6+F317*Load_Model_Assumptions!$B$5</f>
        <v>7.54379332073094</v>
      </c>
      <c r="H317" s="8" t="n">
        <f aca="false">IF(D317&gt;0,G317/D317,"")</f>
        <v>3.77189666036547</v>
      </c>
      <c r="I317" s="9" t="n">
        <f aca="false">IF(G317&gt;0,F317*Load_Model_Assumptions!$B$5/G317,"")</f>
        <v>0.204644169729369</v>
      </c>
    </row>
    <row r="318" customFormat="false" ht="15" hidden="false" customHeight="false" outlineLevel="0" collapsed="false">
      <c r="A318" s="2" t="s">
        <v>344</v>
      </c>
      <c r="B318" s="2" t="s">
        <v>117</v>
      </c>
      <c r="C318" s="2" t="n">
        <v>2</v>
      </c>
      <c r="D318" s="2" t="n">
        <v>8</v>
      </c>
      <c r="E318" s="2" t="n">
        <v>0</v>
      </c>
      <c r="F318" s="2" t="n">
        <v>29</v>
      </c>
      <c r="G318" s="7" t="n">
        <f aca="false">E318*Load_Model_Assumptions!$B$6+F318*Load_Model_Assumptions!$B$5</f>
        <v>7.46166771686621</v>
      </c>
      <c r="H318" s="8" t="n">
        <f aca="false">IF(D318&gt;0,G318/D318,"")</f>
        <v>0.932708464608276</v>
      </c>
      <c r="I318" s="9" t="n">
        <f aca="false">IF(G318&gt;0,F318*Load_Model_Assumptions!$B$5/G318,"")</f>
        <v>1</v>
      </c>
    </row>
    <row r="319" customFormat="false" ht="15" hidden="false" customHeight="false" outlineLevel="0" collapsed="false">
      <c r="A319" s="2" t="s">
        <v>345</v>
      </c>
      <c r="B319" s="2" t="s">
        <v>83</v>
      </c>
      <c r="C319" s="2" t="n">
        <v>1</v>
      </c>
      <c r="D319" s="2" t="n">
        <v>6</v>
      </c>
      <c r="E319" s="2" t="n">
        <v>1</v>
      </c>
      <c r="F319" s="2" t="n">
        <v>24</v>
      </c>
      <c r="G319" s="7" t="n">
        <f aca="false">E319*Load_Model_Assumptions!$B$6+F319*Load_Model_Assumptions!$B$5</f>
        <v>7.17517328292376</v>
      </c>
      <c r="H319" s="8" t="n">
        <f aca="false">IF(D319&gt;0,G319/D319,"")</f>
        <v>1.19586221382063</v>
      </c>
      <c r="I319" s="9" t="n">
        <f aca="false">IF(G319&gt;0,F319*Load_Model_Assumptions!$B$5/G319,"")</f>
        <v>0.860630543602354</v>
      </c>
    </row>
    <row r="320" customFormat="false" ht="15" hidden="false" customHeight="false" outlineLevel="0" collapsed="false">
      <c r="A320" s="2" t="s">
        <v>346</v>
      </c>
      <c r="B320" s="2" t="s">
        <v>83</v>
      </c>
      <c r="C320" s="2" t="n">
        <v>1</v>
      </c>
      <c r="D320" s="2" t="n">
        <v>4</v>
      </c>
      <c r="E320" s="2" t="n">
        <v>4</v>
      </c>
      <c r="F320" s="2" t="n">
        <v>11</v>
      </c>
      <c r="G320" s="7" t="n">
        <f aca="false">E320*Load_Model_Assumptions!$B$6+F320*Load_Model_Assumptions!$B$5</f>
        <v>6.83028775467339</v>
      </c>
      <c r="H320" s="8" t="n">
        <f aca="false">IF(D320&gt;0,G320/D320,"")</f>
        <v>1.70757193866835</v>
      </c>
      <c r="I320" s="9" t="n">
        <f aca="false">IF(G320&gt;0,F320*Load_Model_Assumptions!$B$5/G320,"")</f>
        <v>0.41437313570528</v>
      </c>
    </row>
    <row r="321" customFormat="false" ht="15" hidden="false" customHeight="false" outlineLevel="0" collapsed="false">
      <c r="A321" s="2" t="s">
        <v>347</v>
      </c>
      <c r="B321" s="2" t="s">
        <v>83</v>
      </c>
      <c r="C321" s="2" t="n">
        <v>1</v>
      </c>
      <c r="D321" s="2" t="n">
        <v>3</v>
      </c>
      <c r="E321" s="2" t="n">
        <v>1</v>
      </c>
      <c r="F321" s="2" t="n">
        <v>22</v>
      </c>
      <c r="G321" s="7" t="n">
        <f aca="false">E321*Load_Model_Assumptions!$B$6+F321*Load_Model_Assumptions!$B$5</f>
        <v>6.66057550934678</v>
      </c>
      <c r="H321" s="8" t="n">
        <f aca="false">IF(D321&gt;0,G321/D321,"")</f>
        <v>2.22019183644893</v>
      </c>
      <c r="I321" s="9" t="n">
        <f aca="false">IF(G321&gt;0,F321*Load_Model_Assumptions!$B$5/G321,"")</f>
        <v>0.849862823625871</v>
      </c>
    </row>
    <row r="322" customFormat="false" ht="15" hidden="false" customHeight="false" outlineLevel="0" collapsed="false">
      <c r="A322" s="2" t="s">
        <v>348</v>
      </c>
      <c r="B322" s="2" t="s">
        <v>83</v>
      </c>
      <c r="C322" s="2" t="n">
        <v>1</v>
      </c>
      <c r="D322" s="2" t="n">
        <v>4</v>
      </c>
      <c r="E322" s="2" t="n">
        <v>2</v>
      </c>
      <c r="F322" s="2" t="n">
        <v>18</v>
      </c>
      <c r="G322" s="7" t="n">
        <f aca="false">E322*Load_Model_Assumptions!$B$6+F322*Load_Model_Assumptions!$B$5</f>
        <v>6.63137996219282</v>
      </c>
      <c r="H322" s="8" t="n">
        <f aca="false">IF(D322&gt;0,G322/D322,"")</f>
        <v>1.6578449905482</v>
      </c>
      <c r="I322" s="9" t="n">
        <f aca="false">IF(G322&gt;0,F322*Load_Model_Assumptions!$B$5/G322,"")</f>
        <v>0.698403648802737</v>
      </c>
    </row>
    <row r="323" customFormat="false" ht="15" hidden="false" customHeight="false" outlineLevel="0" collapsed="false">
      <c r="A323" s="2" t="s">
        <v>349</v>
      </c>
      <c r="B323" s="2" t="s">
        <v>29</v>
      </c>
      <c r="C323" s="2" t="n">
        <v>1</v>
      </c>
      <c r="D323" s="2" t="n">
        <v>2</v>
      </c>
      <c r="E323" s="2" t="n">
        <v>4</v>
      </c>
      <c r="F323" s="2" t="n">
        <v>10</v>
      </c>
      <c r="G323" s="7" t="n">
        <f aca="false">E323*Load_Model_Assumptions!$B$6+F323*Load_Model_Assumptions!$B$5</f>
        <v>6.5729888678849</v>
      </c>
      <c r="H323" s="8" t="n">
        <f aca="false">IF(D323&gt;0,G323/D323,"")</f>
        <v>3.28649443394245</v>
      </c>
      <c r="I323" s="9" t="n">
        <f aca="false">IF(G323&gt;0,F323*Load_Model_Assumptions!$B$5/G323,"")</f>
        <v>0.391448840033233</v>
      </c>
    </row>
    <row r="324" customFormat="false" ht="15" hidden="false" customHeight="false" outlineLevel="0" collapsed="false">
      <c r="A324" s="2" t="s">
        <v>350</v>
      </c>
      <c r="B324" s="2" t="s">
        <v>24</v>
      </c>
      <c r="C324" s="2" t="n">
        <v>1</v>
      </c>
      <c r="D324" s="2" t="n">
        <v>1</v>
      </c>
      <c r="E324" s="2" t="n">
        <v>1</v>
      </c>
      <c r="F324" s="2" t="n">
        <v>21</v>
      </c>
      <c r="G324" s="7" t="n">
        <f aca="false">E324*Load_Model_Assumptions!$B$6+F324*Load_Model_Assumptions!$B$5</f>
        <v>6.40327662255829</v>
      </c>
      <c r="H324" s="8" t="n">
        <f aca="false">IF(D324&gt;0,G324/D324,"")</f>
        <v>6.40327662255829</v>
      </c>
      <c r="I324" s="9" t="n">
        <f aca="false">IF(G324&gt;0,F324*Load_Model_Assumptions!$B$5/G324,"")</f>
        <v>0.84382995473332</v>
      </c>
    </row>
    <row r="325" customFormat="false" ht="15" hidden="false" customHeight="false" outlineLevel="0" collapsed="false">
      <c r="A325" s="2" t="s">
        <v>351</v>
      </c>
      <c r="B325" s="2" t="s">
        <v>24</v>
      </c>
      <c r="C325" s="2" t="n">
        <v>1</v>
      </c>
      <c r="D325" s="2" t="n">
        <v>2</v>
      </c>
      <c r="E325" s="2" t="n">
        <v>2</v>
      </c>
      <c r="F325" s="2" t="n">
        <v>16</v>
      </c>
      <c r="G325" s="7" t="n">
        <f aca="false">E325*Load_Model_Assumptions!$B$6+F325*Load_Model_Assumptions!$B$5</f>
        <v>6.11678218861584</v>
      </c>
      <c r="H325" s="8" t="n">
        <f aca="false">IF(D325&gt;0,G325/D325,"")</f>
        <v>3.05839109430792</v>
      </c>
      <c r="I325" s="9" t="n">
        <f aca="false">IF(G325&gt;0,F325*Load_Model_Assumptions!$B$5/G325,"")</f>
        <v>0.673030698441041</v>
      </c>
    </row>
    <row r="326" customFormat="false" ht="15" hidden="false" customHeight="false" outlineLevel="0" collapsed="false">
      <c r="A326" s="2" t="s">
        <v>352</v>
      </c>
      <c r="B326" s="2" t="s">
        <v>115</v>
      </c>
      <c r="C326" s="2" t="n">
        <v>2</v>
      </c>
      <c r="D326" s="2" t="n">
        <v>8</v>
      </c>
      <c r="E326" s="2" t="n">
        <v>1</v>
      </c>
      <c r="F326" s="2" t="n">
        <v>19</v>
      </c>
      <c r="G326" s="7" t="n">
        <f aca="false">E326*Load_Model_Assumptions!$B$6+F326*Load_Model_Assumptions!$B$5</f>
        <v>5.88867884898131</v>
      </c>
      <c r="H326" s="8" t="n">
        <f aca="false">IF(D326&gt;0,G326/D326,"")</f>
        <v>0.736084856122663</v>
      </c>
      <c r="I326" s="9" t="n">
        <f aca="false">IF(G326&gt;0,F326*Load_Model_Assumptions!$B$5/G326,"")</f>
        <v>0.830182622342702</v>
      </c>
    </row>
    <row r="327" customFormat="false" ht="15" hidden="false" customHeight="false" outlineLevel="0" collapsed="false">
      <c r="A327" s="2" t="s">
        <v>353</v>
      </c>
      <c r="B327" s="2" t="s">
        <v>117</v>
      </c>
      <c r="C327" s="2" t="n">
        <v>1</v>
      </c>
      <c r="D327" s="2" t="n">
        <v>4</v>
      </c>
      <c r="E327" s="2" t="n">
        <v>1</v>
      </c>
      <c r="F327" s="2" t="n">
        <v>16</v>
      </c>
      <c r="G327" s="7" t="n">
        <f aca="false">E327*Load_Model_Assumptions!$B$6+F327*Load_Model_Assumptions!$B$5</f>
        <v>5.11678218861584</v>
      </c>
      <c r="H327" s="8" t="n">
        <f aca="false">IF(D327&gt;0,G327/D327,"")</f>
        <v>1.27919554715396</v>
      </c>
      <c r="I327" s="9" t="n">
        <f aca="false">IF(G327&gt;0,F327*Load_Model_Assumptions!$B$5/G327,"")</f>
        <v>0.804564673042979</v>
      </c>
    </row>
    <row r="328" customFormat="false" ht="15" hidden="false" customHeight="false" outlineLevel="0" collapsed="false">
      <c r="A328" s="2" t="s">
        <v>354</v>
      </c>
      <c r="B328" s="2" t="s">
        <v>83</v>
      </c>
      <c r="C328" s="2" t="n">
        <v>1</v>
      </c>
      <c r="D328" s="2" t="n">
        <v>2</v>
      </c>
      <c r="E328" s="2" t="n">
        <v>0</v>
      </c>
      <c r="F328" s="2" t="n">
        <v>19</v>
      </c>
      <c r="G328" s="7" t="n">
        <f aca="false">E328*Load_Model_Assumptions!$B$6+F328*Load_Model_Assumptions!$B$5</f>
        <v>4.88867884898131</v>
      </c>
      <c r="H328" s="8" t="n">
        <f aca="false">IF(D328&gt;0,G328/D328,"")</f>
        <v>2.44433942449065</v>
      </c>
      <c r="I328" s="9" t="n">
        <f aca="false">IF(G328&gt;0,F328*Load_Model_Assumptions!$B$5/G328,"")</f>
        <v>1</v>
      </c>
    </row>
    <row r="329" customFormat="false" ht="15" hidden="false" customHeight="false" outlineLevel="0" collapsed="false">
      <c r="A329" s="2" t="s">
        <v>355</v>
      </c>
      <c r="B329" s="2" t="s">
        <v>117</v>
      </c>
      <c r="C329" s="2" t="n">
        <v>1</v>
      </c>
      <c r="D329" s="2" t="n">
        <v>2</v>
      </c>
      <c r="E329" s="2" t="n">
        <v>1</v>
      </c>
      <c r="F329" s="2" t="n">
        <v>14</v>
      </c>
      <c r="G329" s="7" t="n">
        <f aca="false">E329*Load_Model_Assumptions!$B$6+F329*Load_Model_Assumptions!$B$5</f>
        <v>4.60218441503886</v>
      </c>
      <c r="H329" s="8" t="n">
        <f aca="false">IF(D329&gt;0,G329/D329,"")</f>
        <v>2.30109220751943</v>
      </c>
      <c r="I329" s="9" t="n">
        <f aca="false">IF(G329&gt;0,F329*Load_Model_Assumptions!$B$5/G329,"")</f>
        <v>0.782711879877687</v>
      </c>
    </row>
    <row r="330" customFormat="false" ht="15" hidden="false" customHeight="false" outlineLevel="0" collapsed="false">
      <c r="A330" s="2" t="s">
        <v>356</v>
      </c>
      <c r="B330" s="2" t="s">
        <v>83</v>
      </c>
      <c r="C330" s="2" t="n">
        <v>1</v>
      </c>
      <c r="D330" s="2" t="n">
        <v>2</v>
      </c>
      <c r="E330" s="2" t="n">
        <v>2</v>
      </c>
      <c r="F330" s="2" t="n">
        <v>10</v>
      </c>
      <c r="G330" s="7" t="n">
        <f aca="false">E330*Load_Model_Assumptions!$B$6+F330*Load_Model_Assumptions!$B$5</f>
        <v>4.5729888678849</v>
      </c>
      <c r="H330" s="8" t="n">
        <f aca="false">IF(D330&gt;0,G330/D330,"")</f>
        <v>2.28649443394245</v>
      </c>
      <c r="I330" s="9" t="n">
        <f aca="false">IF(G330&gt;0,F330*Load_Model_Assumptions!$B$5/G330,"")</f>
        <v>0.562649274297263</v>
      </c>
    </row>
    <row r="331" customFormat="false" ht="15" hidden="false" customHeight="false" outlineLevel="0" collapsed="false">
      <c r="A331" s="2" t="s">
        <v>357</v>
      </c>
      <c r="B331" s="2" t="s">
        <v>24</v>
      </c>
      <c r="C331" s="2" t="n">
        <v>1</v>
      </c>
      <c r="D331" s="2" t="n">
        <v>1</v>
      </c>
      <c r="E331" s="2" t="n">
        <v>3</v>
      </c>
      <c r="F331" s="2" t="n">
        <v>6</v>
      </c>
      <c r="G331" s="7" t="n">
        <f aca="false">E331*Load_Model_Assumptions!$B$6+F331*Load_Model_Assumptions!$B$5</f>
        <v>4.54379332073094</v>
      </c>
      <c r="H331" s="8" t="n">
        <f aca="false">IF(D331&gt;0,G331/D331,"")</f>
        <v>4.54379332073094</v>
      </c>
      <c r="I331" s="9" t="n">
        <f aca="false">IF(G331&gt;0,F331*Load_Model_Assumptions!$B$5/G331,"")</f>
        <v>0.339758701983081</v>
      </c>
    </row>
    <row r="332" customFormat="false" ht="15" hidden="false" customHeight="false" outlineLevel="0" collapsed="false">
      <c r="A332" s="2" t="s">
        <v>358</v>
      </c>
      <c r="B332" s="2" t="s">
        <v>115</v>
      </c>
      <c r="C332" s="2" t="n">
        <v>1</v>
      </c>
      <c r="D332" s="2" t="n">
        <v>4</v>
      </c>
      <c r="E332" s="2" t="n">
        <v>3</v>
      </c>
      <c r="F332" s="2" t="n">
        <v>6</v>
      </c>
      <c r="G332" s="7" t="n">
        <f aca="false">E332*Load_Model_Assumptions!$B$6+F332*Load_Model_Assumptions!$B$5</f>
        <v>4.54379332073094</v>
      </c>
      <c r="H332" s="8" t="n">
        <f aca="false">IF(D332&gt;0,G332/D332,"")</f>
        <v>1.13594833018273</v>
      </c>
      <c r="I332" s="9" t="n">
        <f aca="false">IF(G332&gt;0,F332*Load_Model_Assumptions!$B$5/G332,"")</f>
        <v>0.339758701983081</v>
      </c>
    </row>
    <row r="333" customFormat="false" ht="15" hidden="false" customHeight="false" outlineLevel="0" collapsed="false">
      <c r="A333" s="2" t="s">
        <v>359</v>
      </c>
      <c r="B333" s="2" t="s">
        <v>24</v>
      </c>
      <c r="C333" s="2" t="n">
        <v>1</v>
      </c>
      <c r="D333" s="2" t="n">
        <v>1</v>
      </c>
      <c r="E333" s="2" t="n">
        <v>3</v>
      </c>
      <c r="F333" s="2" t="n">
        <v>5</v>
      </c>
      <c r="G333" s="7" t="n">
        <f aca="false">E333*Load_Model_Assumptions!$B$6+F333*Load_Model_Assumptions!$B$5</f>
        <v>4.28649443394245</v>
      </c>
      <c r="H333" s="8" t="n">
        <f aca="false">IF(D333&gt;0,G333/D333,"")</f>
        <v>4.28649443394245</v>
      </c>
      <c r="I333" s="9" t="n">
        <f aca="false">IF(G333&gt;0,F333*Load_Model_Assumptions!$B$5/G333,"")</f>
        <v>0.300127401019208</v>
      </c>
    </row>
    <row r="334" customFormat="false" ht="15" hidden="false" customHeight="false" outlineLevel="0" collapsed="false">
      <c r="A334" s="2" t="s">
        <v>360</v>
      </c>
      <c r="B334" s="2" t="s">
        <v>29</v>
      </c>
      <c r="C334" s="2" t="n">
        <v>1</v>
      </c>
      <c r="D334" s="2" t="n">
        <v>1</v>
      </c>
      <c r="E334" s="2" t="n">
        <v>3</v>
      </c>
      <c r="F334" s="2" t="n">
        <v>5</v>
      </c>
      <c r="G334" s="7" t="n">
        <f aca="false">E334*Load_Model_Assumptions!$B$6+F334*Load_Model_Assumptions!$B$5</f>
        <v>4.28649443394245</v>
      </c>
      <c r="H334" s="8" t="n">
        <f aca="false">IF(D334&gt;0,G334/D334,"")</f>
        <v>4.28649443394245</v>
      </c>
      <c r="I334" s="9" t="n">
        <f aca="false">IF(G334&gt;0,F334*Load_Model_Assumptions!$B$5/G334,"")</f>
        <v>0.300127401019208</v>
      </c>
    </row>
    <row r="335" customFormat="false" ht="15" hidden="false" customHeight="false" outlineLevel="0" collapsed="false">
      <c r="A335" s="2" t="s">
        <v>361</v>
      </c>
      <c r="B335" s="2" t="s">
        <v>24</v>
      </c>
      <c r="C335" s="2" t="n">
        <v>1</v>
      </c>
      <c r="D335" s="2" t="n">
        <v>1</v>
      </c>
      <c r="E335" s="2" t="n">
        <v>1</v>
      </c>
      <c r="F335" s="2" t="n">
        <v>12</v>
      </c>
      <c r="G335" s="7" t="n">
        <f aca="false">E335*Load_Model_Assumptions!$B$6+F335*Load_Model_Assumptions!$B$5</f>
        <v>4.08758664146188</v>
      </c>
      <c r="H335" s="8" t="n">
        <f aca="false">IF(D335&gt;0,G335/D335,"")</f>
        <v>4.08758664146188</v>
      </c>
      <c r="I335" s="9" t="n">
        <f aca="false">IF(G335&gt;0,F335*Load_Model_Assumptions!$B$5/G335,"")</f>
        <v>0.755356867581317</v>
      </c>
    </row>
    <row r="336" customFormat="false" ht="15" hidden="false" customHeight="false" outlineLevel="0" collapsed="false">
      <c r="A336" s="2" t="s">
        <v>362</v>
      </c>
      <c r="B336" s="2" t="s">
        <v>117</v>
      </c>
      <c r="C336" s="2" t="n">
        <v>2</v>
      </c>
      <c r="D336" s="2" t="n">
        <v>4</v>
      </c>
      <c r="E336" s="2" t="n">
        <v>0</v>
      </c>
      <c r="F336" s="2" t="n">
        <v>15</v>
      </c>
      <c r="G336" s="7" t="n">
        <f aca="false">E336*Load_Model_Assumptions!$B$6+F336*Load_Model_Assumptions!$B$5</f>
        <v>3.85948330182735</v>
      </c>
      <c r="H336" s="8" t="n">
        <f aca="false">IF(D336&gt;0,G336/D336,"")</f>
        <v>0.964870825456837</v>
      </c>
      <c r="I336" s="9" t="n">
        <f aca="false">IF(G336&gt;0,F336*Load_Model_Assumptions!$B$5/G336,"")</f>
        <v>1</v>
      </c>
    </row>
    <row r="337" customFormat="false" ht="15" hidden="false" customHeight="false" outlineLevel="0" collapsed="false">
      <c r="A337" s="2" t="s">
        <v>363</v>
      </c>
      <c r="B337" s="2" t="s">
        <v>83</v>
      </c>
      <c r="C337" s="2" t="n">
        <v>1</v>
      </c>
      <c r="D337" s="2" t="n">
        <v>2</v>
      </c>
      <c r="E337" s="2" t="n">
        <v>0</v>
      </c>
      <c r="F337" s="2" t="n">
        <v>15</v>
      </c>
      <c r="G337" s="7" t="n">
        <f aca="false">E337*Load_Model_Assumptions!$B$6+F337*Load_Model_Assumptions!$B$5</f>
        <v>3.85948330182735</v>
      </c>
      <c r="H337" s="8" t="n">
        <f aca="false">IF(D337&gt;0,G337/D337,"")</f>
        <v>1.92974165091367</v>
      </c>
      <c r="I337" s="9" t="n">
        <f aca="false">IF(G337&gt;0,F337*Load_Model_Assumptions!$B$5/G337,"")</f>
        <v>1</v>
      </c>
    </row>
    <row r="338" customFormat="false" ht="15" hidden="false" customHeight="false" outlineLevel="0" collapsed="false">
      <c r="A338" s="2" t="s">
        <v>364</v>
      </c>
      <c r="B338" s="2" t="s">
        <v>83</v>
      </c>
      <c r="C338" s="2" t="n">
        <v>1</v>
      </c>
      <c r="D338" s="2" t="n">
        <v>4</v>
      </c>
      <c r="E338" s="2" t="n">
        <v>2</v>
      </c>
      <c r="F338" s="2" t="n">
        <v>7</v>
      </c>
      <c r="G338" s="7" t="n">
        <f aca="false">E338*Load_Model_Assumptions!$B$6+F338*Load_Model_Assumptions!$B$5</f>
        <v>3.80109220751943</v>
      </c>
      <c r="H338" s="8" t="n">
        <f aca="false">IF(D338&gt;0,G338/D338,"")</f>
        <v>0.950273051879857</v>
      </c>
      <c r="I338" s="9" t="n">
        <f aca="false">IF(G338&gt;0,F338*Load_Model_Assumptions!$B$5/G338,"")</f>
        <v>0.473835442338509</v>
      </c>
    </row>
    <row r="339" customFormat="false" ht="15" hidden="false" customHeight="false" outlineLevel="0" collapsed="false">
      <c r="A339" s="2" t="s">
        <v>365</v>
      </c>
      <c r="B339" s="2" t="s">
        <v>83</v>
      </c>
      <c r="C339" s="2" t="n">
        <v>1</v>
      </c>
      <c r="D339" s="2" t="n">
        <v>2</v>
      </c>
      <c r="E339" s="2" t="n">
        <v>0</v>
      </c>
      <c r="F339" s="2" t="n">
        <v>14</v>
      </c>
      <c r="G339" s="7" t="n">
        <f aca="false">E339*Load_Model_Assumptions!$B$6+F339*Load_Model_Assumptions!$B$5</f>
        <v>3.60218441503886</v>
      </c>
      <c r="H339" s="8" t="n">
        <f aca="false">IF(D339&gt;0,G339/D339,"")</f>
        <v>1.80109220751943</v>
      </c>
      <c r="I339" s="9" t="n">
        <f aca="false">IF(G339&gt;0,F339*Load_Model_Assumptions!$B$5/G339,"")</f>
        <v>1</v>
      </c>
    </row>
    <row r="340" customFormat="false" ht="15" hidden="false" customHeight="false" outlineLevel="0" collapsed="false">
      <c r="A340" s="2" t="s">
        <v>366</v>
      </c>
      <c r="B340" s="2" t="s">
        <v>115</v>
      </c>
      <c r="C340" s="2" t="n">
        <v>1</v>
      </c>
      <c r="D340" s="2" t="n">
        <v>3</v>
      </c>
      <c r="E340" s="2" t="n">
        <v>1</v>
      </c>
      <c r="F340" s="2" t="n">
        <v>10</v>
      </c>
      <c r="G340" s="7" t="n">
        <f aca="false">E340*Load_Model_Assumptions!$B$6+F340*Load_Model_Assumptions!$B$5</f>
        <v>3.5729888678849</v>
      </c>
      <c r="H340" s="8" t="n">
        <f aca="false">IF(D340&gt;0,G340/D340,"")</f>
        <v>1.19099628929497</v>
      </c>
      <c r="I340" s="9" t="n">
        <f aca="false">IF(G340&gt;0,F340*Load_Model_Assumptions!$B$5/G340,"")</f>
        <v>0.720122273822821</v>
      </c>
    </row>
    <row r="341" customFormat="false" ht="15" hidden="false" customHeight="false" outlineLevel="0" collapsed="false">
      <c r="A341" s="2" t="s">
        <v>367</v>
      </c>
      <c r="B341" s="2" t="s">
        <v>117</v>
      </c>
      <c r="C341" s="2" t="n">
        <v>1</v>
      </c>
      <c r="D341" s="2" t="n">
        <v>3</v>
      </c>
      <c r="E341" s="2" t="n">
        <v>0</v>
      </c>
      <c r="F341" s="2" t="n">
        <v>13</v>
      </c>
      <c r="G341" s="7" t="n">
        <f aca="false">E341*Load_Model_Assumptions!$B$6+F341*Load_Model_Assumptions!$B$5</f>
        <v>3.34488552825037</v>
      </c>
      <c r="H341" s="8" t="n">
        <f aca="false">IF(D341&gt;0,G341/D341,"")</f>
        <v>1.11496184275012</v>
      </c>
      <c r="I341" s="9" t="n">
        <f aca="false">IF(G341&gt;0,F341*Load_Model_Assumptions!$B$5/G341,"")</f>
        <v>1</v>
      </c>
    </row>
    <row r="342" customFormat="false" ht="15" hidden="false" customHeight="false" outlineLevel="0" collapsed="false">
      <c r="A342" s="2" t="s">
        <v>368</v>
      </c>
      <c r="B342" s="2" t="s">
        <v>115</v>
      </c>
      <c r="C342" s="2" t="n">
        <v>1</v>
      </c>
      <c r="D342" s="2" t="n">
        <v>6</v>
      </c>
      <c r="E342" s="2" t="n">
        <v>0</v>
      </c>
      <c r="F342" s="2" t="n">
        <v>12</v>
      </c>
      <c r="G342" s="7" t="n">
        <f aca="false">E342*Load_Model_Assumptions!$B$6+F342*Load_Model_Assumptions!$B$5</f>
        <v>3.08758664146188</v>
      </c>
      <c r="H342" s="8" t="n">
        <f aca="false">IF(D342&gt;0,G342/D342,"")</f>
        <v>0.51459777357698</v>
      </c>
      <c r="I342" s="9" t="n">
        <f aca="false">IF(G342&gt;0,F342*Load_Model_Assumptions!$B$5/G342,"")</f>
        <v>1</v>
      </c>
    </row>
    <row r="343" customFormat="false" ht="15" hidden="false" customHeight="false" outlineLevel="0" collapsed="false">
      <c r="A343" s="2" t="s">
        <v>369</v>
      </c>
      <c r="B343" s="2" t="s">
        <v>29</v>
      </c>
      <c r="C343" s="2" t="n">
        <v>1</v>
      </c>
      <c r="D343" s="2" t="n">
        <v>2</v>
      </c>
      <c r="E343" s="2" t="n">
        <v>0</v>
      </c>
      <c r="F343" s="2" t="n">
        <v>12</v>
      </c>
      <c r="G343" s="7" t="n">
        <f aca="false">E343*Load_Model_Assumptions!$B$6+F343*Load_Model_Assumptions!$B$5</f>
        <v>3.08758664146188</v>
      </c>
      <c r="H343" s="8" t="n">
        <f aca="false">IF(D343&gt;0,G343/D343,"")</f>
        <v>1.54379332073094</v>
      </c>
      <c r="I343" s="9" t="n">
        <f aca="false">IF(G343&gt;0,F343*Load_Model_Assumptions!$B$5/G343,"")</f>
        <v>1</v>
      </c>
    </row>
    <row r="344" customFormat="false" ht="15" hidden="false" customHeight="false" outlineLevel="0" collapsed="false">
      <c r="A344" s="2" t="s">
        <v>370</v>
      </c>
      <c r="B344" s="2" t="s">
        <v>115</v>
      </c>
      <c r="C344" s="2" t="n">
        <v>1</v>
      </c>
      <c r="D344" s="2" t="n">
        <v>2</v>
      </c>
      <c r="E344" s="2" t="n">
        <v>0</v>
      </c>
      <c r="F344" s="2" t="n">
        <v>11</v>
      </c>
      <c r="G344" s="7" t="n">
        <f aca="false">E344*Load_Model_Assumptions!$B$6+F344*Load_Model_Assumptions!$B$5</f>
        <v>2.83028775467339</v>
      </c>
      <c r="H344" s="8" t="n">
        <f aca="false">IF(D344&gt;0,G344/D344,"")</f>
        <v>1.41514387733669</v>
      </c>
      <c r="I344" s="9" t="n">
        <f aca="false">IF(G344&gt;0,F344*Load_Model_Assumptions!$B$5/G344,"")</f>
        <v>1</v>
      </c>
    </row>
    <row r="345" customFormat="false" ht="15" hidden="false" customHeight="false" outlineLevel="0" collapsed="false">
      <c r="A345" s="2" t="s">
        <v>371</v>
      </c>
      <c r="B345" s="2" t="s">
        <v>83</v>
      </c>
      <c r="C345" s="2" t="n">
        <v>1</v>
      </c>
      <c r="D345" s="2" t="n">
        <v>2</v>
      </c>
      <c r="E345" s="2" t="n">
        <v>1</v>
      </c>
      <c r="F345" s="2" t="n">
        <v>7</v>
      </c>
      <c r="G345" s="7" t="n">
        <f aca="false">E345*Load_Model_Assumptions!$B$6+F345*Load_Model_Assumptions!$B$5</f>
        <v>2.80109220751943</v>
      </c>
      <c r="H345" s="8" t="n">
        <f aca="false">IF(D345&gt;0,G345/D345,"")</f>
        <v>1.40054610375971</v>
      </c>
      <c r="I345" s="9" t="n">
        <f aca="false">IF(G345&gt;0,F345*Load_Model_Assumptions!$B$5/G345,"")</f>
        <v>0.642996400719856</v>
      </c>
    </row>
    <row r="346" customFormat="false" ht="15" hidden="false" customHeight="false" outlineLevel="0" collapsed="false">
      <c r="A346" s="2" t="s">
        <v>372</v>
      </c>
      <c r="B346" s="2" t="s">
        <v>115</v>
      </c>
      <c r="C346" s="2" t="n">
        <v>1</v>
      </c>
      <c r="D346" s="2" t="n">
        <v>3</v>
      </c>
      <c r="E346" s="2" t="n">
        <v>0</v>
      </c>
      <c r="F346" s="2" t="n">
        <v>9</v>
      </c>
      <c r="G346" s="7" t="n">
        <f aca="false">E346*Load_Model_Assumptions!$B$6+F346*Load_Model_Assumptions!$B$5</f>
        <v>2.31568998109641</v>
      </c>
      <c r="H346" s="8" t="n">
        <f aca="false">IF(D346&gt;0,G346/D346,"")</f>
        <v>0.771896660365469</v>
      </c>
      <c r="I346" s="9" t="n">
        <f aca="false">IF(G346&gt;0,F346*Load_Model_Assumptions!$B$5/G346,"")</f>
        <v>1</v>
      </c>
    </row>
    <row r="347" customFormat="false" ht="15" hidden="false" customHeight="false" outlineLevel="0" collapsed="false">
      <c r="A347" s="2" t="s">
        <v>373</v>
      </c>
      <c r="B347" s="2" t="s">
        <v>115</v>
      </c>
      <c r="C347" s="2" t="n">
        <v>1</v>
      </c>
      <c r="D347" s="2" t="n">
        <v>2</v>
      </c>
      <c r="E347" s="2" t="n">
        <v>1</v>
      </c>
      <c r="F347" s="2" t="n">
        <v>5</v>
      </c>
      <c r="G347" s="7" t="n">
        <f aca="false">E347*Load_Model_Assumptions!$B$6+F347*Load_Model_Assumptions!$B$5</f>
        <v>2.28649443394245</v>
      </c>
      <c r="H347" s="8" t="n">
        <f aca="false">IF(D347&gt;0,G347/D347,"")</f>
        <v>1.14324721697122</v>
      </c>
      <c r="I347" s="9" t="n">
        <f aca="false">IF(G347&gt;0,F347*Load_Model_Assumptions!$B$5/G347,"")</f>
        <v>0.562649274297263</v>
      </c>
    </row>
    <row r="348" customFormat="false" ht="15" hidden="false" customHeight="false" outlineLevel="0" collapsed="false">
      <c r="A348" s="2" t="s">
        <v>374</v>
      </c>
      <c r="B348" s="2" t="s">
        <v>115</v>
      </c>
      <c r="C348" s="2" t="n">
        <v>1</v>
      </c>
      <c r="D348" s="2" t="n">
        <v>3</v>
      </c>
      <c r="E348" s="2" t="n">
        <v>1</v>
      </c>
      <c r="F348" s="2" t="n">
        <v>5</v>
      </c>
      <c r="G348" s="7" t="n">
        <f aca="false">E348*Load_Model_Assumptions!$B$6+F348*Load_Model_Assumptions!$B$5</f>
        <v>2.28649443394245</v>
      </c>
      <c r="H348" s="8" t="n">
        <f aca="false">IF(D348&gt;0,G348/D348,"")</f>
        <v>0.76216481131415</v>
      </c>
      <c r="I348" s="9" t="n">
        <f aca="false">IF(G348&gt;0,F348*Load_Model_Assumptions!$B$5/G348,"")</f>
        <v>0.562649274297263</v>
      </c>
    </row>
    <row r="349" customFormat="false" ht="15" hidden="false" customHeight="false" outlineLevel="0" collapsed="false">
      <c r="A349" s="2" t="s">
        <v>375</v>
      </c>
      <c r="B349" s="2" t="s">
        <v>117</v>
      </c>
      <c r="C349" s="2" t="n">
        <v>1</v>
      </c>
      <c r="D349" s="2" t="n">
        <v>3</v>
      </c>
      <c r="E349" s="2" t="n">
        <v>1</v>
      </c>
      <c r="F349" s="2" t="n">
        <v>4</v>
      </c>
      <c r="G349" s="7" t="n">
        <f aca="false">E349*Load_Model_Assumptions!$B$6+F349*Load_Model_Assumptions!$B$5</f>
        <v>2.02919554715396</v>
      </c>
      <c r="H349" s="8" t="n">
        <f aca="false">IF(D349&gt;0,G349/D349,"")</f>
        <v>0.676398515717986</v>
      </c>
      <c r="I349" s="9" t="n">
        <f aca="false">IF(G349&gt;0,F349*Load_Model_Assumptions!$B$5/G349,"")</f>
        <v>0.507193872269951</v>
      </c>
    </row>
    <row r="350" customFormat="false" ht="15" hidden="false" customHeight="false" outlineLevel="0" collapsed="false">
      <c r="A350" s="2" t="s">
        <v>376</v>
      </c>
      <c r="B350" s="2" t="s">
        <v>83</v>
      </c>
      <c r="C350" s="2" t="n">
        <v>1</v>
      </c>
      <c r="D350" s="2" t="n">
        <v>1</v>
      </c>
      <c r="E350" s="2" t="n">
        <v>1</v>
      </c>
      <c r="F350" s="2" t="n">
        <v>3</v>
      </c>
      <c r="G350" s="7" t="n">
        <f aca="false">E350*Load_Model_Assumptions!$B$6+F350*Load_Model_Assumptions!$B$5</f>
        <v>1.77189666036547</v>
      </c>
      <c r="H350" s="8" t="n">
        <f aca="false">IF(D350&gt;0,G350/D350,"")</f>
        <v>1.77189666036547</v>
      </c>
      <c r="I350" s="9" t="n">
        <f aca="false">IF(G350&gt;0,F350*Load_Model_Assumptions!$B$5/G350,"")</f>
        <v>0.435633001422475</v>
      </c>
    </row>
    <row r="351" customFormat="false" ht="15" hidden="false" customHeight="false" outlineLevel="0" collapsed="false">
      <c r="A351" s="2" t="s">
        <v>377</v>
      </c>
      <c r="B351" s="2" t="s">
        <v>117</v>
      </c>
      <c r="C351" s="2" t="n">
        <v>1</v>
      </c>
      <c r="D351" s="2" t="n">
        <v>1</v>
      </c>
      <c r="E351" s="2" t="n">
        <v>1</v>
      </c>
      <c r="F351" s="2" t="n">
        <v>3</v>
      </c>
      <c r="G351" s="7" t="n">
        <f aca="false">E351*Load_Model_Assumptions!$B$6+F351*Load_Model_Assumptions!$B$5</f>
        <v>1.77189666036547</v>
      </c>
      <c r="H351" s="8" t="n">
        <f aca="false">IF(D351&gt;0,G351/D351,"")</f>
        <v>1.77189666036547</v>
      </c>
      <c r="I351" s="9" t="n">
        <f aca="false">IF(G351&gt;0,F351*Load_Model_Assumptions!$B$5/G351,"")</f>
        <v>0.435633001422475</v>
      </c>
    </row>
    <row r="352" customFormat="false" ht="15" hidden="false" customHeight="false" outlineLevel="0" collapsed="false">
      <c r="A352" s="2" t="s">
        <v>378</v>
      </c>
      <c r="B352" s="2" t="s">
        <v>83</v>
      </c>
      <c r="C352" s="2" t="n">
        <v>1</v>
      </c>
      <c r="D352" s="2" t="n">
        <v>1</v>
      </c>
      <c r="E352" s="2" t="n">
        <v>1</v>
      </c>
      <c r="F352" s="2" t="n">
        <v>3</v>
      </c>
      <c r="G352" s="7" t="n">
        <f aca="false">E352*Load_Model_Assumptions!$B$6+F352*Load_Model_Assumptions!$B$5</f>
        <v>1.77189666036547</v>
      </c>
      <c r="H352" s="8" t="n">
        <f aca="false">IF(D352&gt;0,G352/D352,"")</f>
        <v>1.77189666036547</v>
      </c>
      <c r="I352" s="9" t="n">
        <f aca="false">IF(G352&gt;0,F352*Load_Model_Assumptions!$B$5/G352,"")</f>
        <v>0.435633001422475</v>
      </c>
    </row>
    <row r="353" customFormat="false" ht="15" hidden="false" customHeight="false" outlineLevel="0" collapsed="false">
      <c r="A353" s="2" t="s">
        <v>379</v>
      </c>
      <c r="B353" s="2" t="s">
        <v>115</v>
      </c>
      <c r="C353" s="2" t="n">
        <v>1</v>
      </c>
      <c r="D353" s="2" t="n">
        <v>2</v>
      </c>
      <c r="E353" s="2" t="n">
        <v>0</v>
      </c>
      <c r="F353" s="2" t="n">
        <v>6</v>
      </c>
      <c r="G353" s="7" t="n">
        <f aca="false">E353*Load_Model_Assumptions!$B$6+F353*Load_Model_Assumptions!$B$5</f>
        <v>1.54379332073094</v>
      </c>
      <c r="H353" s="8" t="n">
        <f aca="false">IF(D353&gt;0,G353/D353,"")</f>
        <v>0.77189666036547</v>
      </c>
      <c r="I353" s="9" t="n">
        <f aca="false">IF(G353&gt;0,F353*Load_Model_Assumptions!$B$5/G353,"")</f>
        <v>1</v>
      </c>
    </row>
    <row r="354" customFormat="false" ht="15" hidden="false" customHeight="false" outlineLevel="0" collapsed="false">
      <c r="A354" s="2" t="s">
        <v>380</v>
      </c>
      <c r="B354" s="2" t="s">
        <v>117</v>
      </c>
      <c r="C354" s="2" t="n">
        <v>1</v>
      </c>
      <c r="D354" s="2" t="n">
        <v>2</v>
      </c>
      <c r="E354" s="2" t="n">
        <v>0</v>
      </c>
      <c r="F354" s="2" t="n">
        <v>6</v>
      </c>
      <c r="G354" s="7" t="n">
        <f aca="false">E354*Load_Model_Assumptions!$B$6+F354*Load_Model_Assumptions!$B$5</f>
        <v>1.54379332073094</v>
      </c>
      <c r="H354" s="8" t="n">
        <f aca="false">IF(D354&gt;0,G354/D354,"")</f>
        <v>0.77189666036547</v>
      </c>
      <c r="I354" s="9" t="n">
        <f aca="false">IF(G354&gt;0,F354*Load_Model_Assumptions!$B$5/G354,"")</f>
        <v>1</v>
      </c>
    </row>
    <row r="355" customFormat="false" ht="15" hidden="false" customHeight="false" outlineLevel="0" collapsed="false">
      <c r="A355" s="2" t="s">
        <v>381</v>
      </c>
      <c r="B355" s="2" t="s">
        <v>117</v>
      </c>
      <c r="C355" s="2" t="n">
        <v>2</v>
      </c>
      <c r="D355" s="2" t="n">
        <v>2</v>
      </c>
      <c r="E355" s="2" t="n">
        <v>0</v>
      </c>
      <c r="F355" s="2" t="n">
        <v>5</v>
      </c>
      <c r="G355" s="7" t="n">
        <f aca="false">E355*Load_Model_Assumptions!$B$6+F355*Load_Model_Assumptions!$B$5</f>
        <v>1.28649443394245</v>
      </c>
      <c r="H355" s="8" t="n">
        <f aca="false">IF(D355&gt;0,G355/D355,"")</f>
        <v>0.643247216971225</v>
      </c>
      <c r="I355" s="9" t="n">
        <f aca="false">IF(G355&gt;0,F355*Load_Model_Assumptions!$B$5/G355,"")</f>
        <v>1</v>
      </c>
    </row>
    <row r="356" customFormat="false" ht="15" hidden="false" customHeight="false" outlineLevel="0" collapsed="false">
      <c r="A356" s="2" t="s">
        <v>382</v>
      </c>
      <c r="B356" s="2" t="s">
        <v>83</v>
      </c>
      <c r="C356" s="2" t="n">
        <v>1</v>
      </c>
      <c r="D356" s="2" t="n">
        <v>1</v>
      </c>
      <c r="E356" s="2" t="n">
        <v>0</v>
      </c>
      <c r="F356" s="2" t="n">
        <v>5</v>
      </c>
      <c r="G356" s="7" t="n">
        <f aca="false">E356*Load_Model_Assumptions!$B$6+F356*Load_Model_Assumptions!$B$5</f>
        <v>1.28649443394245</v>
      </c>
      <c r="H356" s="8" t="n">
        <f aca="false">IF(D356&gt;0,G356/D356,"")</f>
        <v>1.28649443394245</v>
      </c>
      <c r="I356" s="9" t="n">
        <f aca="false">IF(G356&gt;0,F356*Load_Model_Assumptions!$B$5/G356,"")</f>
        <v>1</v>
      </c>
    </row>
    <row r="357" customFormat="false" ht="15" hidden="false" customHeight="false" outlineLevel="0" collapsed="false">
      <c r="A357" s="2" t="s">
        <v>383</v>
      </c>
      <c r="B357" s="2" t="s">
        <v>83</v>
      </c>
      <c r="C357" s="2" t="n">
        <v>1</v>
      </c>
      <c r="D357" s="2" t="n">
        <v>1</v>
      </c>
      <c r="E357" s="2" t="n">
        <v>0</v>
      </c>
      <c r="F357" s="2" t="n">
        <v>5</v>
      </c>
      <c r="G357" s="7" t="n">
        <f aca="false">E357*Load_Model_Assumptions!$B$6+F357*Load_Model_Assumptions!$B$5</f>
        <v>1.28649443394245</v>
      </c>
      <c r="H357" s="8" t="n">
        <f aca="false">IF(D357&gt;0,G357/D357,"")</f>
        <v>1.28649443394245</v>
      </c>
      <c r="I357" s="9" t="n">
        <f aca="false">IF(G357&gt;0,F357*Load_Model_Assumptions!$B$5/G357,"")</f>
        <v>1</v>
      </c>
    </row>
    <row r="358" customFormat="false" ht="15" hidden="false" customHeight="false" outlineLevel="0" collapsed="false">
      <c r="A358" s="2" t="s">
        <v>384</v>
      </c>
      <c r="B358" s="2" t="s">
        <v>83</v>
      </c>
      <c r="C358" s="2" t="n">
        <v>1</v>
      </c>
      <c r="D358" s="2" t="n">
        <v>1</v>
      </c>
      <c r="E358" s="2" t="n">
        <v>0</v>
      </c>
      <c r="F358" s="2" t="n">
        <v>5</v>
      </c>
      <c r="G358" s="7" t="n">
        <f aca="false">E358*Load_Model_Assumptions!$B$6+F358*Load_Model_Assumptions!$B$5</f>
        <v>1.28649443394245</v>
      </c>
      <c r="H358" s="8" t="n">
        <f aca="false">IF(D358&gt;0,G358/D358,"")</f>
        <v>1.28649443394245</v>
      </c>
      <c r="I358" s="9" t="n">
        <f aca="false">IF(G358&gt;0,F358*Load_Model_Assumptions!$B$5/G358,"")</f>
        <v>1</v>
      </c>
    </row>
    <row r="359" customFormat="false" ht="15" hidden="false" customHeight="false" outlineLevel="0" collapsed="false">
      <c r="A359" s="2" t="s">
        <v>385</v>
      </c>
      <c r="B359" s="2" t="s">
        <v>83</v>
      </c>
      <c r="C359" s="2" t="n">
        <v>1</v>
      </c>
      <c r="D359" s="2" t="n">
        <v>2</v>
      </c>
      <c r="E359" s="2" t="n">
        <v>0</v>
      </c>
      <c r="F359" s="2" t="n">
        <v>4</v>
      </c>
      <c r="G359" s="7" t="n">
        <f aca="false">E359*Load_Model_Assumptions!$B$6+F359*Load_Model_Assumptions!$B$5</f>
        <v>1.02919554715396</v>
      </c>
      <c r="H359" s="8" t="n">
        <f aca="false">IF(D359&gt;0,G359/D359,"")</f>
        <v>0.51459777357698</v>
      </c>
      <c r="I359" s="9" t="n">
        <f aca="false">IF(G359&gt;0,F359*Load_Model_Assumptions!$B$5/G359,"")</f>
        <v>1</v>
      </c>
    </row>
    <row r="360" customFormat="false" ht="15" hidden="false" customHeight="false" outlineLevel="0" collapsed="false">
      <c r="A360" s="2" t="s">
        <v>386</v>
      </c>
      <c r="B360" s="2" t="s">
        <v>117</v>
      </c>
      <c r="C360" s="2" t="n">
        <v>1</v>
      </c>
      <c r="D360" s="2" t="n">
        <v>2</v>
      </c>
      <c r="E360" s="2" t="n">
        <v>0</v>
      </c>
      <c r="F360" s="2" t="n">
        <v>4</v>
      </c>
      <c r="G360" s="7" t="n">
        <f aca="false">E360*Load_Model_Assumptions!$B$6+F360*Load_Model_Assumptions!$B$5</f>
        <v>1.02919554715396</v>
      </c>
      <c r="H360" s="8" t="n">
        <f aca="false">IF(D360&gt;0,G360/D360,"")</f>
        <v>0.51459777357698</v>
      </c>
      <c r="I360" s="9" t="n">
        <f aca="false">IF(G360&gt;0,F360*Load_Model_Assumptions!$B$5/G360,"")</f>
        <v>1</v>
      </c>
    </row>
    <row r="361" customFormat="false" ht="15" hidden="false" customHeight="false" outlineLevel="0" collapsed="false">
      <c r="A361" s="2" t="s">
        <v>387</v>
      </c>
      <c r="B361" s="2" t="s">
        <v>115</v>
      </c>
      <c r="C361" s="2" t="n">
        <v>1</v>
      </c>
      <c r="D361" s="2" t="n">
        <v>2</v>
      </c>
      <c r="E361" s="2" t="n">
        <v>0</v>
      </c>
      <c r="F361" s="2" t="n">
        <v>4</v>
      </c>
      <c r="G361" s="7" t="n">
        <f aca="false">E361*Load_Model_Assumptions!$B$6+F361*Load_Model_Assumptions!$B$5</f>
        <v>1.02919554715396</v>
      </c>
      <c r="H361" s="8" t="n">
        <f aca="false">IF(D361&gt;0,G361/D361,"")</f>
        <v>0.51459777357698</v>
      </c>
      <c r="I361" s="9" t="n">
        <f aca="false">IF(G361&gt;0,F361*Load_Model_Assumptions!$B$5/G361,"")</f>
        <v>1</v>
      </c>
    </row>
    <row r="362" customFormat="false" ht="15" hidden="false" customHeight="false" outlineLevel="0" collapsed="false">
      <c r="A362" s="2" t="s">
        <v>388</v>
      </c>
      <c r="B362" s="2" t="s">
        <v>117</v>
      </c>
      <c r="C362" s="2" t="n">
        <v>1</v>
      </c>
      <c r="D362" s="2" t="n">
        <v>2</v>
      </c>
      <c r="E362" s="2" t="n">
        <v>0</v>
      </c>
      <c r="F362" s="2" t="n">
        <v>4</v>
      </c>
      <c r="G362" s="7" t="n">
        <f aca="false">E362*Load_Model_Assumptions!$B$6+F362*Load_Model_Assumptions!$B$5</f>
        <v>1.02919554715396</v>
      </c>
      <c r="H362" s="8" t="n">
        <f aca="false">IF(D362&gt;0,G362/D362,"")</f>
        <v>0.51459777357698</v>
      </c>
      <c r="I362" s="9" t="n">
        <f aca="false">IF(G362&gt;0,F362*Load_Model_Assumptions!$B$5/G362,"")</f>
        <v>1</v>
      </c>
    </row>
    <row r="363" customFormat="false" ht="15" hidden="false" customHeight="false" outlineLevel="0" collapsed="false">
      <c r="A363" s="2" t="s">
        <v>389</v>
      </c>
      <c r="B363" s="2" t="s">
        <v>83</v>
      </c>
      <c r="C363" s="2" t="n">
        <v>1</v>
      </c>
      <c r="D363" s="2" t="n">
        <v>2</v>
      </c>
      <c r="E363" s="2" t="n">
        <v>0</v>
      </c>
      <c r="F363" s="2" t="n">
        <v>3</v>
      </c>
      <c r="G363" s="7" t="n">
        <f aca="false">E363*Load_Model_Assumptions!$B$6+F363*Load_Model_Assumptions!$B$5</f>
        <v>0.77189666036547</v>
      </c>
      <c r="H363" s="8" t="n">
        <f aca="false">IF(D363&gt;0,G363/D363,"")</f>
        <v>0.385948330182735</v>
      </c>
      <c r="I363" s="9" t="n">
        <f aca="false">IF(G363&gt;0,F363*Load_Model_Assumptions!$B$5/G363,"")</f>
        <v>1</v>
      </c>
    </row>
    <row r="364" customFormat="false" ht="15" hidden="false" customHeight="false" outlineLevel="0" collapsed="false">
      <c r="A364" s="2" t="s">
        <v>390</v>
      </c>
      <c r="B364" s="2" t="s">
        <v>29</v>
      </c>
      <c r="C364" s="2" t="n">
        <v>1</v>
      </c>
      <c r="D364" s="2" t="n">
        <v>2</v>
      </c>
      <c r="E364" s="2" t="n">
        <v>0</v>
      </c>
      <c r="F364" s="2" t="n">
        <v>2</v>
      </c>
      <c r="G364" s="7" t="n">
        <f aca="false">E364*Load_Model_Assumptions!$B$6+F364*Load_Model_Assumptions!$B$5</f>
        <v>0.51459777357698</v>
      </c>
      <c r="H364" s="8" t="n">
        <f aca="false">IF(D364&gt;0,G364/D364,"")</f>
        <v>0.25729888678849</v>
      </c>
      <c r="I364" s="9" t="n">
        <f aca="false">IF(G364&gt;0,F364*Load_Model_Assumptions!$B$5/G364,"")</f>
        <v>1</v>
      </c>
    </row>
    <row r="365" customFormat="false" ht="15" hidden="false" customHeight="false" outlineLevel="0" collapsed="false">
      <c r="A365" s="2" t="s">
        <v>391</v>
      </c>
      <c r="B365" s="2" t="s">
        <v>115</v>
      </c>
      <c r="C365" s="2" t="n">
        <v>1</v>
      </c>
      <c r="D365" s="2" t="n">
        <v>4</v>
      </c>
      <c r="E365" s="2" t="n">
        <v>0</v>
      </c>
      <c r="F365" s="2" t="n">
        <v>2</v>
      </c>
      <c r="G365" s="7" t="n">
        <f aca="false">E365*Load_Model_Assumptions!$B$6+F365*Load_Model_Assumptions!$B$5</f>
        <v>0.51459777357698</v>
      </c>
      <c r="H365" s="8" t="n">
        <f aca="false">IF(D365&gt;0,G365/D365,"")</f>
        <v>0.128649443394245</v>
      </c>
      <c r="I365" s="9" t="n">
        <f aca="false">IF(G365&gt;0,F365*Load_Model_Assumptions!$B$5/G365,"")</f>
        <v>1</v>
      </c>
    </row>
    <row r="366" customFormat="false" ht="15" hidden="false" customHeight="false" outlineLevel="0" collapsed="false">
      <c r="A366" s="2" t="s">
        <v>392</v>
      </c>
      <c r="B366" s="2" t="s">
        <v>83</v>
      </c>
      <c r="C366" s="2" t="n">
        <v>1</v>
      </c>
      <c r="D366" s="2" t="n">
        <v>1</v>
      </c>
      <c r="E366" s="2" t="n">
        <v>0</v>
      </c>
      <c r="F366" s="2" t="n">
        <v>2</v>
      </c>
      <c r="G366" s="7" t="n">
        <f aca="false">E366*Load_Model_Assumptions!$B$6+F366*Load_Model_Assumptions!$B$5</f>
        <v>0.51459777357698</v>
      </c>
      <c r="H366" s="8" t="n">
        <f aca="false">IF(D366&gt;0,G366/D366,"")</f>
        <v>0.51459777357698</v>
      </c>
      <c r="I366" s="9" t="n">
        <f aca="false">IF(G366&gt;0,F366*Load_Model_Assumptions!$B$5/G366,"")</f>
        <v>1</v>
      </c>
    </row>
    <row r="367" customFormat="false" ht="15" hidden="false" customHeight="false" outlineLevel="0" collapsed="false">
      <c r="A367" s="2" t="s">
        <v>393</v>
      </c>
      <c r="B367" s="2" t="s">
        <v>115</v>
      </c>
      <c r="C367" s="2" t="n">
        <v>1</v>
      </c>
      <c r="D367" s="2" t="n">
        <v>1</v>
      </c>
      <c r="E367" s="2" t="n">
        <v>0</v>
      </c>
      <c r="F367" s="2" t="n">
        <v>1</v>
      </c>
      <c r="G367" s="7" t="n">
        <f aca="false">E367*Load_Model_Assumptions!$B$6+F367*Load_Model_Assumptions!$B$5</f>
        <v>0.25729888678849</v>
      </c>
      <c r="H367" s="8" t="n">
        <f aca="false">IF(D367&gt;0,G367/D367,"")</f>
        <v>0.25729888678849</v>
      </c>
      <c r="I367" s="9" t="n">
        <f aca="false">IF(G367&gt;0,F367*Load_Model_Assumptions!$B$5/G367,"")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11" min="5" style="0" width="8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5" min="14" style="0" width="10"/>
  </cols>
  <sheetData>
    <row r="1" customFormat="false" ht="52.2" hidden="false" customHeight="false" outlineLevel="0" collapsed="false">
      <c r="A1" s="10" t="s">
        <v>394</v>
      </c>
      <c r="B1" s="10" t="s">
        <v>14</v>
      </c>
      <c r="C1" s="10" t="s">
        <v>395</v>
      </c>
      <c r="D1" s="10" t="s">
        <v>15</v>
      </c>
      <c r="E1" s="10" t="s">
        <v>396</v>
      </c>
      <c r="F1" s="10" t="s">
        <v>18</v>
      </c>
      <c r="G1" s="10" t="s">
        <v>397</v>
      </c>
      <c r="H1" s="10" t="s">
        <v>398</v>
      </c>
      <c r="I1" s="10" t="s">
        <v>399</v>
      </c>
      <c r="J1" s="10" t="s">
        <v>19</v>
      </c>
      <c r="K1" s="10" t="s">
        <v>400</v>
      </c>
      <c r="L1" s="10" t="s">
        <v>401</v>
      </c>
      <c r="M1" s="10" t="s">
        <v>402</v>
      </c>
      <c r="N1" s="10" t="s">
        <v>403</v>
      </c>
      <c r="O1" s="10" t="s">
        <v>404</v>
      </c>
    </row>
    <row r="2" customFormat="false" ht="15" hidden="false" customHeight="false" outlineLevel="0" collapsed="false">
      <c r="A2" s="2" t="n">
        <v>2019</v>
      </c>
      <c r="B2" s="2" t="s">
        <v>349</v>
      </c>
      <c r="C2" s="2" t="s">
        <v>405</v>
      </c>
      <c r="D2" s="2" t="s">
        <v>29</v>
      </c>
      <c r="E2" s="2" t="n">
        <v>10</v>
      </c>
      <c r="F2" s="2" t="n">
        <v>35</v>
      </c>
      <c r="G2" s="2" t="n">
        <v>20</v>
      </c>
      <c r="H2" s="2" t="n">
        <v>10</v>
      </c>
      <c r="I2" s="2" t="n">
        <v>1</v>
      </c>
      <c r="J2" s="2" t="n">
        <v>0</v>
      </c>
      <c r="K2" s="2" t="n">
        <v>0</v>
      </c>
      <c r="L2" s="11" t="b">
        <f aca="false">FALSE()</f>
        <v>0</v>
      </c>
      <c r="M2" s="2" t="s">
        <v>406</v>
      </c>
      <c r="N2" s="2" t="n">
        <f aca="false">IF(E2&gt;0,F2/E2,"")</f>
        <v>3.5</v>
      </c>
      <c r="O2" s="2" t="str">
        <f aca="false">IF(AND(E2&gt;0,L2),J2/E2,"")</f>
        <v/>
      </c>
    </row>
    <row r="3" customFormat="false" ht="15" hidden="false" customHeight="false" outlineLevel="0" collapsed="false">
      <c r="A3" s="2" t="n">
        <v>2019</v>
      </c>
      <c r="B3" s="2" t="s">
        <v>407</v>
      </c>
      <c r="C3" s="2" t="s">
        <v>408</v>
      </c>
      <c r="D3" s="2" t="s">
        <v>409</v>
      </c>
      <c r="E3" s="2" t="n">
        <v>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11" t="b">
        <f aca="false">FALSE()</f>
        <v>0</v>
      </c>
      <c r="M3" s="2" t="s">
        <v>410</v>
      </c>
      <c r="N3" s="2" t="n">
        <f aca="false">IF(E3&gt;0,F3/E3,"")</f>
        <v>0</v>
      </c>
      <c r="O3" s="2" t="str">
        <f aca="false">IF(AND(E3&gt;0,L3),J3/E3,"")</f>
        <v/>
      </c>
    </row>
    <row r="4" customFormat="false" ht="15" hidden="false" customHeight="false" outlineLevel="0" collapsed="false">
      <c r="A4" s="2" t="n">
        <v>2019</v>
      </c>
      <c r="B4" s="2" t="s">
        <v>292</v>
      </c>
      <c r="C4" s="2" t="s">
        <v>408</v>
      </c>
      <c r="D4" s="2" t="s">
        <v>29</v>
      </c>
      <c r="E4" s="2" t="n">
        <v>10</v>
      </c>
      <c r="F4" s="2" t="n">
        <v>3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0</v>
      </c>
      <c r="L4" s="11" t="b">
        <f aca="false">FALSE()</f>
        <v>0</v>
      </c>
      <c r="M4" s="2" t="s">
        <v>406</v>
      </c>
      <c r="N4" s="2" t="n">
        <f aca="false">IF(E4&gt;0,F4/E4,"")</f>
        <v>0.3</v>
      </c>
      <c r="O4" s="2" t="str">
        <f aca="false">IF(AND(E4&gt;0,L4),J4/E4,"")</f>
        <v/>
      </c>
    </row>
    <row r="5" customFormat="false" ht="15" hidden="false" customHeight="false" outlineLevel="0" collapsed="false">
      <c r="A5" s="2" t="n">
        <v>2019</v>
      </c>
      <c r="B5" s="2" t="s">
        <v>52</v>
      </c>
      <c r="C5" s="2" t="s">
        <v>408</v>
      </c>
      <c r="D5" s="2" t="s">
        <v>29</v>
      </c>
      <c r="E5" s="2" t="n">
        <v>9</v>
      </c>
      <c r="F5" s="2" t="n">
        <v>14</v>
      </c>
      <c r="G5" s="2" t="n">
        <v>6</v>
      </c>
      <c r="H5" s="2" t="n">
        <v>3</v>
      </c>
      <c r="I5" s="2" t="n">
        <v>7</v>
      </c>
      <c r="J5" s="2" t="n">
        <v>0</v>
      </c>
      <c r="K5" s="2" t="n">
        <v>0</v>
      </c>
      <c r="L5" s="11" t="b">
        <f aca="false">FALSE()</f>
        <v>0</v>
      </c>
      <c r="M5" s="2" t="s">
        <v>406</v>
      </c>
      <c r="N5" s="2" t="n">
        <f aca="false">IF(E5&gt;0,F5/E5,"")</f>
        <v>1.55555555555556</v>
      </c>
      <c r="O5" s="2" t="str">
        <f aca="false">IF(AND(E5&gt;0,L5),J5/E5,"")</f>
        <v/>
      </c>
    </row>
    <row r="6" customFormat="false" ht="15" hidden="false" customHeight="false" outlineLevel="0" collapsed="false">
      <c r="A6" s="2" t="n">
        <v>2019</v>
      </c>
      <c r="B6" s="2" t="s">
        <v>411</v>
      </c>
      <c r="C6" s="2" t="s">
        <v>412</v>
      </c>
      <c r="D6" s="2" t="s">
        <v>413</v>
      </c>
      <c r="E6" s="2" t="n">
        <v>10</v>
      </c>
      <c r="F6" s="2" t="n">
        <v>15</v>
      </c>
      <c r="G6" s="2" t="n">
        <v>4</v>
      </c>
      <c r="H6" s="2" t="n">
        <v>3</v>
      </c>
      <c r="I6" s="2" t="n">
        <v>3</v>
      </c>
      <c r="J6" s="2" t="n">
        <v>0</v>
      </c>
      <c r="K6" s="2" t="n">
        <v>0</v>
      </c>
      <c r="L6" s="11" t="b">
        <f aca="false">FALSE()</f>
        <v>0</v>
      </c>
      <c r="M6" s="2" t="s">
        <v>410</v>
      </c>
      <c r="N6" s="2" t="n">
        <f aca="false">IF(E6&gt;0,F6/E6,"")</f>
        <v>1.5</v>
      </c>
      <c r="O6" s="2" t="str">
        <f aca="false">IF(AND(E6&gt;0,L6),J6/E6,"")</f>
        <v/>
      </c>
    </row>
    <row r="7" customFormat="false" ht="15" hidden="false" customHeight="false" outlineLevel="0" collapsed="false">
      <c r="A7" s="2" t="n">
        <v>2019</v>
      </c>
      <c r="B7" s="2" t="s">
        <v>377</v>
      </c>
      <c r="C7" s="2" t="s">
        <v>414</v>
      </c>
      <c r="D7" s="2" t="s">
        <v>117</v>
      </c>
      <c r="E7" s="2" t="n">
        <v>4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11" t="b">
        <f aca="false">FALSE()</f>
        <v>0</v>
      </c>
      <c r="M7" s="2" t="s">
        <v>406</v>
      </c>
      <c r="N7" s="2" t="n">
        <f aca="false">IF(E7&gt;0,F7/E7,"")</f>
        <v>0</v>
      </c>
      <c r="O7" s="2" t="str">
        <f aca="false">IF(AND(E7&gt;0,L7),J7/E7,"")</f>
        <v/>
      </c>
    </row>
    <row r="8" customFormat="false" ht="15" hidden="false" customHeight="false" outlineLevel="0" collapsed="false">
      <c r="A8" s="2" t="n">
        <v>2019</v>
      </c>
      <c r="B8" s="2" t="s">
        <v>415</v>
      </c>
      <c r="C8" s="2" t="s">
        <v>405</v>
      </c>
      <c r="D8" s="2" t="s">
        <v>24</v>
      </c>
      <c r="E8" s="2" t="n">
        <v>2</v>
      </c>
      <c r="F8" s="2" t="n">
        <v>4</v>
      </c>
      <c r="G8" s="2" t="n">
        <v>3</v>
      </c>
      <c r="H8" s="2" t="n">
        <v>0</v>
      </c>
      <c r="I8" s="2" t="n">
        <v>1</v>
      </c>
      <c r="J8" s="2" t="n">
        <v>0</v>
      </c>
      <c r="K8" s="2" t="n">
        <v>0</v>
      </c>
      <c r="L8" s="11" t="b">
        <f aca="false">FALSE()</f>
        <v>0</v>
      </c>
      <c r="M8" s="2" t="s">
        <v>410</v>
      </c>
      <c r="N8" s="2" t="n">
        <f aca="false">IF(E8&gt;0,F8/E8,"")</f>
        <v>2</v>
      </c>
      <c r="O8" s="2" t="str">
        <f aca="false">IF(AND(E8&gt;0,L8),J8/E8,"")</f>
        <v/>
      </c>
    </row>
    <row r="9" customFormat="false" ht="15" hidden="false" customHeight="false" outlineLevel="0" collapsed="false">
      <c r="A9" s="2" t="n">
        <v>2019</v>
      </c>
      <c r="B9" s="2" t="s">
        <v>104</v>
      </c>
      <c r="C9" s="2" t="s">
        <v>405</v>
      </c>
      <c r="D9" s="2" t="s">
        <v>24</v>
      </c>
      <c r="E9" s="2" t="n">
        <v>4</v>
      </c>
      <c r="F9" s="2" t="n">
        <v>8</v>
      </c>
      <c r="G9" s="2" t="n">
        <v>7</v>
      </c>
      <c r="H9" s="2" t="n">
        <v>4</v>
      </c>
      <c r="I9" s="2" t="n">
        <v>0</v>
      </c>
      <c r="J9" s="2" t="n">
        <v>0</v>
      </c>
      <c r="K9" s="2" t="n">
        <v>0</v>
      </c>
      <c r="L9" s="11" t="b">
        <f aca="false">FALSE()</f>
        <v>0</v>
      </c>
      <c r="M9" s="2" t="s">
        <v>406</v>
      </c>
      <c r="N9" s="2" t="n">
        <f aca="false">IF(E9&gt;0,F9/E9,"")</f>
        <v>2</v>
      </c>
      <c r="O9" s="2" t="str">
        <f aca="false">IF(AND(E9&gt;0,L9),J9/E9,"")</f>
        <v/>
      </c>
    </row>
    <row r="10" customFormat="false" ht="15" hidden="false" customHeight="false" outlineLevel="0" collapsed="false">
      <c r="A10" s="2" t="n">
        <v>2019</v>
      </c>
      <c r="B10" s="2" t="s">
        <v>179</v>
      </c>
      <c r="C10" s="2" t="s">
        <v>414</v>
      </c>
      <c r="D10" s="2" t="s">
        <v>29</v>
      </c>
      <c r="E10" s="2" t="n">
        <v>9</v>
      </c>
      <c r="F10" s="2" t="n">
        <v>20</v>
      </c>
      <c r="G10" s="2" t="n">
        <v>13</v>
      </c>
      <c r="H10" s="2" t="n">
        <v>5</v>
      </c>
      <c r="I10" s="2" t="n">
        <v>2</v>
      </c>
      <c r="J10" s="2" t="n">
        <v>0</v>
      </c>
      <c r="K10" s="2" t="n">
        <v>0</v>
      </c>
      <c r="L10" s="11" t="b">
        <f aca="false">FALSE()</f>
        <v>0</v>
      </c>
      <c r="M10" s="2" t="s">
        <v>406</v>
      </c>
      <c r="N10" s="2" t="n">
        <f aca="false">IF(E10&gt;0,F10/E10,"")</f>
        <v>2.22222222222222</v>
      </c>
      <c r="O10" s="2" t="str">
        <f aca="false">IF(AND(E10&gt;0,L10),J10/E10,"")</f>
        <v/>
      </c>
    </row>
    <row r="11" customFormat="false" ht="15" hidden="false" customHeight="false" outlineLevel="0" collapsed="false">
      <c r="A11" s="2" t="n">
        <v>2019</v>
      </c>
      <c r="B11" s="2" t="s">
        <v>416</v>
      </c>
      <c r="C11" s="2" t="s">
        <v>414</v>
      </c>
      <c r="D11" s="2" t="s">
        <v>409</v>
      </c>
      <c r="E11" s="2" t="n">
        <v>10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11" t="b">
        <f aca="false">FALSE()</f>
        <v>0</v>
      </c>
      <c r="M11" s="2" t="s">
        <v>410</v>
      </c>
      <c r="N11" s="2" t="n">
        <f aca="false">IF(E11&gt;0,F11/E11,"")</f>
        <v>0</v>
      </c>
      <c r="O11" s="2" t="str">
        <f aca="false">IF(AND(E11&gt;0,L11),J11/E11,"")</f>
        <v/>
      </c>
    </row>
    <row r="12" customFormat="false" ht="15" hidden="false" customHeight="false" outlineLevel="0" collapsed="false">
      <c r="A12" s="2" t="n">
        <v>2019</v>
      </c>
      <c r="B12" s="2" t="s">
        <v>417</v>
      </c>
      <c r="C12" s="2" t="s">
        <v>418</v>
      </c>
      <c r="D12" s="2" t="s">
        <v>24</v>
      </c>
      <c r="E12" s="2" t="n">
        <v>2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11" t="b">
        <f aca="false">FALSE()</f>
        <v>0</v>
      </c>
      <c r="M12" s="2" t="s">
        <v>410</v>
      </c>
      <c r="N12" s="2" t="n">
        <f aca="false">IF(E12&gt;0,F12/E12,"")</f>
        <v>0.5</v>
      </c>
      <c r="O12" s="2" t="str">
        <f aca="false">IF(AND(E12&gt;0,L12),J12/E12,"")</f>
        <v/>
      </c>
    </row>
    <row r="13" customFormat="false" ht="15" hidden="false" customHeight="false" outlineLevel="0" collapsed="false">
      <c r="A13" s="2" t="n">
        <v>2019</v>
      </c>
      <c r="B13" s="2" t="s">
        <v>419</v>
      </c>
      <c r="C13" s="2" t="s">
        <v>420</v>
      </c>
      <c r="D13" s="2" t="s">
        <v>24</v>
      </c>
      <c r="E13" s="2" t="n">
        <v>2</v>
      </c>
      <c r="F13" s="2" t="n">
        <v>4</v>
      </c>
      <c r="G13" s="2" t="n">
        <v>2</v>
      </c>
      <c r="H13" s="2" t="n">
        <v>1</v>
      </c>
      <c r="I13" s="2" t="n">
        <v>2</v>
      </c>
      <c r="J13" s="2" t="n">
        <v>0</v>
      </c>
      <c r="K13" s="2" t="n">
        <v>0</v>
      </c>
      <c r="L13" s="11" t="b">
        <f aca="false">FALSE()</f>
        <v>0</v>
      </c>
      <c r="M13" s="2" t="s">
        <v>410</v>
      </c>
      <c r="N13" s="2" t="n">
        <f aca="false">IF(E13&gt;0,F13/E13,"")</f>
        <v>2</v>
      </c>
      <c r="O13" s="2" t="str">
        <f aca="false">IF(AND(E13&gt;0,L13),J13/E13,"")</f>
        <v/>
      </c>
    </row>
    <row r="14" customFormat="false" ht="15" hidden="false" customHeight="false" outlineLevel="0" collapsed="false">
      <c r="A14" s="2" t="n">
        <v>2019</v>
      </c>
      <c r="B14" s="2" t="s">
        <v>421</v>
      </c>
      <c r="C14" s="2" t="s">
        <v>412</v>
      </c>
      <c r="D14" s="2" t="s">
        <v>29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11" t="b">
        <f aca="false">FALSE()</f>
        <v>0</v>
      </c>
      <c r="M14" s="2" t="s">
        <v>410</v>
      </c>
      <c r="N14" s="2" t="n">
        <f aca="false">IF(E14&gt;0,F14/E14,"")</f>
        <v>0</v>
      </c>
      <c r="O14" s="2" t="str">
        <f aca="false">IF(AND(E14&gt;0,L14),J14/E14,"")</f>
        <v/>
      </c>
    </row>
    <row r="15" customFormat="false" ht="15" hidden="false" customHeight="false" outlineLevel="0" collapsed="false">
      <c r="A15" s="2" t="n">
        <v>2019</v>
      </c>
      <c r="B15" s="2" t="s">
        <v>201</v>
      </c>
      <c r="C15" s="2" t="s">
        <v>412</v>
      </c>
      <c r="D15" s="2" t="s">
        <v>24</v>
      </c>
      <c r="E15" s="2" t="n">
        <v>10</v>
      </c>
      <c r="F15" s="2" t="n">
        <v>81</v>
      </c>
      <c r="G15" s="2" t="n">
        <v>46</v>
      </c>
      <c r="H15" s="2" t="n">
        <v>21</v>
      </c>
      <c r="I15" s="2" t="n">
        <v>3</v>
      </c>
      <c r="J15" s="2" t="n">
        <v>0</v>
      </c>
      <c r="K15" s="2" t="n">
        <v>0</v>
      </c>
      <c r="L15" s="11" t="b">
        <f aca="false">FALSE()</f>
        <v>0</v>
      </c>
      <c r="M15" s="2" t="s">
        <v>406</v>
      </c>
      <c r="N15" s="2" t="n">
        <f aca="false">IF(E15&gt;0,F15/E15,"")</f>
        <v>8.1</v>
      </c>
      <c r="O15" s="2" t="str">
        <f aca="false">IF(AND(E15&gt;0,L15),J15/E15,"")</f>
        <v/>
      </c>
    </row>
    <row r="16" customFormat="false" ht="15" hidden="false" customHeight="false" outlineLevel="0" collapsed="false">
      <c r="A16" s="2" t="n">
        <v>2019</v>
      </c>
      <c r="B16" s="2" t="s">
        <v>422</v>
      </c>
      <c r="C16" s="2" t="s">
        <v>420</v>
      </c>
      <c r="D16" s="2" t="s">
        <v>29</v>
      </c>
      <c r="E16" s="2" t="n">
        <v>9</v>
      </c>
      <c r="F16" s="2" t="n">
        <v>23</v>
      </c>
      <c r="G16" s="2" t="n">
        <v>13</v>
      </c>
      <c r="H16" s="2" t="n">
        <v>8</v>
      </c>
      <c r="I16" s="2" t="n">
        <v>1</v>
      </c>
      <c r="J16" s="2" t="n">
        <v>0</v>
      </c>
      <c r="K16" s="2" t="n">
        <v>0</v>
      </c>
      <c r="L16" s="11" t="b">
        <f aca="false">FALSE()</f>
        <v>0</v>
      </c>
      <c r="M16" s="2" t="s">
        <v>406</v>
      </c>
      <c r="N16" s="2" t="n">
        <f aca="false">IF(E16&gt;0,F16/E16,"")</f>
        <v>2.55555555555556</v>
      </c>
      <c r="O16" s="2" t="str">
        <f aca="false">IF(AND(E16&gt;0,L16),J16/E16,"")</f>
        <v/>
      </c>
    </row>
    <row r="17" customFormat="false" ht="15" hidden="false" customHeight="false" outlineLevel="0" collapsed="false">
      <c r="A17" s="2" t="n">
        <v>2019</v>
      </c>
      <c r="B17" s="2" t="s">
        <v>423</v>
      </c>
      <c r="C17" s="2" t="s">
        <v>412</v>
      </c>
      <c r="D17" s="2" t="s">
        <v>29</v>
      </c>
      <c r="E17" s="2" t="n">
        <v>10</v>
      </c>
      <c r="F17" s="2" t="n">
        <v>64</v>
      </c>
      <c r="G17" s="2" t="n">
        <v>42</v>
      </c>
      <c r="H17" s="2" t="n">
        <v>16</v>
      </c>
      <c r="I17" s="2" t="n">
        <v>4</v>
      </c>
      <c r="J17" s="2" t="n">
        <v>0</v>
      </c>
      <c r="K17" s="2" t="n">
        <v>0</v>
      </c>
      <c r="L17" s="11" t="b">
        <f aca="false">FALSE()</f>
        <v>0</v>
      </c>
      <c r="M17" s="2" t="s">
        <v>406</v>
      </c>
      <c r="N17" s="2" t="n">
        <f aca="false">IF(E17&gt;0,F17/E17,"")</f>
        <v>6.4</v>
      </c>
      <c r="O17" s="2" t="str">
        <f aca="false">IF(AND(E17&gt;0,L17),J17/E17,"")</f>
        <v/>
      </c>
    </row>
    <row r="18" customFormat="false" ht="15" hidden="false" customHeight="false" outlineLevel="0" collapsed="false">
      <c r="A18" s="2" t="n">
        <v>2019</v>
      </c>
      <c r="B18" s="2" t="s">
        <v>62</v>
      </c>
      <c r="C18" s="2" t="s">
        <v>420</v>
      </c>
      <c r="D18" s="2" t="s">
        <v>24</v>
      </c>
      <c r="E18" s="2" t="n">
        <v>8</v>
      </c>
      <c r="F18" s="2" t="n">
        <v>39</v>
      </c>
      <c r="G18" s="2" t="n">
        <v>25</v>
      </c>
      <c r="H18" s="2" t="n">
        <v>17</v>
      </c>
      <c r="I18" s="2" t="n">
        <v>8</v>
      </c>
      <c r="J18" s="2" t="n">
        <v>0</v>
      </c>
      <c r="K18" s="2" t="n">
        <v>0</v>
      </c>
      <c r="L18" s="11" t="b">
        <f aca="false">FALSE()</f>
        <v>0</v>
      </c>
      <c r="M18" s="2" t="s">
        <v>406</v>
      </c>
      <c r="N18" s="2" t="n">
        <f aca="false">IF(E18&gt;0,F18/E18,"")</f>
        <v>4.875</v>
      </c>
      <c r="O18" s="2" t="str">
        <f aca="false">IF(AND(E18&gt;0,L18),J18/E18,"")</f>
        <v/>
      </c>
    </row>
    <row r="19" customFormat="false" ht="15" hidden="false" customHeight="false" outlineLevel="0" collapsed="false">
      <c r="A19" s="2" t="n">
        <v>2019</v>
      </c>
      <c r="B19" s="2" t="s">
        <v>226</v>
      </c>
      <c r="C19" s="2" t="s">
        <v>414</v>
      </c>
      <c r="D19" s="2" t="s">
        <v>24</v>
      </c>
      <c r="E19" s="2" t="n">
        <v>4</v>
      </c>
      <c r="F19" s="2" t="n">
        <v>12</v>
      </c>
      <c r="G19" s="2" t="n">
        <v>8</v>
      </c>
      <c r="H19" s="2" t="n">
        <v>3</v>
      </c>
      <c r="I19" s="2" t="n">
        <v>2</v>
      </c>
      <c r="J19" s="2" t="n">
        <v>0</v>
      </c>
      <c r="K19" s="2" t="n">
        <v>0</v>
      </c>
      <c r="L19" s="11" t="b">
        <f aca="false">FALSE()</f>
        <v>0</v>
      </c>
      <c r="M19" s="2" t="s">
        <v>406</v>
      </c>
      <c r="N19" s="2" t="n">
        <f aca="false">IF(E19&gt;0,F19/E19,"")</f>
        <v>3</v>
      </c>
      <c r="O19" s="2" t="str">
        <f aca="false">IF(AND(E19&gt;0,L19),J19/E19,"")</f>
        <v/>
      </c>
    </row>
    <row r="20" customFormat="false" ht="15" hidden="false" customHeight="false" outlineLevel="0" collapsed="false">
      <c r="A20" s="2" t="n">
        <v>2019</v>
      </c>
      <c r="B20" s="2" t="s">
        <v>55</v>
      </c>
      <c r="C20" s="2" t="s">
        <v>414</v>
      </c>
      <c r="D20" s="2" t="s">
        <v>29</v>
      </c>
      <c r="E20" s="2" t="n">
        <v>10</v>
      </c>
      <c r="F20" s="2" t="n">
        <v>65</v>
      </c>
      <c r="G20" s="2" t="n">
        <v>31</v>
      </c>
      <c r="H20" s="2" t="n">
        <v>15</v>
      </c>
      <c r="I20" s="2" t="n">
        <v>4</v>
      </c>
      <c r="J20" s="2" t="n">
        <v>0</v>
      </c>
      <c r="K20" s="2" t="n">
        <v>0</v>
      </c>
      <c r="L20" s="11" t="b">
        <f aca="false">FALSE()</f>
        <v>0</v>
      </c>
      <c r="M20" s="2" t="s">
        <v>406</v>
      </c>
      <c r="N20" s="2" t="n">
        <f aca="false">IF(E20&gt;0,F20/E20,"")</f>
        <v>6.5</v>
      </c>
      <c r="O20" s="2" t="str">
        <f aca="false">IF(AND(E20&gt;0,L20),J20/E20,"")</f>
        <v/>
      </c>
    </row>
    <row r="21" customFormat="false" ht="15" hidden="false" customHeight="false" outlineLevel="0" collapsed="false">
      <c r="A21" s="2" t="n">
        <v>2019</v>
      </c>
      <c r="B21" s="2" t="s">
        <v>424</v>
      </c>
      <c r="C21" s="2" t="s">
        <v>420</v>
      </c>
      <c r="D21" s="2" t="s">
        <v>409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11" t="b">
        <f aca="false">FALSE()</f>
        <v>0</v>
      </c>
      <c r="M21" s="2" t="s">
        <v>410</v>
      </c>
      <c r="N21" s="2" t="n">
        <f aca="false">IF(E21&gt;0,F21/E21,"")</f>
        <v>0</v>
      </c>
      <c r="O21" s="2" t="str">
        <f aca="false">IF(AND(E21&gt;0,L21),J21/E21,"")</f>
        <v/>
      </c>
    </row>
    <row r="22" customFormat="false" ht="15" hidden="false" customHeight="false" outlineLevel="0" collapsed="false">
      <c r="A22" s="2" t="n">
        <v>2019</v>
      </c>
      <c r="B22" s="2" t="s">
        <v>425</v>
      </c>
      <c r="C22" s="2" t="s">
        <v>420</v>
      </c>
      <c r="D22" s="2" t="s">
        <v>29</v>
      </c>
      <c r="E22" s="2" t="n">
        <v>10</v>
      </c>
      <c r="F22" s="2" t="n">
        <v>32</v>
      </c>
      <c r="G22" s="2" t="n">
        <v>18</v>
      </c>
      <c r="H22" s="2" t="n">
        <v>10</v>
      </c>
      <c r="I22" s="2" t="n">
        <v>3</v>
      </c>
      <c r="J22" s="2" t="n">
        <v>0</v>
      </c>
      <c r="K22" s="2" t="n">
        <v>0</v>
      </c>
      <c r="L22" s="11" t="b">
        <f aca="false">FALSE()</f>
        <v>0</v>
      </c>
      <c r="M22" s="2" t="s">
        <v>406</v>
      </c>
      <c r="N22" s="2" t="n">
        <f aca="false">IF(E22&gt;0,F22/E22,"")</f>
        <v>3.2</v>
      </c>
      <c r="O22" s="2" t="str">
        <f aca="false">IF(AND(E22&gt;0,L22),J22/E22,"")</f>
        <v/>
      </c>
    </row>
    <row r="23" customFormat="false" ht="15" hidden="false" customHeight="false" outlineLevel="0" collapsed="false">
      <c r="A23" s="2" t="n">
        <v>2019</v>
      </c>
      <c r="B23" s="2" t="s">
        <v>129</v>
      </c>
      <c r="C23" s="2" t="s">
        <v>412</v>
      </c>
      <c r="D23" s="2" t="s">
        <v>24</v>
      </c>
      <c r="E23" s="2" t="n">
        <v>8</v>
      </c>
      <c r="F23" s="2" t="n">
        <v>27</v>
      </c>
      <c r="G23" s="2" t="n">
        <v>17</v>
      </c>
      <c r="H23" s="2" t="n">
        <v>9</v>
      </c>
      <c r="I23" s="2" t="n">
        <v>5</v>
      </c>
      <c r="J23" s="2" t="n">
        <v>0</v>
      </c>
      <c r="K23" s="2" t="n">
        <v>0</v>
      </c>
      <c r="L23" s="11" t="b">
        <f aca="false">FALSE()</f>
        <v>0</v>
      </c>
      <c r="M23" s="2" t="s">
        <v>406</v>
      </c>
      <c r="N23" s="2" t="n">
        <f aca="false">IF(E23&gt;0,F23/E23,"")</f>
        <v>3.375</v>
      </c>
      <c r="O23" s="2" t="str">
        <f aca="false">IF(AND(E23&gt;0,L23),J23/E23,"")</f>
        <v/>
      </c>
    </row>
    <row r="24" customFormat="false" ht="15" hidden="false" customHeight="false" outlineLevel="0" collapsed="false">
      <c r="A24" s="2" t="n">
        <v>2019</v>
      </c>
      <c r="B24" s="2" t="s">
        <v>426</v>
      </c>
      <c r="C24" s="2" t="s">
        <v>420</v>
      </c>
      <c r="D24" s="2" t="s">
        <v>117</v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11" t="b">
        <f aca="false">FALSE()</f>
        <v>0</v>
      </c>
      <c r="M24" s="2" t="s">
        <v>410</v>
      </c>
      <c r="N24" s="2" t="n">
        <f aca="false">IF(E24&gt;0,F24/E24,"")</f>
        <v>0</v>
      </c>
      <c r="O24" s="2" t="str">
        <f aca="false">IF(AND(E24&gt;0,L24),J24/E24,"")</f>
        <v/>
      </c>
    </row>
    <row r="25" customFormat="false" ht="15" hidden="false" customHeight="false" outlineLevel="0" collapsed="false">
      <c r="A25" s="2" t="n">
        <v>2019</v>
      </c>
      <c r="B25" s="2" t="s">
        <v>427</v>
      </c>
      <c r="C25" s="2" t="s">
        <v>418</v>
      </c>
      <c r="D25" s="2"/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11" t="b">
        <f aca="false">FALSE()</f>
        <v>0</v>
      </c>
      <c r="M25" s="2" t="s">
        <v>410</v>
      </c>
      <c r="N25" s="2" t="str">
        <f aca="false">IF(E25&gt;0,F25/E25,"")</f>
        <v/>
      </c>
      <c r="O25" s="2" t="str">
        <f aca="false">IF(AND(E25&gt;0,L25),J25/E25,"")</f>
        <v/>
      </c>
    </row>
    <row r="26" customFormat="false" ht="15" hidden="false" customHeight="false" outlineLevel="0" collapsed="false">
      <c r="A26" s="2" t="n">
        <v>2019</v>
      </c>
      <c r="B26" s="2" t="s">
        <v>428</v>
      </c>
      <c r="C26" s="2" t="s">
        <v>412</v>
      </c>
      <c r="D26" s="2" t="s">
        <v>409</v>
      </c>
      <c r="E26" s="2" t="n">
        <v>10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11" t="b">
        <f aca="false">FALSE()</f>
        <v>0</v>
      </c>
      <c r="M26" s="2" t="s">
        <v>410</v>
      </c>
      <c r="N26" s="2" t="n">
        <f aca="false">IF(E26&gt;0,F26/E26,"")</f>
        <v>0</v>
      </c>
      <c r="O26" s="2" t="str">
        <f aca="false">IF(AND(E26&gt;0,L26),J26/E26,"")</f>
        <v/>
      </c>
    </row>
    <row r="27" customFormat="false" ht="15" hidden="false" customHeight="false" outlineLevel="0" collapsed="false">
      <c r="A27" s="2" t="n">
        <v>2019</v>
      </c>
      <c r="B27" s="2" t="s">
        <v>429</v>
      </c>
      <c r="C27" s="2" t="s">
        <v>408</v>
      </c>
      <c r="D27" s="2" t="s">
        <v>117</v>
      </c>
      <c r="E27" s="2" t="n">
        <v>3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11" t="b">
        <f aca="false">FALSE()</f>
        <v>0</v>
      </c>
      <c r="M27" s="2" t="s">
        <v>406</v>
      </c>
      <c r="N27" s="2" t="n">
        <f aca="false">IF(E27&gt;0,F27/E27,"")</f>
        <v>0</v>
      </c>
      <c r="O27" s="2" t="str">
        <f aca="false">IF(AND(E27&gt;0,L27),J27/E27,"")</f>
        <v/>
      </c>
    </row>
    <row r="28" customFormat="false" ht="15" hidden="false" customHeight="false" outlineLevel="0" collapsed="false">
      <c r="A28" s="2" t="n">
        <v>2019</v>
      </c>
      <c r="B28" s="2" t="s">
        <v>95</v>
      </c>
      <c r="C28" s="2" t="s">
        <v>412</v>
      </c>
      <c r="D28" s="2" t="s">
        <v>29</v>
      </c>
      <c r="E28" s="2" t="n">
        <v>4</v>
      </c>
      <c r="F28" s="2" t="n">
        <v>3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1" t="b">
        <f aca="false">FALSE()</f>
        <v>0</v>
      </c>
      <c r="M28" s="2" t="s">
        <v>406</v>
      </c>
      <c r="N28" s="2" t="n">
        <f aca="false">IF(E28&gt;0,F28/E28,"")</f>
        <v>0.75</v>
      </c>
      <c r="O28" s="2" t="str">
        <f aca="false">IF(AND(E28&gt;0,L28),J28/E28,"")</f>
        <v/>
      </c>
    </row>
    <row r="29" customFormat="false" ht="15" hidden="false" customHeight="false" outlineLevel="0" collapsed="false">
      <c r="A29" s="2" t="n">
        <v>2019</v>
      </c>
      <c r="B29" s="2" t="s">
        <v>430</v>
      </c>
      <c r="C29" s="2" t="s">
        <v>408</v>
      </c>
      <c r="D29" s="2" t="s">
        <v>117</v>
      </c>
      <c r="E29" s="2" t="n">
        <v>6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1" t="b">
        <f aca="false">FALSE()</f>
        <v>0</v>
      </c>
      <c r="M29" s="2" t="s">
        <v>406</v>
      </c>
      <c r="N29" s="2" t="n">
        <f aca="false">IF(E29&gt;0,F29/E29,"")</f>
        <v>0</v>
      </c>
      <c r="O29" s="2" t="str">
        <f aca="false">IF(AND(E29&gt;0,L29),J29/E29,"")</f>
        <v/>
      </c>
    </row>
    <row r="30" customFormat="false" ht="15" hidden="false" customHeight="false" outlineLevel="0" collapsed="false">
      <c r="A30" s="2" t="n">
        <v>2019</v>
      </c>
      <c r="B30" s="2" t="s">
        <v>229</v>
      </c>
      <c r="C30" s="2" t="s">
        <v>412</v>
      </c>
      <c r="D30" s="2" t="s">
        <v>29</v>
      </c>
      <c r="E30" s="2" t="n">
        <v>7</v>
      </c>
      <c r="F30" s="2" t="n">
        <v>17</v>
      </c>
      <c r="G30" s="2" t="n">
        <v>10</v>
      </c>
      <c r="H30" s="2" t="n">
        <v>5</v>
      </c>
      <c r="I30" s="2" t="n">
        <v>3</v>
      </c>
      <c r="J30" s="2" t="n">
        <v>0</v>
      </c>
      <c r="K30" s="2" t="n">
        <v>0</v>
      </c>
      <c r="L30" s="11" t="b">
        <f aca="false">FALSE()</f>
        <v>0</v>
      </c>
      <c r="M30" s="2" t="s">
        <v>406</v>
      </c>
      <c r="N30" s="2" t="n">
        <f aca="false">IF(E30&gt;0,F30/E30,"")</f>
        <v>2.42857142857143</v>
      </c>
      <c r="O30" s="2" t="str">
        <f aca="false">IF(AND(E30&gt;0,L30),J30/E30,"")</f>
        <v/>
      </c>
    </row>
    <row r="31" customFormat="false" ht="15" hidden="false" customHeight="false" outlineLevel="0" collapsed="false">
      <c r="A31" s="2" t="n">
        <v>2019</v>
      </c>
      <c r="B31" s="2" t="s">
        <v>431</v>
      </c>
      <c r="C31" s="2" t="s">
        <v>418</v>
      </c>
      <c r="D31" s="2" t="s">
        <v>29</v>
      </c>
      <c r="E31" s="2" t="n">
        <v>10</v>
      </c>
      <c r="F31" s="2" t="n">
        <v>46</v>
      </c>
      <c r="G31" s="2" t="n">
        <v>29</v>
      </c>
      <c r="H31" s="2" t="n">
        <v>17</v>
      </c>
      <c r="I31" s="2" t="n">
        <v>9</v>
      </c>
      <c r="J31" s="2" t="n">
        <v>0</v>
      </c>
      <c r="K31" s="2" t="n">
        <v>0</v>
      </c>
      <c r="L31" s="11" t="b">
        <f aca="false">FALSE()</f>
        <v>0</v>
      </c>
      <c r="M31" s="2" t="s">
        <v>406</v>
      </c>
      <c r="N31" s="2" t="n">
        <f aca="false">IF(E31&gt;0,F31/E31,"")</f>
        <v>4.6</v>
      </c>
      <c r="O31" s="2" t="str">
        <f aca="false">IF(AND(E31&gt;0,L31),J31/E31,"")</f>
        <v/>
      </c>
    </row>
    <row r="32" customFormat="false" ht="15" hidden="false" customHeight="false" outlineLevel="0" collapsed="false">
      <c r="A32" s="2" t="n">
        <v>2019</v>
      </c>
      <c r="B32" s="2" t="s">
        <v>295</v>
      </c>
      <c r="C32" s="2" t="s">
        <v>408</v>
      </c>
      <c r="D32" s="2" t="s">
        <v>24</v>
      </c>
      <c r="E32" s="2" t="n">
        <v>8</v>
      </c>
      <c r="F32" s="2" t="n">
        <v>28</v>
      </c>
      <c r="G32" s="2" t="n">
        <v>17</v>
      </c>
      <c r="H32" s="2" t="n">
        <v>8</v>
      </c>
      <c r="I32" s="2" t="n">
        <v>4</v>
      </c>
      <c r="J32" s="2" t="n">
        <v>0</v>
      </c>
      <c r="K32" s="2" t="n">
        <v>0</v>
      </c>
      <c r="L32" s="11" t="b">
        <f aca="false">FALSE()</f>
        <v>0</v>
      </c>
      <c r="M32" s="2" t="s">
        <v>406</v>
      </c>
      <c r="N32" s="2" t="n">
        <f aca="false">IF(E32&gt;0,F32/E32,"")</f>
        <v>3.5</v>
      </c>
      <c r="O32" s="2" t="str">
        <f aca="false">IF(AND(E32&gt;0,L32),J32/E32,"")</f>
        <v/>
      </c>
    </row>
    <row r="33" customFormat="false" ht="15" hidden="false" customHeight="false" outlineLevel="0" collapsed="false">
      <c r="A33" s="2" t="n">
        <v>2019</v>
      </c>
      <c r="B33" s="2" t="s">
        <v>432</v>
      </c>
      <c r="C33" s="2" t="s">
        <v>418</v>
      </c>
      <c r="D33" s="2" t="s">
        <v>29</v>
      </c>
      <c r="E33" s="2" t="n">
        <v>10</v>
      </c>
      <c r="F33" s="2" t="n">
        <v>35</v>
      </c>
      <c r="G33" s="2" t="n">
        <v>20</v>
      </c>
      <c r="H33" s="2" t="n">
        <v>8</v>
      </c>
      <c r="I33" s="2" t="n">
        <v>6</v>
      </c>
      <c r="J33" s="2" t="n">
        <v>0</v>
      </c>
      <c r="K33" s="2" t="n">
        <v>0</v>
      </c>
      <c r="L33" s="11" t="b">
        <f aca="false">FALSE()</f>
        <v>0</v>
      </c>
      <c r="M33" s="2" t="s">
        <v>406</v>
      </c>
      <c r="N33" s="2" t="n">
        <f aca="false">IF(E33&gt;0,F33/E33,"")</f>
        <v>3.5</v>
      </c>
      <c r="O33" s="2" t="str">
        <f aca="false">IF(AND(E33&gt;0,L33),J33/E33,"")</f>
        <v/>
      </c>
    </row>
    <row r="34" customFormat="false" ht="15" hidden="false" customHeight="false" outlineLevel="0" collapsed="false">
      <c r="A34" s="2" t="n">
        <v>2019</v>
      </c>
      <c r="B34" s="2" t="s">
        <v>346</v>
      </c>
      <c r="C34" s="2" t="s">
        <v>412</v>
      </c>
      <c r="D34" s="2" t="s">
        <v>29</v>
      </c>
      <c r="E34" s="2" t="n">
        <v>7</v>
      </c>
      <c r="F34" s="2" t="n">
        <v>1</v>
      </c>
      <c r="G34" s="2" t="n">
        <v>0</v>
      </c>
      <c r="H34" s="2" t="n">
        <v>0</v>
      </c>
      <c r="I34" s="2" t="n">
        <v>2</v>
      </c>
      <c r="J34" s="2" t="n">
        <v>0</v>
      </c>
      <c r="K34" s="2" t="n">
        <v>0</v>
      </c>
      <c r="L34" s="11" t="b">
        <f aca="false">FALSE()</f>
        <v>0</v>
      </c>
      <c r="M34" s="2" t="s">
        <v>406</v>
      </c>
      <c r="N34" s="2" t="n">
        <f aca="false">IF(E34&gt;0,F34/E34,"")</f>
        <v>0.142857142857143</v>
      </c>
      <c r="O34" s="2" t="str">
        <f aca="false">IF(AND(E34&gt;0,L34),J34/E34,"")</f>
        <v/>
      </c>
    </row>
    <row r="35" customFormat="false" ht="15" hidden="false" customHeight="false" outlineLevel="0" collapsed="false">
      <c r="A35" s="2" t="n">
        <v>2019</v>
      </c>
      <c r="B35" s="2" t="s">
        <v>58</v>
      </c>
      <c r="C35" s="2" t="s">
        <v>418</v>
      </c>
      <c r="D35" s="2" t="s">
        <v>29</v>
      </c>
      <c r="E35" s="2" t="n">
        <v>10</v>
      </c>
      <c r="F35" s="2" t="n">
        <v>24</v>
      </c>
      <c r="G35" s="2" t="n">
        <v>8</v>
      </c>
      <c r="H35" s="2" t="n">
        <v>4</v>
      </c>
      <c r="I35" s="2" t="n">
        <v>1</v>
      </c>
      <c r="J35" s="2" t="n">
        <v>0</v>
      </c>
      <c r="K35" s="2" t="n">
        <v>0</v>
      </c>
      <c r="L35" s="11" t="b">
        <f aca="false">FALSE()</f>
        <v>0</v>
      </c>
      <c r="M35" s="2" t="s">
        <v>406</v>
      </c>
      <c r="N35" s="2" t="n">
        <f aca="false">IF(E35&gt;0,F35/E35,"")</f>
        <v>2.4</v>
      </c>
      <c r="O35" s="2" t="str">
        <f aca="false">IF(AND(E35&gt;0,L35),J35/E35,"")</f>
        <v/>
      </c>
    </row>
    <row r="36" customFormat="false" ht="15" hidden="false" customHeight="false" outlineLevel="0" collapsed="false">
      <c r="A36" s="2" t="n">
        <v>2019</v>
      </c>
      <c r="B36" s="2" t="s">
        <v>43</v>
      </c>
      <c r="C36" s="2" t="s">
        <v>414</v>
      </c>
      <c r="D36" s="2" t="s">
        <v>24</v>
      </c>
      <c r="E36" s="2" t="n">
        <v>10</v>
      </c>
      <c r="F36" s="2" t="n">
        <v>61</v>
      </c>
      <c r="G36" s="2" t="n">
        <v>37</v>
      </c>
      <c r="H36" s="2" t="n">
        <v>19</v>
      </c>
      <c r="I36" s="2" t="n">
        <v>1</v>
      </c>
      <c r="J36" s="2" t="n">
        <v>0</v>
      </c>
      <c r="K36" s="2" t="n">
        <v>0</v>
      </c>
      <c r="L36" s="11" t="b">
        <f aca="false">FALSE()</f>
        <v>0</v>
      </c>
      <c r="M36" s="2" t="s">
        <v>406</v>
      </c>
      <c r="N36" s="2" t="n">
        <f aca="false">IF(E36&gt;0,F36/E36,"")</f>
        <v>6.1</v>
      </c>
      <c r="O36" s="2" t="str">
        <f aca="false">IF(AND(E36&gt;0,L36),J36/E36,"")</f>
        <v/>
      </c>
    </row>
    <row r="37" customFormat="false" ht="15" hidden="false" customHeight="false" outlineLevel="0" collapsed="false">
      <c r="A37" s="2" t="n">
        <v>2019</v>
      </c>
      <c r="B37" s="2" t="s">
        <v>142</v>
      </c>
      <c r="C37" s="2" t="s">
        <v>414</v>
      </c>
      <c r="D37" s="2" t="s">
        <v>117</v>
      </c>
      <c r="E37" s="2" t="n">
        <v>10</v>
      </c>
      <c r="F37" s="2" t="n">
        <v>1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11" t="b">
        <f aca="false">FALSE()</f>
        <v>0</v>
      </c>
      <c r="M37" s="2" t="s">
        <v>406</v>
      </c>
      <c r="N37" s="2" t="n">
        <f aca="false">IF(E37&gt;0,F37/E37,"")</f>
        <v>0.1</v>
      </c>
      <c r="O37" s="2" t="str">
        <f aca="false">IF(AND(E37&gt;0,L37),J37/E37,"")</f>
        <v/>
      </c>
    </row>
    <row r="38" customFormat="false" ht="15" hidden="false" customHeight="false" outlineLevel="0" collapsed="false">
      <c r="A38" s="2" t="n">
        <v>2019</v>
      </c>
      <c r="B38" s="2" t="s">
        <v>433</v>
      </c>
      <c r="C38" s="2" t="s">
        <v>405</v>
      </c>
      <c r="D38" s="2" t="s">
        <v>29</v>
      </c>
      <c r="E38" s="2" t="n">
        <v>5</v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1" t="b">
        <f aca="false">FALSE()</f>
        <v>0</v>
      </c>
      <c r="M38" s="2" t="s">
        <v>406</v>
      </c>
      <c r="N38" s="2" t="n">
        <f aca="false">IF(E38&gt;0,F38/E38,"")</f>
        <v>0.4</v>
      </c>
      <c r="O38" s="2" t="str">
        <f aca="false">IF(AND(E38&gt;0,L38),J38/E38,"")</f>
        <v/>
      </c>
    </row>
    <row r="39" customFormat="false" ht="15" hidden="false" customHeight="false" outlineLevel="0" collapsed="false">
      <c r="A39" s="2" t="n">
        <v>2019</v>
      </c>
      <c r="B39" s="2" t="s">
        <v>434</v>
      </c>
      <c r="C39" s="2" t="s">
        <v>418</v>
      </c>
      <c r="D39" s="2" t="s">
        <v>117</v>
      </c>
      <c r="E39" s="2" t="n">
        <v>2</v>
      </c>
      <c r="F39" s="2" t="n">
        <v>1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11" t="b">
        <f aca="false">FALSE()</f>
        <v>0</v>
      </c>
      <c r="M39" s="2" t="s">
        <v>410</v>
      </c>
      <c r="N39" s="2" t="n">
        <f aca="false">IF(E39&gt;0,F39/E39,"")</f>
        <v>0.5</v>
      </c>
      <c r="O39" s="2" t="str">
        <f aca="false">IF(AND(E39&gt;0,L39),J39/E39,"")</f>
        <v/>
      </c>
    </row>
    <row r="40" customFormat="false" ht="15" hidden="false" customHeight="false" outlineLevel="0" collapsed="false">
      <c r="A40" s="2" t="n">
        <v>2019</v>
      </c>
      <c r="B40" s="2" t="s">
        <v>304</v>
      </c>
      <c r="C40" s="2" t="s">
        <v>412</v>
      </c>
      <c r="D40" s="2" t="s">
        <v>117</v>
      </c>
      <c r="E40" s="2" t="n">
        <v>10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1" t="b">
        <f aca="false">FALSE()</f>
        <v>0</v>
      </c>
      <c r="M40" s="2" t="s">
        <v>406</v>
      </c>
      <c r="N40" s="2" t="n">
        <f aca="false">IF(E40&gt;0,F40/E40,"")</f>
        <v>0</v>
      </c>
      <c r="O40" s="2" t="str">
        <f aca="false">IF(AND(E40&gt;0,L40),J40/E40,"")</f>
        <v/>
      </c>
    </row>
    <row r="41" customFormat="false" ht="15" hidden="false" customHeight="false" outlineLevel="0" collapsed="false">
      <c r="A41" s="2" t="n">
        <v>2019</v>
      </c>
      <c r="B41" s="2" t="s">
        <v>178</v>
      </c>
      <c r="C41" s="2" t="s">
        <v>414</v>
      </c>
      <c r="D41" s="2" t="s">
        <v>115</v>
      </c>
      <c r="E41" s="2" t="n">
        <v>9</v>
      </c>
      <c r="F41" s="2" t="n">
        <v>20</v>
      </c>
      <c r="G41" s="2" t="n">
        <v>14</v>
      </c>
      <c r="H41" s="2" t="n">
        <v>5</v>
      </c>
      <c r="I41" s="2" t="n">
        <v>5</v>
      </c>
      <c r="J41" s="2" t="n">
        <v>0</v>
      </c>
      <c r="K41" s="2" t="n">
        <v>0</v>
      </c>
      <c r="L41" s="11" t="b">
        <f aca="false">FALSE()</f>
        <v>0</v>
      </c>
      <c r="M41" s="2" t="s">
        <v>406</v>
      </c>
      <c r="N41" s="2" t="n">
        <f aca="false">IF(E41&gt;0,F41/E41,"")</f>
        <v>2.22222222222222</v>
      </c>
      <c r="O41" s="2" t="str">
        <f aca="false">IF(AND(E41&gt;0,L41),J41/E41,"")</f>
        <v/>
      </c>
    </row>
    <row r="42" customFormat="false" ht="15" hidden="false" customHeight="false" outlineLevel="0" collapsed="false">
      <c r="A42" s="2" t="n">
        <v>2019</v>
      </c>
      <c r="B42" s="2" t="s">
        <v>435</v>
      </c>
      <c r="C42" s="2" t="s">
        <v>408</v>
      </c>
      <c r="D42" s="2" t="s">
        <v>29</v>
      </c>
      <c r="E42" s="2" t="n">
        <v>9</v>
      </c>
      <c r="F42" s="2" t="n">
        <v>19</v>
      </c>
      <c r="G42" s="2" t="n">
        <v>12</v>
      </c>
      <c r="H42" s="2" t="n">
        <v>5</v>
      </c>
      <c r="I42" s="2" t="n">
        <v>3</v>
      </c>
      <c r="J42" s="2" t="n">
        <v>0</v>
      </c>
      <c r="K42" s="2" t="n">
        <v>0</v>
      </c>
      <c r="L42" s="11" t="b">
        <f aca="false">FALSE()</f>
        <v>0</v>
      </c>
      <c r="M42" s="2" t="s">
        <v>406</v>
      </c>
      <c r="N42" s="2" t="n">
        <f aca="false">IF(E42&gt;0,F42/E42,"")</f>
        <v>2.11111111111111</v>
      </c>
      <c r="O42" s="2" t="str">
        <f aca="false">IF(AND(E42&gt;0,L42),J42/E42,"")</f>
        <v/>
      </c>
    </row>
    <row r="43" customFormat="false" ht="15" hidden="false" customHeight="false" outlineLevel="0" collapsed="false">
      <c r="A43" s="2" t="n">
        <v>2019</v>
      </c>
      <c r="B43" s="2" t="s">
        <v>436</v>
      </c>
      <c r="C43" s="2" t="s">
        <v>408</v>
      </c>
      <c r="D43" s="2" t="s">
        <v>24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1" t="b">
        <f aca="false">FALSE()</f>
        <v>0</v>
      </c>
      <c r="M43" s="2" t="s">
        <v>410</v>
      </c>
      <c r="N43" s="2" t="n">
        <f aca="false">IF(E43&gt;0,F43/E43,"")</f>
        <v>0</v>
      </c>
      <c r="O43" s="2" t="str">
        <f aca="false">IF(AND(E43&gt;0,L43),J43/E43,"")</f>
        <v/>
      </c>
    </row>
    <row r="44" customFormat="false" ht="15" hidden="false" customHeight="false" outlineLevel="0" collapsed="false">
      <c r="A44" s="2" t="n">
        <v>2019</v>
      </c>
      <c r="B44" s="2" t="s">
        <v>155</v>
      </c>
      <c r="C44" s="2" t="s">
        <v>405</v>
      </c>
      <c r="D44" s="2" t="s">
        <v>117</v>
      </c>
      <c r="E44" s="2" t="n">
        <v>10</v>
      </c>
      <c r="F44" s="2" t="n">
        <v>5</v>
      </c>
      <c r="G44" s="2" t="n">
        <v>3</v>
      </c>
      <c r="H44" s="2" t="n">
        <v>1</v>
      </c>
      <c r="I44" s="2" t="n">
        <v>0</v>
      </c>
      <c r="J44" s="2" t="n">
        <v>0</v>
      </c>
      <c r="K44" s="2" t="n">
        <v>0</v>
      </c>
      <c r="L44" s="11" t="b">
        <f aca="false">FALSE()</f>
        <v>0</v>
      </c>
      <c r="M44" s="2" t="s">
        <v>406</v>
      </c>
      <c r="N44" s="2" t="n">
        <f aca="false">IF(E44&gt;0,F44/E44,"")</f>
        <v>0.5</v>
      </c>
      <c r="O44" s="2" t="str">
        <f aca="false">IF(AND(E44&gt;0,L44),J44/E44,"")</f>
        <v/>
      </c>
    </row>
    <row r="45" customFormat="false" ht="15" hidden="false" customHeight="false" outlineLevel="0" collapsed="false">
      <c r="A45" s="2" t="n">
        <v>2019</v>
      </c>
      <c r="B45" s="2" t="s">
        <v>437</v>
      </c>
      <c r="C45" s="2" t="s">
        <v>418</v>
      </c>
      <c r="D45" s="2" t="s">
        <v>413</v>
      </c>
      <c r="E45" s="2" t="n">
        <v>10</v>
      </c>
      <c r="F45" s="2" t="n">
        <v>7</v>
      </c>
      <c r="G45" s="2" t="n">
        <v>3</v>
      </c>
      <c r="H45" s="2" t="n">
        <v>1</v>
      </c>
      <c r="I45" s="2" t="n">
        <v>1</v>
      </c>
      <c r="J45" s="2" t="n">
        <v>0</v>
      </c>
      <c r="K45" s="2" t="n">
        <v>0</v>
      </c>
      <c r="L45" s="11" t="b">
        <f aca="false">FALSE()</f>
        <v>0</v>
      </c>
      <c r="M45" s="2" t="s">
        <v>410</v>
      </c>
      <c r="N45" s="2" t="n">
        <f aca="false">IF(E45&gt;0,F45/E45,"")</f>
        <v>0.7</v>
      </c>
      <c r="O45" s="2" t="str">
        <f aca="false">IF(AND(E45&gt;0,L45),J45/E45,"")</f>
        <v/>
      </c>
    </row>
    <row r="46" customFormat="false" ht="15" hidden="false" customHeight="false" outlineLevel="0" collapsed="false">
      <c r="A46" s="2" t="n">
        <v>2019</v>
      </c>
      <c r="B46" s="2" t="s">
        <v>28</v>
      </c>
      <c r="C46" s="2" t="s">
        <v>420</v>
      </c>
      <c r="D46" s="2" t="s">
        <v>24</v>
      </c>
      <c r="E46" s="2" t="n">
        <v>10</v>
      </c>
      <c r="F46" s="2" t="n">
        <v>61</v>
      </c>
      <c r="G46" s="2" t="n">
        <v>49</v>
      </c>
      <c r="H46" s="2" t="n">
        <v>22</v>
      </c>
      <c r="I46" s="2" t="n">
        <v>11</v>
      </c>
      <c r="J46" s="2" t="n">
        <v>0</v>
      </c>
      <c r="K46" s="2" t="n">
        <v>0</v>
      </c>
      <c r="L46" s="11" t="b">
        <f aca="false">FALSE()</f>
        <v>0</v>
      </c>
      <c r="M46" s="2" t="s">
        <v>406</v>
      </c>
      <c r="N46" s="2" t="n">
        <f aca="false">IF(E46&gt;0,F46/E46,"")</f>
        <v>6.1</v>
      </c>
      <c r="O46" s="2" t="str">
        <f aca="false">IF(AND(E46&gt;0,L46),J46/E46,"")</f>
        <v/>
      </c>
    </row>
    <row r="47" customFormat="false" ht="15" hidden="false" customHeight="false" outlineLevel="0" collapsed="false">
      <c r="A47" s="2" t="n">
        <v>2019</v>
      </c>
      <c r="B47" s="2" t="s">
        <v>438</v>
      </c>
      <c r="C47" s="2" t="s">
        <v>418</v>
      </c>
      <c r="D47" s="2" t="s">
        <v>117</v>
      </c>
      <c r="E47" s="2" t="n">
        <v>6</v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1" t="b">
        <f aca="false">FALSE()</f>
        <v>0</v>
      </c>
      <c r="M47" s="2" t="s">
        <v>406</v>
      </c>
      <c r="N47" s="2" t="n">
        <f aca="false">IF(E47&gt;0,F47/E47,"")</f>
        <v>0.166666666666667</v>
      </c>
      <c r="O47" s="2" t="str">
        <f aca="false">IF(AND(E47&gt;0,L47),J47/E47,"")</f>
        <v/>
      </c>
    </row>
    <row r="48" customFormat="false" ht="15" hidden="false" customHeight="false" outlineLevel="0" collapsed="false">
      <c r="A48" s="2" t="n">
        <v>2019</v>
      </c>
      <c r="B48" s="2" t="s">
        <v>439</v>
      </c>
      <c r="C48" s="2" t="s">
        <v>418</v>
      </c>
      <c r="D48" s="2" t="s">
        <v>117</v>
      </c>
      <c r="E48" s="2" t="n">
        <v>5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1" t="b">
        <f aca="false">FALSE()</f>
        <v>0</v>
      </c>
      <c r="M48" s="2" t="s">
        <v>406</v>
      </c>
      <c r="N48" s="2" t="n">
        <f aca="false">IF(E48&gt;0,F48/E48,"")</f>
        <v>0</v>
      </c>
      <c r="O48" s="2" t="str">
        <f aca="false">IF(AND(E48&gt;0,L48),J48/E48,"")</f>
        <v/>
      </c>
    </row>
    <row r="49" customFormat="false" ht="15" hidden="false" customHeight="false" outlineLevel="0" collapsed="false">
      <c r="A49" s="2" t="n">
        <v>2019</v>
      </c>
      <c r="B49" s="2" t="s">
        <v>440</v>
      </c>
      <c r="C49" s="2" t="s">
        <v>408</v>
      </c>
      <c r="D49" s="2" t="s">
        <v>413</v>
      </c>
      <c r="E49" s="2" t="n">
        <v>5</v>
      </c>
      <c r="F49" s="2" t="n">
        <v>3</v>
      </c>
      <c r="G49" s="2" t="n">
        <v>2</v>
      </c>
      <c r="H49" s="2" t="n">
        <v>0</v>
      </c>
      <c r="I49" s="2" t="n">
        <v>0</v>
      </c>
      <c r="J49" s="2" t="n">
        <v>0</v>
      </c>
      <c r="K49" s="2" t="n">
        <v>0</v>
      </c>
      <c r="L49" s="11" t="b">
        <f aca="false">FALSE()</f>
        <v>0</v>
      </c>
      <c r="M49" s="2" t="s">
        <v>410</v>
      </c>
      <c r="N49" s="2" t="n">
        <f aca="false">IF(E49&gt;0,F49/E49,"")</f>
        <v>0.6</v>
      </c>
      <c r="O49" s="2" t="str">
        <f aca="false">IF(AND(E49&gt;0,L49),J49/E49,"")</f>
        <v/>
      </c>
    </row>
    <row r="50" customFormat="false" ht="15" hidden="false" customHeight="false" outlineLevel="0" collapsed="false">
      <c r="A50" s="2" t="n">
        <v>2019</v>
      </c>
      <c r="B50" s="2" t="s">
        <v>222</v>
      </c>
      <c r="C50" s="2" t="s">
        <v>420</v>
      </c>
      <c r="D50" s="2" t="s">
        <v>24</v>
      </c>
      <c r="E50" s="2" t="n">
        <v>10</v>
      </c>
      <c r="F50" s="2" t="n">
        <v>56</v>
      </c>
      <c r="G50" s="2" t="n">
        <v>35</v>
      </c>
      <c r="H50" s="2" t="n">
        <v>14</v>
      </c>
      <c r="I50" s="2" t="n">
        <v>10</v>
      </c>
      <c r="J50" s="2" t="n">
        <v>0</v>
      </c>
      <c r="K50" s="2" t="n">
        <v>0</v>
      </c>
      <c r="L50" s="11" t="b">
        <f aca="false">FALSE()</f>
        <v>0</v>
      </c>
      <c r="M50" s="2" t="s">
        <v>406</v>
      </c>
      <c r="N50" s="2" t="n">
        <f aca="false">IF(E50&gt;0,F50/E50,"")</f>
        <v>5.6</v>
      </c>
      <c r="O50" s="2" t="str">
        <f aca="false">IF(AND(E50&gt;0,L50),J50/E50,"")</f>
        <v/>
      </c>
    </row>
    <row r="51" customFormat="false" ht="15" hidden="false" customHeight="false" outlineLevel="0" collapsed="false">
      <c r="A51" s="2" t="n">
        <v>2019</v>
      </c>
      <c r="B51" s="2" t="s">
        <v>441</v>
      </c>
      <c r="C51" s="2" t="s">
        <v>418</v>
      </c>
      <c r="D51" s="2" t="s">
        <v>409</v>
      </c>
      <c r="E51" s="2" t="n">
        <v>10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1" t="b">
        <f aca="false">FALSE()</f>
        <v>0</v>
      </c>
      <c r="M51" s="2" t="s">
        <v>410</v>
      </c>
      <c r="N51" s="2" t="n">
        <f aca="false">IF(E51&gt;0,F51/E51,"")</f>
        <v>0</v>
      </c>
      <c r="O51" s="2" t="str">
        <f aca="false">IF(AND(E51&gt;0,L51),J51/E51,"")</f>
        <v/>
      </c>
    </row>
    <row r="52" customFormat="false" ht="15" hidden="false" customHeight="false" outlineLevel="0" collapsed="false">
      <c r="A52" s="2" t="n">
        <v>2019</v>
      </c>
      <c r="B52" s="2" t="s">
        <v>30</v>
      </c>
      <c r="C52" s="2" t="s">
        <v>405</v>
      </c>
      <c r="D52" s="2" t="s">
        <v>24</v>
      </c>
      <c r="E52" s="2" t="n">
        <v>9</v>
      </c>
      <c r="F52" s="2" t="n">
        <v>40</v>
      </c>
      <c r="G52" s="2" t="n">
        <v>28</v>
      </c>
      <c r="H52" s="2" t="n">
        <v>14</v>
      </c>
      <c r="I52" s="2" t="n">
        <v>10</v>
      </c>
      <c r="J52" s="2" t="n">
        <v>0</v>
      </c>
      <c r="K52" s="2" t="n">
        <v>0</v>
      </c>
      <c r="L52" s="11" t="b">
        <f aca="false">FALSE()</f>
        <v>0</v>
      </c>
      <c r="M52" s="2" t="s">
        <v>406</v>
      </c>
      <c r="N52" s="2" t="n">
        <f aca="false">IF(E52&gt;0,F52/E52,"")</f>
        <v>4.44444444444445</v>
      </c>
      <c r="O52" s="2" t="str">
        <f aca="false">IF(AND(E52&gt;0,L52),J52/E52,"")</f>
        <v/>
      </c>
    </row>
    <row r="53" customFormat="false" ht="15" hidden="false" customHeight="false" outlineLevel="0" collapsed="false">
      <c r="A53" s="2" t="n">
        <v>2019</v>
      </c>
      <c r="B53" s="2" t="s">
        <v>442</v>
      </c>
      <c r="C53" s="2" t="s">
        <v>408</v>
      </c>
      <c r="D53" s="2" t="s">
        <v>409</v>
      </c>
      <c r="E53" s="2" t="n">
        <v>9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1" t="b">
        <f aca="false">FALSE()</f>
        <v>0</v>
      </c>
      <c r="M53" s="2" t="s">
        <v>410</v>
      </c>
      <c r="N53" s="2" t="n">
        <f aca="false">IF(E53&gt;0,F53/E53,"")</f>
        <v>0</v>
      </c>
      <c r="O53" s="2" t="str">
        <f aca="false">IF(AND(E53&gt;0,L53),J53/E53,"")</f>
        <v/>
      </c>
    </row>
    <row r="54" customFormat="false" ht="15" hidden="false" customHeight="false" outlineLevel="0" collapsed="false">
      <c r="A54" s="2" t="n">
        <v>2019</v>
      </c>
      <c r="B54" s="2" t="s">
        <v>217</v>
      </c>
      <c r="C54" s="2" t="s">
        <v>405</v>
      </c>
      <c r="D54" s="2" t="s">
        <v>117</v>
      </c>
      <c r="E54" s="2" t="n">
        <v>9</v>
      </c>
      <c r="F54" s="2" t="n">
        <v>4</v>
      </c>
      <c r="G54" s="2" t="n">
        <v>3</v>
      </c>
      <c r="H54" s="2" t="n">
        <v>1</v>
      </c>
      <c r="I54" s="2" t="n">
        <v>1</v>
      </c>
      <c r="J54" s="2" t="n">
        <v>0</v>
      </c>
      <c r="K54" s="2" t="n">
        <v>0</v>
      </c>
      <c r="L54" s="11" t="b">
        <f aca="false">FALSE()</f>
        <v>0</v>
      </c>
      <c r="M54" s="2" t="s">
        <v>406</v>
      </c>
      <c r="N54" s="2" t="n">
        <f aca="false">IF(E54&gt;0,F54/E54,"")</f>
        <v>0.444444444444444</v>
      </c>
      <c r="O54" s="2" t="str">
        <f aca="false">IF(AND(E54&gt;0,L54),J54/E54,"")</f>
        <v/>
      </c>
    </row>
    <row r="55" customFormat="false" ht="15" hidden="false" customHeight="false" outlineLevel="0" collapsed="false">
      <c r="A55" s="2" t="n">
        <v>2019</v>
      </c>
      <c r="B55" s="2" t="s">
        <v>215</v>
      </c>
      <c r="C55" s="2" t="s">
        <v>420</v>
      </c>
      <c r="D55" s="2" t="s">
        <v>29</v>
      </c>
      <c r="E55" s="2" t="n">
        <v>10</v>
      </c>
      <c r="F55" s="2" t="n">
        <v>7</v>
      </c>
      <c r="G55" s="2" t="n">
        <v>4</v>
      </c>
      <c r="H55" s="2" t="n">
        <v>2</v>
      </c>
      <c r="I55" s="2" t="n">
        <v>3</v>
      </c>
      <c r="J55" s="2" t="n">
        <v>0</v>
      </c>
      <c r="K55" s="2" t="n">
        <v>0</v>
      </c>
      <c r="L55" s="11" t="b">
        <f aca="false">FALSE()</f>
        <v>0</v>
      </c>
      <c r="M55" s="2" t="s">
        <v>406</v>
      </c>
      <c r="N55" s="2" t="n">
        <f aca="false">IF(E55&gt;0,F55/E55,"")</f>
        <v>0.7</v>
      </c>
      <c r="O55" s="2" t="str">
        <f aca="false">IF(AND(E55&gt;0,L55),J55/E55,"")</f>
        <v/>
      </c>
    </row>
    <row r="56" customFormat="false" ht="15" hidden="false" customHeight="false" outlineLevel="0" collapsed="false">
      <c r="A56" s="2" t="n">
        <v>2019</v>
      </c>
      <c r="B56" s="2" t="s">
        <v>443</v>
      </c>
      <c r="C56" s="2" t="s">
        <v>418</v>
      </c>
      <c r="D56" s="2" t="s">
        <v>117</v>
      </c>
      <c r="E56" s="2" t="n">
        <v>2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1" t="b">
        <f aca="false">FALSE()</f>
        <v>0</v>
      </c>
      <c r="M56" s="2" t="s">
        <v>410</v>
      </c>
      <c r="N56" s="2" t="n">
        <f aca="false">IF(E56&gt;0,F56/E56,"")</f>
        <v>0</v>
      </c>
      <c r="O56" s="2" t="str">
        <f aca="false">IF(AND(E56&gt;0,L56),J56/E56,"")</f>
        <v/>
      </c>
    </row>
    <row r="57" customFormat="false" ht="15" hidden="false" customHeight="false" outlineLevel="0" collapsed="false">
      <c r="A57" s="2" t="n">
        <v>2019</v>
      </c>
      <c r="B57" s="2" t="s">
        <v>444</v>
      </c>
      <c r="C57" s="2" t="s">
        <v>405</v>
      </c>
      <c r="D57" s="2" t="s">
        <v>413</v>
      </c>
      <c r="E57" s="2" t="n">
        <v>8</v>
      </c>
      <c r="F57" s="2" t="n">
        <v>10</v>
      </c>
      <c r="G57" s="2" t="n">
        <v>4</v>
      </c>
      <c r="H57" s="2" t="n">
        <v>1</v>
      </c>
      <c r="I57" s="2" t="n">
        <v>0</v>
      </c>
      <c r="J57" s="2" t="n">
        <v>0</v>
      </c>
      <c r="K57" s="2" t="n">
        <v>0</v>
      </c>
      <c r="L57" s="11" t="b">
        <f aca="false">FALSE()</f>
        <v>0</v>
      </c>
      <c r="M57" s="2" t="s">
        <v>410</v>
      </c>
      <c r="N57" s="2" t="n">
        <f aca="false">IF(E57&gt;0,F57/E57,"")</f>
        <v>1.25</v>
      </c>
      <c r="O57" s="2" t="str">
        <f aca="false">IF(AND(E57&gt;0,L57),J57/E57,"")</f>
        <v/>
      </c>
    </row>
    <row r="58" customFormat="false" ht="15" hidden="false" customHeight="false" outlineLevel="0" collapsed="false">
      <c r="A58" s="2" t="n">
        <v>2019</v>
      </c>
      <c r="B58" s="2" t="s">
        <v>157</v>
      </c>
      <c r="C58" s="2" t="s">
        <v>418</v>
      </c>
      <c r="D58" s="2" t="s">
        <v>24</v>
      </c>
      <c r="E58" s="2" t="n">
        <v>10</v>
      </c>
      <c r="F58" s="2" t="n">
        <v>62</v>
      </c>
      <c r="G58" s="2" t="n">
        <v>38</v>
      </c>
      <c r="H58" s="2" t="n">
        <v>20</v>
      </c>
      <c r="I58" s="2" t="n">
        <v>14</v>
      </c>
      <c r="J58" s="2" t="n">
        <v>0</v>
      </c>
      <c r="K58" s="2" t="n">
        <v>0</v>
      </c>
      <c r="L58" s="11" t="b">
        <f aca="false">FALSE()</f>
        <v>0</v>
      </c>
      <c r="M58" s="2" t="s">
        <v>406</v>
      </c>
      <c r="N58" s="2" t="n">
        <f aca="false">IF(E58&gt;0,F58/E58,"")</f>
        <v>6.2</v>
      </c>
      <c r="O58" s="2" t="str">
        <f aca="false">IF(AND(E58&gt;0,L58),J58/E58,"")</f>
        <v/>
      </c>
    </row>
    <row r="59" customFormat="false" ht="15" hidden="false" customHeight="false" outlineLevel="0" collapsed="false">
      <c r="A59" s="2" t="n">
        <v>2019</v>
      </c>
      <c r="B59" s="2" t="s">
        <v>347</v>
      </c>
      <c r="C59" s="2" t="s">
        <v>405</v>
      </c>
      <c r="D59" s="2" t="s">
        <v>83</v>
      </c>
      <c r="E59" s="2" t="n">
        <v>10</v>
      </c>
      <c r="F59" s="2" t="n">
        <v>9</v>
      </c>
      <c r="G59" s="2" t="n">
        <v>6</v>
      </c>
      <c r="H59" s="2" t="n">
        <v>3</v>
      </c>
      <c r="I59" s="2" t="n">
        <v>0</v>
      </c>
      <c r="J59" s="2" t="n">
        <v>0</v>
      </c>
      <c r="K59" s="2" t="n">
        <v>0</v>
      </c>
      <c r="L59" s="11" t="b">
        <f aca="false">FALSE()</f>
        <v>0</v>
      </c>
      <c r="M59" s="2" t="s">
        <v>406</v>
      </c>
      <c r="N59" s="2" t="n">
        <f aca="false">IF(E59&gt;0,F59/E59,"")</f>
        <v>0.9</v>
      </c>
      <c r="O59" s="2" t="str">
        <f aca="false">IF(AND(E59&gt;0,L59),J59/E59,"")</f>
        <v/>
      </c>
    </row>
    <row r="60" customFormat="false" ht="15" hidden="false" customHeight="false" outlineLevel="0" collapsed="false">
      <c r="A60" s="2" t="n">
        <v>2019</v>
      </c>
      <c r="B60" s="2" t="s">
        <v>445</v>
      </c>
      <c r="C60" s="2" t="s">
        <v>405</v>
      </c>
      <c r="D60" s="2" t="s">
        <v>29</v>
      </c>
      <c r="E60" s="2" t="n">
        <v>10</v>
      </c>
      <c r="F60" s="2" t="n">
        <v>31</v>
      </c>
      <c r="G60" s="2" t="n">
        <v>20</v>
      </c>
      <c r="H60" s="2" t="n">
        <v>3</v>
      </c>
      <c r="I60" s="2" t="n">
        <v>0</v>
      </c>
      <c r="J60" s="2" t="n">
        <v>0</v>
      </c>
      <c r="K60" s="2" t="n">
        <v>0</v>
      </c>
      <c r="L60" s="11" t="b">
        <f aca="false">FALSE()</f>
        <v>0</v>
      </c>
      <c r="M60" s="2" t="s">
        <v>406</v>
      </c>
      <c r="N60" s="2" t="n">
        <f aca="false">IF(E60&gt;0,F60/E60,"")</f>
        <v>3.1</v>
      </c>
      <c r="O60" s="2" t="str">
        <f aca="false">IF(AND(E60&gt;0,L60),J60/E60,"")</f>
        <v/>
      </c>
    </row>
    <row r="61" customFormat="false" ht="15" hidden="false" customHeight="false" outlineLevel="0" collapsed="false">
      <c r="A61" s="2" t="n">
        <v>2019</v>
      </c>
      <c r="B61" s="2" t="s">
        <v>269</v>
      </c>
      <c r="C61" s="2" t="s">
        <v>412</v>
      </c>
      <c r="D61" s="2" t="s">
        <v>117</v>
      </c>
      <c r="E61" s="2" t="n">
        <v>10</v>
      </c>
      <c r="F61" s="2" t="n">
        <v>14</v>
      </c>
      <c r="G61" s="2" t="n">
        <v>7</v>
      </c>
      <c r="H61" s="2" t="n">
        <v>2</v>
      </c>
      <c r="I61" s="2" t="n">
        <v>6</v>
      </c>
      <c r="J61" s="2" t="n">
        <v>0</v>
      </c>
      <c r="K61" s="2" t="n">
        <v>0</v>
      </c>
      <c r="L61" s="11" t="b">
        <f aca="false">FALSE()</f>
        <v>0</v>
      </c>
      <c r="M61" s="2" t="s">
        <v>406</v>
      </c>
      <c r="N61" s="2" t="n">
        <f aca="false">IF(E61&gt;0,F61/E61,"")</f>
        <v>1.4</v>
      </c>
      <c r="O61" s="2" t="str">
        <f aca="false">IF(AND(E61&gt;0,L61),J61/E61,"")</f>
        <v/>
      </c>
    </row>
    <row r="62" customFormat="false" ht="15" hidden="false" customHeight="false" outlineLevel="0" collapsed="false">
      <c r="A62" s="2" t="n">
        <v>2019</v>
      </c>
      <c r="B62" s="2" t="s">
        <v>446</v>
      </c>
      <c r="C62" s="2" t="s">
        <v>414</v>
      </c>
      <c r="D62" s="2" t="s">
        <v>29</v>
      </c>
      <c r="E62" s="2" t="n">
        <v>8</v>
      </c>
      <c r="F62" s="2" t="n">
        <v>31</v>
      </c>
      <c r="G62" s="2" t="n">
        <v>15</v>
      </c>
      <c r="H62" s="2" t="n">
        <v>8</v>
      </c>
      <c r="I62" s="2" t="n">
        <v>4</v>
      </c>
      <c r="J62" s="2" t="n">
        <v>0</v>
      </c>
      <c r="K62" s="2" t="n">
        <v>0</v>
      </c>
      <c r="L62" s="11" t="b">
        <f aca="false">FALSE()</f>
        <v>0</v>
      </c>
      <c r="M62" s="2" t="s">
        <v>406</v>
      </c>
      <c r="N62" s="2" t="n">
        <f aca="false">IF(E62&gt;0,F62/E62,"")</f>
        <v>3.875</v>
      </c>
      <c r="O62" s="2" t="str">
        <f aca="false">IF(AND(E62&gt;0,L62),J62/E62,"")</f>
        <v/>
      </c>
    </row>
    <row r="63" customFormat="false" ht="15" hidden="false" customHeight="false" outlineLevel="0" collapsed="false">
      <c r="A63" s="2" t="n">
        <v>2019</v>
      </c>
      <c r="B63" s="2" t="s">
        <v>188</v>
      </c>
      <c r="C63" s="2" t="s">
        <v>418</v>
      </c>
      <c r="D63" s="2" t="s">
        <v>29</v>
      </c>
      <c r="E63" s="2" t="n">
        <v>10</v>
      </c>
      <c r="F63" s="2" t="n">
        <v>11</v>
      </c>
      <c r="G63" s="2" t="n">
        <v>8</v>
      </c>
      <c r="H63" s="2" t="n">
        <v>4</v>
      </c>
      <c r="I63" s="2" t="n">
        <v>0</v>
      </c>
      <c r="J63" s="2" t="n">
        <v>0</v>
      </c>
      <c r="K63" s="2" t="n">
        <v>0</v>
      </c>
      <c r="L63" s="11" t="b">
        <f aca="false">FALSE()</f>
        <v>0</v>
      </c>
      <c r="M63" s="2" t="s">
        <v>406</v>
      </c>
      <c r="N63" s="2" t="n">
        <f aca="false">IF(E63&gt;0,F63/E63,"")</f>
        <v>1.1</v>
      </c>
      <c r="O63" s="2" t="str">
        <f aca="false">IF(AND(E63&gt;0,L63),J63/E63,"")</f>
        <v/>
      </c>
    </row>
    <row r="64" customFormat="false" ht="15" hidden="false" customHeight="false" outlineLevel="0" collapsed="false">
      <c r="A64" s="2" t="n">
        <v>2019</v>
      </c>
      <c r="B64" s="2" t="s">
        <v>73</v>
      </c>
      <c r="C64" s="2" t="s">
        <v>405</v>
      </c>
      <c r="D64" s="2" t="s">
        <v>24</v>
      </c>
      <c r="E64" s="2" t="n">
        <v>10</v>
      </c>
      <c r="F64" s="2" t="n">
        <v>54</v>
      </c>
      <c r="G64" s="2" t="n">
        <v>33</v>
      </c>
      <c r="H64" s="2" t="n">
        <v>21</v>
      </c>
      <c r="I64" s="2" t="n">
        <v>12</v>
      </c>
      <c r="J64" s="2" t="n">
        <v>0</v>
      </c>
      <c r="K64" s="2" t="n">
        <v>0</v>
      </c>
      <c r="L64" s="11" t="b">
        <f aca="false">FALSE()</f>
        <v>0</v>
      </c>
      <c r="M64" s="2" t="s">
        <v>406</v>
      </c>
      <c r="N64" s="2" t="n">
        <f aca="false">IF(E64&gt;0,F64/E64,"")</f>
        <v>5.4</v>
      </c>
      <c r="O64" s="2" t="str">
        <f aca="false">IF(AND(E64&gt;0,L64),J64/E64,"")</f>
        <v/>
      </c>
    </row>
    <row r="65" customFormat="false" ht="15" hidden="false" customHeight="false" outlineLevel="0" collapsed="false">
      <c r="A65" s="2" t="n">
        <v>2019</v>
      </c>
      <c r="B65" s="2" t="s">
        <v>447</v>
      </c>
      <c r="C65" s="2" t="s">
        <v>420</v>
      </c>
      <c r="D65" s="2"/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1" t="b">
        <f aca="false">FALSE()</f>
        <v>0</v>
      </c>
      <c r="M65" s="2" t="s">
        <v>410</v>
      </c>
      <c r="N65" s="2" t="str">
        <f aca="false">IF(E65&gt;0,F65/E65,"")</f>
        <v/>
      </c>
      <c r="O65" s="2" t="str">
        <f aca="false">IF(AND(E65&gt;0,L65),J65/E65,"")</f>
        <v/>
      </c>
    </row>
    <row r="66" customFormat="false" ht="15" hidden="false" customHeight="false" outlineLevel="0" collapsed="false">
      <c r="A66" s="2" t="n">
        <v>2019</v>
      </c>
      <c r="B66" s="2" t="s">
        <v>448</v>
      </c>
      <c r="C66" s="2" t="s">
        <v>412</v>
      </c>
      <c r="D66" s="2" t="s">
        <v>413</v>
      </c>
      <c r="E66" s="2" t="n">
        <v>2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11" t="b">
        <f aca="false">FALSE()</f>
        <v>0</v>
      </c>
      <c r="M66" s="2" t="s">
        <v>410</v>
      </c>
      <c r="N66" s="2" t="n">
        <f aca="false">IF(E66&gt;0,F66/E66,"")</f>
        <v>0</v>
      </c>
      <c r="O66" s="2" t="str">
        <f aca="false">IF(AND(E66&gt;0,L66),J66/E66,"")</f>
        <v/>
      </c>
    </row>
    <row r="67" customFormat="false" ht="15" hidden="false" customHeight="false" outlineLevel="0" collapsed="false">
      <c r="A67" s="2" t="n">
        <v>2019</v>
      </c>
      <c r="B67" s="2" t="s">
        <v>449</v>
      </c>
      <c r="C67" s="2" t="s">
        <v>412</v>
      </c>
      <c r="D67" s="2" t="s">
        <v>29</v>
      </c>
      <c r="E67" s="2" t="n">
        <v>1</v>
      </c>
      <c r="F67" s="2" t="n">
        <v>3</v>
      </c>
      <c r="G67" s="2" t="n">
        <v>2</v>
      </c>
      <c r="H67" s="2" t="n">
        <v>1</v>
      </c>
      <c r="I67" s="2" t="n">
        <v>0</v>
      </c>
      <c r="J67" s="2" t="n">
        <v>0</v>
      </c>
      <c r="K67" s="2" t="n">
        <v>0</v>
      </c>
      <c r="L67" s="11" t="b">
        <f aca="false">FALSE()</f>
        <v>0</v>
      </c>
      <c r="M67" s="2" t="s">
        <v>410</v>
      </c>
      <c r="N67" s="2" t="n">
        <f aca="false">IF(E67&gt;0,F67/E67,"")</f>
        <v>3</v>
      </c>
      <c r="O67" s="2" t="str">
        <f aca="false">IF(AND(E67&gt;0,L67),J67/E67,"")</f>
        <v/>
      </c>
    </row>
    <row r="68" customFormat="false" ht="15" hidden="false" customHeight="false" outlineLevel="0" collapsed="false">
      <c r="A68" s="2" t="n">
        <v>2019</v>
      </c>
      <c r="B68" s="2" t="s">
        <v>23</v>
      </c>
      <c r="C68" s="2" t="s">
        <v>408</v>
      </c>
      <c r="D68" s="2" t="s">
        <v>24</v>
      </c>
      <c r="E68" s="2" t="n">
        <v>10</v>
      </c>
      <c r="F68" s="2" t="n">
        <v>74</v>
      </c>
      <c r="G68" s="2" t="n">
        <v>43</v>
      </c>
      <c r="H68" s="2" t="n">
        <v>23</v>
      </c>
      <c r="I68" s="2" t="n">
        <v>7</v>
      </c>
      <c r="J68" s="2" t="n">
        <v>0</v>
      </c>
      <c r="K68" s="2" t="n">
        <v>0</v>
      </c>
      <c r="L68" s="11" t="b">
        <f aca="false">FALSE()</f>
        <v>0</v>
      </c>
      <c r="M68" s="2" t="s">
        <v>406</v>
      </c>
      <c r="N68" s="2" t="n">
        <f aca="false">IF(E68&gt;0,F68/E68,"")</f>
        <v>7.4</v>
      </c>
      <c r="O68" s="2" t="str">
        <f aca="false">IF(AND(E68&gt;0,L68),J68/E68,"")</f>
        <v/>
      </c>
    </row>
    <row r="69" customFormat="false" ht="15" hidden="false" customHeight="false" outlineLevel="0" collapsed="false">
      <c r="A69" s="2" t="n">
        <v>2019</v>
      </c>
      <c r="B69" s="2" t="s">
        <v>74</v>
      </c>
      <c r="C69" s="2" t="s">
        <v>420</v>
      </c>
      <c r="D69" s="2" t="s">
        <v>29</v>
      </c>
      <c r="E69" s="2" t="n">
        <v>10</v>
      </c>
      <c r="F69" s="2" t="n">
        <v>43</v>
      </c>
      <c r="G69" s="2" t="n">
        <v>19</v>
      </c>
      <c r="H69" s="2" t="n">
        <v>7</v>
      </c>
      <c r="I69" s="2" t="n">
        <v>10</v>
      </c>
      <c r="J69" s="2" t="n">
        <v>0</v>
      </c>
      <c r="K69" s="2" t="n">
        <v>0</v>
      </c>
      <c r="L69" s="11" t="b">
        <f aca="false">FALSE()</f>
        <v>0</v>
      </c>
      <c r="M69" s="2" t="s">
        <v>406</v>
      </c>
      <c r="N69" s="2" t="n">
        <f aca="false">IF(E69&gt;0,F69/E69,"")</f>
        <v>4.3</v>
      </c>
      <c r="O69" s="2" t="str">
        <f aca="false">IF(AND(E69&gt;0,L69),J69/E69,"")</f>
        <v/>
      </c>
    </row>
    <row r="70" customFormat="false" ht="15" hidden="false" customHeight="false" outlineLevel="0" collapsed="false">
      <c r="A70" s="2" t="n">
        <v>2019</v>
      </c>
      <c r="B70" s="2" t="s">
        <v>450</v>
      </c>
      <c r="C70" s="2" t="s">
        <v>405</v>
      </c>
      <c r="D70" s="2" t="s">
        <v>115</v>
      </c>
      <c r="E70" s="2" t="n">
        <v>10</v>
      </c>
      <c r="F70" s="2" t="n">
        <v>4</v>
      </c>
      <c r="G70" s="2" t="n">
        <v>1</v>
      </c>
      <c r="H70" s="2" t="n">
        <v>1</v>
      </c>
      <c r="I70" s="2" t="n">
        <v>2</v>
      </c>
      <c r="J70" s="2" t="n">
        <v>0</v>
      </c>
      <c r="K70" s="2" t="n">
        <v>0</v>
      </c>
      <c r="L70" s="11" t="b">
        <f aca="false">FALSE()</f>
        <v>0</v>
      </c>
      <c r="M70" s="2" t="s">
        <v>406</v>
      </c>
      <c r="N70" s="2" t="n">
        <f aca="false">IF(E70&gt;0,F70/E70,"")</f>
        <v>0.4</v>
      </c>
      <c r="O70" s="2" t="str">
        <f aca="false">IF(AND(E70&gt;0,L70),J70/E70,"")</f>
        <v/>
      </c>
    </row>
    <row r="71" customFormat="false" ht="15" hidden="false" customHeight="false" outlineLevel="0" collapsed="false">
      <c r="A71" s="2" t="n">
        <v>2019</v>
      </c>
      <c r="B71" s="2" t="s">
        <v>69</v>
      </c>
      <c r="C71" s="2" t="s">
        <v>405</v>
      </c>
      <c r="D71" s="2" t="s">
        <v>24</v>
      </c>
      <c r="E71" s="2" t="n">
        <v>9</v>
      </c>
      <c r="F71" s="2" t="n">
        <v>54</v>
      </c>
      <c r="G71" s="2" t="n">
        <v>36</v>
      </c>
      <c r="H71" s="2" t="n">
        <v>15</v>
      </c>
      <c r="I71" s="2" t="n">
        <v>8</v>
      </c>
      <c r="J71" s="2" t="n">
        <v>0</v>
      </c>
      <c r="K71" s="2" t="n">
        <v>0</v>
      </c>
      <c r="L71" s="11" t="b">
        <f aca="false">FALSE()</f>
        <v>0</v>
      </c>
      <c r="M71" s="2" t="s">
        <v>406</v>
      </c>
      <c r="N71" s="2" t="n">
        <f aca="false">IF(E71&gt;0,F71/E71,"")</f>
        <v>6</v>
      </c>
      <c r="O71" s="2" t="str">
        <f aca="false">IF(AND(E71&gt;0,L71),J71/E71,"")</f>
        <v/>
      </c>
    </row>
    <row r="72" customFormat="false" ht="15" hidden="false" customHeight="false" outlineLevel="0" collapsed="false">
      <c r="A72" s="2" t="n">
        <v>2019</v>
      </c>
      <c r="B72" s="2" t="s">
        <v>39</v>
      </c>
      <c r="C72" s="2" t="s">
        <v>414</v>
      </c>
      <c r="D72" s="2" t="s">
        <v>29</v>
      </c>
      <c r="E72" s="2" t="n">
        <v>8</v>
      </c>
      <c r="F72" s="2" t="n">
        <v>41</v>
      </c>
      <c r="G72" s="2" t="n">
        <v>21</v>
      </c>
      <c r="H72" s="2" t="n">
        <v>10</v>
      </c>
      <c r="I72" s="2" t="n">
        <v>8</v>
      </c>
      <c r="J72" s="2" t="n">
        <v>0</v>
      </c>
      <c r="K72" s="2" t="n">
        <v>0</v>
      </c>
      <c r="L72" s="11" t="b">
        <f aca="false">FALSE()</f>
        <v>0</v>
      </c>
      <c r="M72" s="2" t="s">
        <v>406</v>
      </c>
      <c r="N72" s="2" t="n">
        <f aca="false">IF(E72&gt;0,F72/E72,"")</f>
        <v>5.125</v>
      </c>
      <c r="O72" s="2" t="str">
        <f aca="false">IF(AND(E72&gt;0,L72),J72/E72,"")</f>
        <v/>
      </c>
    </row>
    <row r="73" customFormat="false" ht="15" hidden="false" customHeight="false" outlineLevel="0" collapsed="false">
      <c r="A73" s="2" t="n">
        <v>2019</v>
      </c>
      <c r="B73" s="2" t="s">
        <v>451</v>
      </c>
      <c r="C73" s="2" t="s">
        <v>405</v>
      </c>
      <c r="D73" s="2" t="s">
        <v>409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11" t="b">
        <f aca="false">FALSE()</f>
        <v>0</v>
      </c>
      <c r="M73" s="2" t="s">
        <v>410</v>
      </c>
      <c r="N73" s="2" t="str">
        <f aca="false">IF(E73&gt;0,F73/E73,"")</f>
        <v/>
      </c>
      <c r="O73" s="2" t="str">
        <f aca="false">IF(AND(E73&gt;0,L73),J73/E73,"")</f>
        <v/>
      </c>
    </row>
    <row r="74" customFormat="false" ht="15" hidden="false" customHeight="false" outlineLevel="0" collapsed="false">
      <c r="A74" s="2" t="n">
        <v>2019</v>
      </c>
      <c r="B74" s="2" t="s">
        <v>452</v>
      </c>
      <c r="C74" s="2" t="s">
        <v>408</v>
      </c>
      <c r="D74" s="2" t="s">
        <v>413</v>
      </c>
      <c r="E74" s="2" t="n">
        <v>10</v>
      </c>
      <c r="F74" s="2" t="n">
        <v>8</v>
      </c>
      <c r="G74" s="2" t="n">
        <v>7</v>
      </c>
      <c r="H74" s="2" t="n">
        <v>3</v>
      </c>
      <c r="I74" s="2" t="n">
        <v>4</v>
      </c>
      <c r="J74" s="2" t="n">
        <v>0</v>
      </c>
      <c r="K74" s="2" t="n">
        <v>0</v>
      </c>
      <c r="L74" s="11" t="b">
        <f aca="false">FALSE()</f>
        <v>0</v>
      </c>
      <c r="M74" s="2" t="s">
        <v>410</v>
      </c>
      <c r="N74" s="2" t="n">
        <f aca="false">IF(E74&gt;0,F74/E74,"")</f>
        <v>0.8</v>
      </c>
      <c r="O74" s="2" t="str">
        <f aca="false">IF(AND(E74&gt;0,L74),J74/E74,"")</f>
        <v/>
      </c>
    </row>
    <row r="75" customFormat="false" ht="15" hidden="false" customHeight="false" outlineLevel="0" collapsed="false">
      <c r="A75" s="2" t="n">
        <v>2019</v>
      </c>
      <c r="B75" s="2" t="s">
        <v>453</v>
      </c>
      <c r="C75" s="2" t="s">
        <v>420</v>
      </c>
      <c r="D75" s="2" t="s">
        <v>413</v>
      </c>
      <c r="E75" s="2" t="n">
        <v>10</v>
      </c>
      <c r="F75" s="2" t="n">
        <v>7</v>
      </c>
      <c r="G75" s="2" t="n">
        <v>5</v>
      </c>
      <c r="H75" s="2" t="n">
        <v>2</v>
      </c>
      <c r="I75" s="2" t="n">
        <v>0</v>
      </c>
      <c r="J75" s="2" t="n">
        <v>0</v>
      </c>
      <c r="K75" s="2" t="n">
        <v>0</v>
      </c>
      <c r="L75" s="11" t="b">
        <f aca="false">FALSE()</f>
        <v>0</v>
      </c>
      <c r="M75" s="2" t="s">
        <v>410</v>
      </c>
      <c r="N75" s="2" t="n">
        <f aca="false">IF(E75&gt;0,F75/E75,"")</f>
        <v>0.7</v>
      </c>
      <c r="O75" s="2" t="str">
        <f aca="false">IF(AND(E75&gt;0,L75),J75/E75,"")</f>
        <v/>
      </c>
    </row>
    <row r="76" customFormat="false" ht="15" hidden="false" customHeight="false" outlineLevel="0" collapsed="false">
      <c r="A76" s="2" t="n">
        <v>2019</v>
      </c>
      <c r="B76" s="2" t="s">
        <v>454</v>
      </c>
      <c r="C76" s="2" t="s">
        <v>405</v>
      </c>
      <c r="D76" s="2" t="s">
        <v>115</v>
      </c>
      <c r="E76" s="2" t="n">
        <v>6</v>
      </c>
      <c r="F76" s="2" t="n">
        <v>1</v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11" t="b">
        <f aca="false">FALSE()</f>
        <v>0</v>
      </c>
      <c r="M76" s="2" t="s">
        <v>406</v>
      </c>
      <c r="N76" s="2" t="n">
        <f aca="false">IF(E76&gt;0,F76/E76,"")</f>
        <v>0.166666666666667</v>
      </c>
      <c r="O76" s="2" t="str">
        <f aca="false">IF(AND(E76&gt;0,L76),J76/E76,"")</f>
        <v/>
      </c>
    </row>
    <row r="77" customFormat="false" ht="15" hidden="false" customHeight="false" outlineLevel="0" collapsed="false">
      <c r="A77" s="2" t="n">
        <v>2019</v>
      </c>
      <c r="B77" s="2" t="s">
        <v>455</v>
      </c>
      <c r="C77" s="2" t="s">
        <v>405</v>
      </c>
      <c r="D77" s="2" t="s">
        <v>117</v>
      </c>
      <c r="E77" s="2" t="n">
        <v>7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11" t="b">
        <f aca="false">FALSE()</f>
        <v>0</v>
      </c>
      <c r="M77" s="2" t="s">
        <v>406</v>
      </c>
      <c r="N77" s="2" t="n">
        <f aca="false">IF(E77&gt;0,F77/E77,"")</f>
        <v>0</v>
      </c>
      <c r="O77" s="2" t="str">
        <f aca="false">IF(AND(E77&gt;0,L77),J77/E77,"")</f>
        <v/>
      </c>
    </row>
    <row r="78" customFormat="false" ht="15" hidden="false" customHeight="false" outlineLevel="0" collapsed="false">
      <c r="A78" s="2" t="n">
        <v>2019</v>
      </c>
      <c r="B78" s="2" t="s">
        <v>68</v>
      </c>
      <c r="C78" s="2" t="s">
        <v>412</v>
      </c>
      <c r="D78" s="2" t="s">
        <v>24</v>
      </c>
      <c r="E78" s="2" t="n">
        <v>10</v>
      </c>
      <c r="F78" s="2" t="n">
        <v>34</v>
      </c>
      <c r="G78" s="2" t="n">
        <v>29</v>
      </c>
      <c r="H78" s="2" t="n">
        <v>20</v>
      </c>
      <c r="I78" s="2" t="n">
        <v>10</v>
      </c>
      <c r="J78" s="2" t="n">
        <v>0</v>
      </c>
      <c r="K78" s="2" t="n">
        <v>0</v>
      </c>
      <c r="L78" s="11" t="b">
        <f aca="false">FALSE()</f>
        <v>0</v>
      </c>
      <c r="M78" s="2" t="s">
        <v>406</v>
      </c>
      <c r="N78" s="2" t="n">
        <f aca="false">IF(E78&gt;0,F78/E78,"")</f>
        <v>3.4</v>
      </c>
      <c r="O78" s="2" t="str">
        <f aca="false">IF(AND(E78&gt;0,L78),J78/E78,"")</f>
        <v/>
      </c>
    </row>
    <row r="79" customFormat="false" ht="15" hidden="false" customHeight="false" outlineLevel="0" collapsed="false">
      <c r="A79" s="2" t="n">
        <v>2019</v>
      </c>
      <c r="B79" s="2" t="s">
        <v>456</v>
      </c>
      <c r="C79" s="2" t="s">
        <v>414</v>
      </c>
      <c r="D79" s="2" t="s">
        <v>29</v>
      </c>
      <c r="E79" s="2" t="n">
        <v>8</v>
      </c>
      <c r="F79" s="2" t="n">
        <v>23</v>
      </c>
      <c r="G79" s="2" t="n">
        <v>9</v>
      </c>
      <c r="H79" s="2" t="n">
        <v>3</v>
      </c>
      <c r="I79" s="2" t="n">
        <v>2</v>
      </c>
      <c r="J79" s="2" t="n">
        <v>0</v>
      </c>
      <c r="K79" s="2" t="n">
        <v>0</v>
      </c>
      <c r="L79" s="11" t="b">
        <f aca="false">FALSE()</f>
        <v>0</v>
      </c>
      <c r="M79" s="2" t="s">
        <v>406</v>
      </c>
      <c r="N79" s="2" t="n">
        <f aca="false">IF(E79&gt;0,F79/E79,"")</f>
        <v>2.875</v>
      </c>
      <c r="O79" s="2" t="str">
        <f aca="false">IF(AND(E79&gt;0,L79),J79/E79,"")</f>
        <v/>
      </c>
    </row>
    <row r="80" customFormat="false" ht="15" hidden="false" customHeight="false" outlineLevel="0" collapsed="false">
      <c r="A80" s="2" t="n">
        <v>2019</v>
      </c>
      <c r="B80" s="2" t="s">
        <v>126</v>
      </c>
      <c r="C80" s="2" t="s">
        <v>418</v>
      </c>
      <c r="D80" s="2" t="s">
        <v>29</v>
      </c>
      <c r="E80" s="2" t="n">
        <v>9</v>
      </c>
      <c r="F80" s="2" t="n">
        <v>46</v>
      </c>
      <c r="G80" s="2" t="n">
        <v>33</v>
      </c>
      <c r="H80" s="2" t="n">
        <v>20</v>
      </c>
      <c r="I80" s="2" t="n">
        <v>2</v>
      </c>
      <c r="J80" s="2" t="n">
        <v>0</v>
      </c>
      <c r="K80" s="2" t="n">
        <v>0</v>
      </c>
      <c r="L80" s="11" t="b">
        <f aca="false">FALSE()</f>
        <v>0</v>
      </c>
      <c r="M80" s="2" t="s">
        <v>406</v>
      </c>
      <c r="N80" s="2" t="n">
        <f aca="false">IF(E80&gt;0,F80/E80,"")</f>
        <v>5.11111111111111</v>
      </c>
      <c r="O80" s="2" t="str">
        <f aca="false">IF(AND(E80&gt;0,L80),J80/E80,"")</f>
        <v/>
      </c>
    </row>
    <row r="81" customFormat="false" ht="15" hidden="false" customHeight="false" outlineLevel="0" collapsed="false">
      <c r="A81" s="2" t="n">
        <v>2019</v>
      </c>
      <c r="B81" s="2" t="s">
        <v>150</v>
      </c>
      <c r="C81" s="2" t="s">
        <v>408</v>
      </c>
      <c r="D81" s="2" t="s">
        <v>29</v>
      </c>
      <c r="E81" s="2" t="n">
        <v>4</v>
      </c>
      <c r="F81" s="2" t="n">
        <v>11</v>
      </c>
      <c r="G81" s="2" t="n">
        <v>7</v>
      </c>
      <c r="H81" s="2" t="n">
        <v>2</v>
      </c>
      <c r="I81" s="2" t="n">
        <v>1</v>
      </c>
      <c r="J81" s="2" t="n">
        <v>0</v>
      </c>
      <c r="K81" s="2" t="n">
        <v>0</v>
      </c>
      <c r="L81" s="11" t="b">
        <f aca="false">FALSE()</f>
        <v>0</v>
      </c>
      <c r="M81" s="2" t="s">
        <v>406</v>
      </c>
      <c r="N81" s="2" t="n">
        <f aca="false">IF(E81&gt;0,F81/E81,"")</f>
        <v>2.75</v>
      </c>
      <c r="O81" s="2" t="str">
        <f aca="false">IF(AND(E81&gt;0,L81),J81/E81,"")</f>
        <v/>
      </c>
    </row>
    <row r="82" customFormat="false" ht="15" hidden="false" customHeight="false" outlineLevel="0" collapsed="false">
      <c r="A82" s="2" t="n">
        <v>2019</v>
      </c>
      <c r="B82" s="2" t="s">
        <v>457</v>
      </c>
      <c r="C82" s="2" t="s">
        <v>414</v>
      </c>
      <c r="D82" s="2" t="s">
        <v>24</v>
      </c>
      <c r="E82" s="2" t="n">
        <v>3</v>
      </c>
      <c r="F82" s="2" t="n">
        <v>7</v>
      </c>
      <c r="G82" s="2" t="n">
        <v>5</v>
      </c>
      <c r="H82" s="2" t="n">
        <v>0</v>
      </c>
      <c r="I82" s="2" t="n">
        <v>0</v>
      </c>
      <c r="J82" s="2" t="n">
        <v>0</v>
      </c>
      <c r="K82" s="2" t="n">
        <v>0</v>
      </c>
      <c r="L82" s="11" t="b">
        <f aca="false">FALSE()</f>
        <v>0</v>
      </c>
      <c r="M82" s="2" t="s">
        <v>406</v>
      </c>
      <c r="N82" s="2" t="n">
        <f aca="false">IF(E82&gt;0,F82/E82,"")</f>
        <v>2.33333333333333</v>
      </c>
      <c r="O82" s="2" t="str">
        <f aca="false">IF(AND(E82&gt;0,L82),J82/E82,"")</f>
        <v/>
      </c>
    </row>
    <row r="83" customFormat="false" ht="15" hidden="false" customHeight="false" outlineLevel="0" collapsed="false">
      <c r="A83" s="2" t="n">
        <v>2019</v>
      </c>
      <c r="B83" s="2" t="s">
        <v>116</v>
      </c>
      <c r="C83" s="2" t="s">
        <v>418</v>
      </c>
      <c r="D83" s="2" t="s">
        <v>117</v>
      </c>
      <c r="E83" s="2" t="n">
        <v>8</v>
      </c>
      <c r="F83" s="2" t="n">
        <v>1</v>
      </c>
      <c r="G83" s="2" t="n">
        <v>1</v>
      </c>
      <c r="H83" s="2" t="n">
        <v>1</v>
      </c>
      <c r="I83" s="2" t="n">
        <v>1</v>
      </c>
      <c r="J83" s="2" t="n">
        <v>0</v>
      </c>
      <c r="K83" s="2" t="n">
        <v>0</v>
      </c>
      <c r="L83" s="11" t="b">
        <f aca="false">FALSE()</f>
        <v>0</v>
      </c>
      <c r="M83" s="2" t="s">
        <v>406</v>
      </c>
      <c r="N83" s="2" t="n">
        <f aca="false">IF(E83&gt;0,F83/E83,"")</f>
        <v>0.125</v>
      </c>
      <c r="O83" s="2" t="str">
        <f aca="false">IF(AND(E83&gt;0,L83),J83/E83,"")</f>
        <v/>
      </c>
    </row>
    <row r="84" customFormat="false" ht="15" hidden="false" customHeight="false" outlineLevel="0" collapsed="false">
      <c r="A84" s="2" t="n">
        <v>2019</v>
      </c>
      <c r="B84" s="2" t="s">
        <v>64</v>
      </c>
      <c r="C84" s="2" t="s">
        <v>408</v>
      </c>
      <c r="D84" s="2" t="s">
        <v>24</v>
      </c>
      <c r="E84" s="2" t="n">
        <v>10</v>
      </c>
      <c r="F84" s="2" t="n">
        <v>74</v>
      </c>
      <c r="G84" s="2" t="n">
        <v>50</v>
      </c>
      <c r="H84" s="2" t="n">
        <v>22</v>
      </c>
      <c r="I84" s="2" t="n">
        <v>7</v>
      </c>
      <c r="J84" s="2" t="n">
        <v>0</v>
      </c>
      <c r="K84" s="2" t="n">
        <v>0</v>
      </c>
      <c r="L84" s="11" t="b">
        <f aca="false">FALSE()</f>
        <v>0</v>
      </c>
      <c r="M84" s="2" t="s">
        <v>406</v>
      </c>
      <c r="N84" s="2" t="n">
        <f aca="false">IF(E84&gt;0,F84/E84,"")</f>
        <v>7.4</v>
      </c>
      <c r="O84" s="2" t="str">
        <f aca="false">IF(AND(E84&gt;0,L84),J84/E84,"")</f>
        <v/>
      </c>
    </row>
    <row r="85" customFormat="false" ht="15" hidden="false" customHeight="false" outlineLevel="0" collapsed="false">
      <c r="A85" s="2" t="n">
        <v>2019</v>
      </c>
      <c r="B85" s="2" t="s">
        <v>458</v>
      </c>
      <c r="C85" s="2" t="s">
        <v>405</v>
      </c>
      <c r="D85" s="2" t="s">
        <v>29</v>
      </c>
      <c r="E85" s="2" t="n">
        <v>3</v>
      </c>
      <c r="F85" s="2" t="n">
        <v>3</v>
      </c>
      <c r="G85" s="2" t="n">
        <v>2</v>
      </c>
      <c r="H85" s="2" t="n">
        <v>1</v>
      </c>
      <c r="I85" s="2" t="n">
        <v>2</v>
      </c>
      <c r="J85" s="2" t="n">
        <v>0</v>
      </c>
      <c r="K85" s="2" t="n">
        <v>0</v>
      </c>
      <c r="L85" s="11" t="b">
        <f aca="false">FALSE()</f>
        <v>0</v>
      </c>
      <c r="M85" s="2" t="s">
        <v>406</v>
      </c>
      <c r="N85" s="2" t="n">
        <f aca="false">IF(E85&gt;0,F85/E85,"")</f>
        <v>1</v>
      </c>
      <c r="O85" s="2" t="str">
        <f aca="false">IF(AND(E85&gt;0,L85),J85/E85,"")</f>
        <v/>
      </c>
    </row>
    <row r="86" customFormat="false" ht="15" hidden="false" customHeight="false" outlineLevel="0" collapsed="false">
      <c r="A86" s="2" t="n">
        <v>2019</v>
      </c>
      <c r="B86" s="2" t="s">
        <v>459</v>
      </c>
      <c r="C86" s="2" t="s">
        <v>418</v>
      </c>
      <c r="D86" s="2" t="s">
        <v>24</v>
      </c>
      <c r="E86" s="2" t="n">
        <v>6</v>
      </c>
      <c r="F86" s="2" t="n">
        <v>26</v>
      </c>
      <c r="G86" s="2" t="n">
        <v>16</v>
      </c>
      <c r="H86" s="2" t="n">
        <v>6</v>
      </c>
      <c r="I86" s="2" t="n">
        <v>1</v>
      </c>
      <c r="J86" s="2" t="n">
        <v>0</v>
      </c>
      <c r="K86" s="2" t="n">
        <v>0</v>
      </c>
      <c r="L86" s="11" t="b">
        <f aca="false">FALSE()</f>
        <v>0</v>
      </c>
      <c r="M86" s="2" t="s">
        <v>406</v>
      </c>
      <c r="N86" s="2" t="n">
        <f aca="false">IF(E86&gt;0,F86/E86,"")</f>
        <v>4.33333333333333</v>
      </c>
      <c r="O86" s="2" t="str">
        <f aca="false">IF(AND(E86&gt;0,L86),J86/E86,"")</f>
        <v/>
      </c>
    </row>
    <row r="87" customFormat="false" ht="15" hidden="false" customHeight="false" outlineLevel="0" collapsed="false">
      <c r="A87" s="2" t="n">
        <v>2019</v>
      </c>
      <c r="B87" s="2" t="s">
        <v>27</v>
      </c>
      <c r="C87" s="2" t="s">
        <v>412</v>
      </c>
      <c r="D87" s="2" t="s">
        <v>24</v>
      </c>
      <c r="E87" s="2" t="n">
        <v>10</v>
      </c>
      <c r="F87" s="2" t="n">
        <v>43</v>
      </c>
      <c r="G87" s="2" t="n">
        <v>31</v>
      </c>
      <c r="H87" s="2" t="n">
        <v>12</v>
      </c>
      <c r="I87" s="2" t="n">
        <v>13</v>
      </c>
      <c r="J87" s="2" t="n">
        <v>0</v>
      </c>
      <c r="K87" s="2" t="n">
        <v>0</v>
      </c>
      <c r="L87" s="11" t="b">
        <f aca="false">FALSE()</f>
        <v>0</v>
      </c>
      <c r="M87" s="2" t="s">
        <v>406</v>
      </c>
      <c r="N87" s="2" t="n">
        <f aca="false">IF(E87&gt;0,F87/E87,"")</f>
        <v>4.3</v>
      </c>
      <c r="O87" s="2" t="str">
        <f aca="false">IF(AND(E87&gt;0,L87),J87/E87,"")</f>
        <v/>
      </c>
    </row>
    <row r="88" customFormat="false" ht="15" hidden="false" customHeight="false" outlineLevel="0" collapsed="false">
      <c r="A88" s="2" t="n">
        <v>2019</v>
      </c>
      <c r="B88" s="2" t="s">
        <v>460</v>
      </c>
      <c r="C88" s="2" t="s">
        <v>414</v>
      </c>
      <c r="D88" s="2" t="s">
        <v>29</v>
      </c>
      <c r="E88" s="2" t="n">
        <v>3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11" t="b">
        <f aca="false">FALSE()</f>
        <v>0</v>
      </c>
      <c r="M88" s="2" t="s">
        <v>406</v>
      </c>
      <c r="N88" s="2" t="n">
        <f aca="false">IF(E88&gt;0,F88/E88,"")</f>
        <v>0</v>
      </c>
      <c r="O88" s="2" t="str">
        <f aca="false">IF(AND(E88&gt;0,L88),J88/E88,"")</f>
        <v/>
      </c>
    </row>
    <row r="89" customFormat="false" ht="15" hidden="false" customHeight="false" outlineLevel="0" collapsed="false">
      <c r="A89" s="2" t="n">
        <v>2019</v>
      </c>
      <c r="B89" s="2" t="s">
        <v>461</v>
      </c>
      <c r="C89" s="2" t="s">
        <v>420</v>
      </c>
      <c r="D89" s="2" t="s">
        <v>29</v>
      </c>
      <c r="E89" s="2" t="n">
        <v>10</v>
      </c>
      <c r="F89" s="2" t="n">
        <v>4</v>
      </c>
      <c r="G89" s="2" t="n">
        <v>3</v>
      </c>
      <c r="H89" s="2" t="n">
        <v>1</v>
      </c>
      <c r="I89" s="2" t="n">
        <v>3</v>
      </c>
      <c r="J89" s="2" t="n">
        <v>0</v>
      </c>
      <c r="K89" s="2" t="n">
        <v>0</v>
      </c>
      <c r="L89" s="11" t="b">
        <f aca="false">FALSE()</f>
        <v>0</v>
      </c>
      <c r="M89" s="2" t="s">
        <v>406</v>
      </c>
      <c r="N89" s="2" t="n">
        <f aca="false">IF(E89&gt;0,F89/E89,"")</f>
        <v>0.4</v>
      </c>
      <c r="O89" s="2" t="str">
        <f aca="false">IF(AND(E89&gt;0,L89),J89/E89,"")</f>
        <v/>
      </c>
    </row>
    <row r="90" customFormat="false" ht="15" hidden="false" customHeight="false" outlineLevel="0" collapsed="false">
      <c r="A90" s="2" t="n">
        <v>2019</v>
      </c>
      <c r="B90" s="2" t="s">
        <v>462</v>
      </c>
      <c r="C90" s="2" t="s">
        <v>408</v>
      </c>
      <c r="D90" s="2" t="s">
        <v>29</v>
      </c>
      <c r="E90" s="2" t="n">
        <v>10</v>
      </c>
      <c r="F90" s="2" t="n">
        <v>44</v>
      </c>
      <c r="G90" s="2" t="n">
        <v>27</v>
      </c>
      <c r="H90" s="2" t="n">
        <v>11</v>
      </c>
      <c r="I90" s="2" t="n">
        <v>2</v>
      </c>
      <c r="J90" s="2" t="n">
        <v>0</v>
      </c>
      <c r="K90" s="2" t="n">
        <v>0</v>
      </c>
      <c r="L90" s="11" t="b">
        <f aca="false">FALSE()</f>
        <v>0</v>
      </c>
      <c r="M90" s="2" t="s">
        <v>406</v>
      </c>
      <c r="N90" s="2" t="n">
        <f aca="false">IF(E90&gt;0,F90/E90,"")</f>
        <v>4.4</v>
      </c>
      <c r="O90" s="2" t="str">
        <f aca="false">IF(AND(E90&gt;0,L90),J90/E90,"")</f>
        <v/>
      </c>
    </row>
    <row r="91" customFormat="false" ht="15" hidden="false" customHeight="false" outlineLevel="0" collapsed="false">
      <c r="A91" s="2" t="n">
        <v>2019</v>
      </c>
      <c r="B91" s="2" t="s">
        <v>309</v>
      </c>
      <c r="C91" s="2" t="s">
        <v>408</v>
      </c>
      <c r="D91" s="2" t="s">
        <v>117</v>
      </c>
      <c r="E91" s="2" t="n">
        <v>10</v>
      </c>
      <c r="F91" s="2" t="n">
        <v>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11" t="b">
        <f aca="false">FALSE()</f>
        <v>0</v>
      </c>
      <c r="M91" s="2" t="s">
        <v>406</v>
      </c>
      <c r="N91" s="2" t="n">
        <f aca="false">IF(E91&gt;0,F91/E91,"")</f>
        <v>0.3</v>
      </c>
      <c r="O91" s="2" t="str">
        <f aca="false">IF(AND(E91&gt;0,L91),J91/E91,"")</f>
        <v/>
      </c>
    </row>
    <row r="92" customFormat="false" ht="15" hidden="false" customHeight="false" outlineLevel="0" collapsed="false">
      <c r="A92" s="2" t="n">
        <v>2019</v>
      </c>
      <c r="B92" s="2" t="s">
        <v>337</v>
      </c>
      <c r="C92" s="2" t="s">
        <v>408</v>
      </c>
      <c r="D92" s="2" t="s">
        <v>29</v>
      </c>
      <c r="E92" s="2" t="n">
        <v>9</v>
      </c>
      <c r="F92" s="2" t="n">
        <v>2</v>
      </c>
      <c r="G92" s="2" t="n">
        <v>2</v>
      </c>
      <c r="H92" s="2" t="n">
        <v>0</v>
      </c>
      <c r="I92" s="2" t="n">
        <v>0</v>
      </c>
      <c r="J92" s="2" t="n">
        <v>0</v>
      </c>
      <c r="K92" s="2" t="n">
        <v>0</v>
      </c>
      <c r="L92" s="11" t="b">
        <f aca="false">FALSE()</f>
        <v>0</v>
      </c>
      <c r="M92" s="2" t="s">
        <v>406</v>
      </c>
      <c r="N92" s="2" t="n">
        <f aca="false">IF(E92&gt;0,F92/E92,"")</f>
        <v>0.222222222222222</v>
      </c>
      <c r="O92" s="2" t="str">
        <f aca="false">IF(AND(E92&gt;0,L92),J92/E92,"")</f>
        <v/>
      </c>
    </row>
    <row r="93" customFormat="false" ht="15" hidden="false" customHeight="false" outlineLevel="0" collapsed="false">
      <c r="A93" s="2" t="n">
        <v>2019</v>
      </c>
      <c r="B93" s="2" t="s">
        <v>340</v>
      </c>
      <c r="C93" s="2" t="s">
        <v>420</v>
      </c>
      <c r="D93" s="2" t="s">
        <v>117</v>
      </c>
      <c r="E93" s="2" t="n">
        <v>10</v>
      </c>
      <c r="F93" s="2" t="n">
        <v>1</v>
      </c>
      <c r="G93" s="2" t="n">
        <v>1</v>
      </c>
      <c r="H93" s="2" t="n">
        <v>0</v>
      </c>
      <c r="I93" s="2" t="n">
        <v>0</v>
      </c>
      <c r="J93" s="2" t="n">
        <v>0</v>
      </c>
      <c r="K93" s="2" t="n">
        <v>0</v>
      </c>
      <c r="L93" s="11" t="b">
        <f aca="false">FALSE()</f>
        <v>0</v>
      </c>
      <c r="M93" s="2" t="s">
        <v>406</v>
      </c>
      <c r="N93" s="2" t="n">
        <f aca="false">IF(E93&gt;0,F93/E93,"")</f>
        <v>0.1</v>
      </c>
      <c r="O93" s="2" t="str">
        <f aca="false">IF(AND(E93&gt;0,L93),J93/E93,"")</f>
        <v/>
      </c>
    </row>
    <row r="94" customFormat="false" ht="15" hidden="false" customHeight="false" outlineLevel="0" collapsed="false">
      <c r="A94" s="2" t="n">
        <v>2019</v>
      </c>
      <c r="B94" s="2" t="s">
        <v>463</v>
      </c>
      <c r="C94" s="2" t="s">
        <v>418</v>
      </c>
      <c r="D94" s="2" t="s">
        <v>117</v>
      </c>
      <c r="E94" s="2" t="n">
        <v>6</v>
      </c>
      <c r="F94" s="2" t="n">
        <v>1</v>
      </c>
      <c r="G94" s="2" t="n">
        <v>1</v>
      </c>
      <c r="H94" s="2" t="n">
        <v>1</v>
      </c>
      <c r="I94" s="2" t="n">
        <v>0</v>
      </c>
      <c r="J94" s="2" t="n">
        <v>0</v>
      </c>
      <c r="K94" s="2" t="n">
        <v>0</v>
      </c>
      <c r="L94" s="11" t="b">
        <f aca="false">FALSE()</f>
        <v>0</v>
      </c>
      <c r="M94" s="2" t="s">
        <v>406</v>
      </c>
      <c r="N94" s="2" t="n">
        <f aca="false">IF(E94&gt;0,F94/E94,"")</f>
        <v>0.166666666666667</v>
      </c>
      <c r="O94" s="2" t="str">
        <f aca="false">IF(AND(E94&gt;0,L94),J94/E94,"")</f>
        <v/>
      </c>
    </row>
    <row r="95" customFormat="false" ht="15" hidden="false" customHeight="false" outlineLevel="0" collapsed="false">
      <c r="A95" s="2" t="n">
        <v>2019</v>
      </c>
      <c r="B95" s="2" t="s">
        <v>464</v>
      </c>
      <c r="C95" s="2" t="s">
        <v>414</v>
      </c>
      <c r="D95" s="2" t="s">
        <v>409</v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11" t="b">
        <f aca="false">FALSE()</f>
        <v>0</v>
      </c>
      <c r="M95" s="2" t="s">
        <v>410</v>
      </c>
      <c r="N95" s="2" t="n">
        <f aca="false">IF(E95&gt;0,F95/E95,"")</f>
        <v>0</v>
      </c>
      <c r="O95" s="2" t="str">
        <f aca="false">IF(AND(E95&gt;0,L95),J95/E95,"")</f>
        <v/>
      </c>
    </row>
    <row r="96" customFormat="false" ht="15" hidden="false" customHeight="false" outlineLevel="0" collapsed="false">
      <c r="A96" s="2" t="n">
        <v>2019</v>
      </c>
      <c r="B96" s="2" t="s">
        <v>143</v>
      </c>
      <c r="C96" s="2" t="s">
        <v>414</v>
      </c>
      <c r="D96" s="2" t="s">
        <v>117</v>
      </c>
      <c r="E96" s="2" t="n">
        <v>10</v>
      </c>
      <c r="F96" s="2" t="n">
        <v>1</v>
      </c>
      <c r="G96" s="2" t="n">
        <v>1</v>
      </c>
      <c r="H96" s="2" t="n">
        <v>1</v>
      </c>
      <c r="I96" s="2" t="n">
        <v>0</v>
      </c>
      <c r="J96" s="2" t="n">
        <v>0</v>
      </c>
      <c r="K96" s="2" t="n">
        <v>0</v>
      </c>
      <c r="L96" s="11" t="b">
        <f aca="false">FALSE()</f>
        <v>0</v>
      </c>
      <c r="M96" s="2" t="s">
        <v>406</v>
      </c>
      <c r="N96" s="2" t="n">
        <f aca="false">IF(E96&gt;0,F96/E96,"")</f>
        <v>0.1</v>
      </c>
      <c r="O96" s="2" t="str">
        <f aca="false">IF(AND(E96&gt;0,L96),J96/E96,"")</f>
        <v/>
      </c>
    </row>
    <row r="97" customFormat="false" ht="15" hidden="false" customHeight="false" outlineLevel="0" collapsed="false">
      <c r="A97" s="2" t="n">
        <v>2019</v>
      </c>
      <c r="B97" s="2" t="s">
        <v>465</v>
      </c>
      <c r="C97" s="2" t="s">
        <v>418</v>
      </c>
      <c r="D97" s="2" t="s">
        <v>117</v>
      </c>
      <c r="E97" s="2" t="n">
        <v>4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11" t="b">
        <f aca="false">FALSE()</f>
        <v>0</v>
      </c>
      <c r="M97" s="2" t="s">
        <v>406</v>
      </c>
      <c r="N97" s="2" t="n">
        <f aca="false">IF(E97&gt;0,F97/E97,"")</f>
        <v>0</v>
      </c>
      <c r="O97" s="2" t="str">
        <f aca="false">IF(AND(E97&gt;0,L97),J97/E97,"")</f>
        <v/>
      </c>
    </row>
    <row r="98" customFormat="false" ht="15" hidden="false" customHeight="false" outlineLevel="0" collapsed="false">
      <c r="A98" s="2" t="n">
        <v>2019</v>
      </c>
      <c r="B98" s="2" t="s">
        <v>466</v>
      </c>
      <c r="C98" s="2" t="s">
        <v>408</v>
      </c>
      <c r="D98" s="2" t="s">
        <v>117</v>
      </c>
      <c r="E98" s="2" t="n">
        <v>3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11" t="b">
        <f aca="false">FALSE()</f>
        <v>0</v>
      </c>
      <c r="M98" s="2" t="s">
        <v>406</v>
      </c>
      <c r="N98" s="2" t="n">
        <f aca="false">IF(E98&gt;0,F98/E98,"")</f>
        <v>0</v>
      </c>
      <c r="O98" s="2" t="str">
        <f aca="false">IF(AND(E98&gt;0,L98),J98/E98,"")</f>
        <v/>
      </c>
    </row>
    <row r="99" customFormat="false" ht="15" hidden="false" customHeight="false" outlineLevel="0" collapsed="false">
      <c r="A99" s="2" t="n">
        <v>2019</v>
      </c>
      <c r="B99" s="2" t="s">
        <v>467</v>
      </c>
      <c r="C99" s="2" t="s">
        <v>414</v>
      </c>
      <c r="D99" s="2" t="s">
        <v>413</v>
      </c>
      <c r="E99" s="2" t="n">
        <v>10</v>
      </c>
      <c r="F99" s="2" t="n">
        <v>15</v>
      </c>
      <c r="G99" s="2" t="n">
        <v>9</v>
      </c>
      <c r="H99" s="2" t="n">
        <v>6</v>
      </c>
      <c r="I99" s="2" t="n">
        <v>6</v>
      </c>
      <c r="J99" s="2" t="n">
        <v>0</v>
      </c>
      <c r="K99" s="2" t="n">
        <v>0</v>
      </c>
      <c r="L99" s="11" t="b">
        <f aca="false">FALSE()</f>
        <v>0</v>
      </c>
      <c r="M99" s="2" t="s">
        <v>410</v>
      </c>
      <c r="N99" s="2" t="n">
        <f aca="false">IF(E99&gt;0,F99/E99,"")</f>
        <v>1.5</v>
      </c>
      <c r="O99" s="2" t="str">
        <f aca="false">IF(AND(E99&gt;0,L99),J99/E99,"")</f>
        <v/>
      </c>
    </row>
    <row r="100" customFormat="false" ht="15" hidden="false" customHeight="false" outlineLevel="0" collapsed="false">
      <c r="A100" s="2" t="n">
        <v>2019</v>
      </c>
      <c r="B100" s="2" t="s">
        <v>323</v>
      </c>
      <c r="C100" s="2" t="s">
        <v>405</v>
      </c>
      <c r="D100" s="2" t="s">
        <v>29</v>
      </c>
      <c r="E100" s="2" t="n">
        <v>8</v>
      </c>
      <c r="F100" s="2" t="n">
        <v>10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11" t="b">
        <f aca="false">FALSE()</f>
        <v>0</v>
      </c>
      <c r="M100" s="2" t="s">
        <v>406</v>
      </c>
      <c r="N100" s="2" t="n">
        <f aca="false">IF(E100&gt;0,F100/E100,"")</f>
        <v>1.25</v>
      </c>
      <c r="O100" s="2" t="str">
        <f aca="false">IF(AND(E100&gt;0,L100),J100/E100,"")</f>
        <v/>
      </c>
    </row>
    <row r="101" customFormat="false" ht="15" hidden="false" customHeight="false" outlineLevel="0" collapsed="false">
      <c r="A101" s="2" t="n">
        <v>2019</v>
      </c>
      <c r="B101" s="2" t="s">
        <v>146</v>
      </c>
      <c r="C101" s="2" t="s">
        <v>420</v>
      </c>
      <c r="D101" s="2" t="s">
        <v>117</v>
      </c>
      <c r="E101" s="2" t="n">
        <v>10</v>
      </c>
      <c r="F101" s="2" t="n">
        <v>14</v>
      </c>
      <c r="G101" s="2" t="n">
        <v>7</v>
      </c>
      <c r="H101" s="2" t="n">
        <v>5</v>
      </c>
      <c r="I101" s="2" t="n">
        <v>0</v>
      </c>
      <c r="J101" s="2" t="n">
        <v>0</v>
      </c>
      <c r="K101" s="2" t="n">
        <v>0</v>
      </c>
      <c r="L101" s="11" t="b">
        <f aca="false">FALSE()</f>
        <v>0</v>
      </c>
      <c r="M101" s="2" t="s">
        <v>406</v>
      </c>
      <c r="N101" s="2" t="n">
        <f aca="false">IF(E101&gt;0,F101/E101,"")</f>
        <v>1.4</v>
      </c>
      <c r="O101" s="2" t="str">
        <f aca="false">IF(AND(E101&gt;0,L101),J101/E101,"")</f>
        <v/>
      </c>
    </row>
    <row r="102" customFormat="false" ht="15" hidden="false" customHeight="false" outlineLevel="0" collapsed="false">
      <c r="A102" s="2" t="n">
        <v>2019</v>
      </c>
      <c r="B102" s="2" t="s">
        <v>468</v>
      </c>
      <c r="C102" s="2" t="s">
        <v>408</v>
      </c>
      <c r="D102" s="2" t="s">
        <v>115</v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11" t="b">
        <f aca="false">FALSE()</f>
        <v>0</v>
      </c>
      <c r="M102" s="2" t="s">
        <v>410</v>
      </c>
      <c r="N102" s="2" t="n">
        <f aca="false">IF(E102&gt;0,F102/E102,"")</f>
        <v>0</v>
      </c>
      <c r="O102" s="2" t="str">
        <f aca="false">IF(AND(E102&gt;0,L102),J102/E102,"")</f>
        <v/>
      </c>
    </row>
    <row r="103" customFormat="false" ht="15" hidden="false" customHeight="false" outlineLevel="0" collapsed="false">
      <c r="A103" s="2" t="n">
        <v>2019</v>
      </c>
      <c r="B103" s="2" t="s">
        <v>469</v>
      </c>
      <c r="C103" s="2" t="s">
        <v>412</v>
      </c>
      <c r="D103" s="2"/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11" t="b">
        <f aca="false">FALSE()</f>
        <v>0</v>
      </c>
      <c r="M103" s="2" t="s">
        <v>410</v>
      </c>
      <c r="N103" s="2" t="str">
        <f aca="false">IF(E103&gt;0,F103/E103,"")</f>
        <v/>
      </c>
      <c r="O103" s="2" t="str">
        <f aca="false">IF(AND(E103&gt;0,L103),J103/E103,"")</f>
        <v/>
      </c>
    </row>
    <row r="104" customFormat="false" ht="15" hidden="false" customHeight="false" outlineLevel="0" collapsed="false">
      <c r="A104" s="2" t="n">
        <v>2019</v>
      </c>
      <c r="B104" s="2" t="s">
        <v>470</v>
      </c>
      <c r="C104" s="2" t="s">
        <v>418</v>
      </c>
      <c r="D104" s="2" t="s">
        <v>29</v>
      </c>
      <c r="E104" s="2" t="n">
        <v>7</v>
      </c>
      <c r="F104" s="2" t="n">
        <v>4</v>
      </c>
      <c r="G104" s="2" t="n">
        <v>3</v>
      </c>
      <c r="H104" s="2" t="n">
        <v>1</v>
      </c>
      <c r="I104" s="2" t="n">
        <v>0</v>
      </c>
      <c r="J104" s="2" t="n">
        <v>0</v>
      </c>
      <c r="K104" s="2" t="n">
        <v>0</v>
      </c>
      <c r="L104" s="11" t="b">
        <f aca="false">FALSE()</f>
        <v>0</v>
      </c>
      <c r="M104" s="2" t="s">
        <v>406</v>
      </c>
      <c r="N104" s="2" t="n">
        <f aca="false">IF(E104&gt;0,F104/E104,"")</f>
        <v>0.571428571428571</v>
      </c>
      <c r="O104" s="2" t="str">
        <f aca="false">IF(AND(E104&gt;0,L104),J104/E104,"")</f>
        <v/>
      </c>
    </row>
    <row r="105" customFormat="false" ht="15" hidden="false" customHeight="false" outlineLevel="0" collapsed="false">
      <c r="A105" s="2" t="n">
        <v>2019</v>
      </c>
      <c r="B105" s="2" t="s">
        <v>471</v>
      </c>
      <c r="C105" s="2" t="s">
        <v>405</v>
      </c>
      <c r="D105" s="2" t="s">
        <v>29</v>
      </c>
      <c r="E105" s="2" t="n">
        <v>3</v>
      </c>
      <c r="F105" s="2" t="n">
        <v>3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11" t="b">
        <f aca="false">FALSE()</f>
        <v>0</v>
      </c>
      <c r="M105" s="2" t="s">
        <v>406</v>
      </c>
      <c r="N105" s="2" t="n">
        <f aca="false">IF(E105&gt;0,F105/E105,"")</f>
        <v>1</v>
      </c>
      <c r="O105" s="2" t="str">
        <f aca="false">IF(AND(E105&gt;0,L105),J105/E105,"")</f>
        <v/>
      </c>
    </row>
    <row r="106" customFormat="false" ht="15" hidden="false" customHeight="false" outlineLevel="0" collapsed="false">
      <c r="A106" s="2" t="n">
        <v>2019</v>
      </c>
      <c r="B106" s="2" t="s">
        <v>472</v>
      </c>
      <c r="C106" s="2" t="s">
        <v>412</v>
      </c>
      <c r="D106" s="2" t="s">
        <v>24</v>
      </c>
      <c r="E106" s="2" t="n">
        <v>2</v>
      </c>
      <c r="F106" s="2" t="n">
        <v>4</v>
      </c>
      <c r="G106" s="2" t="n">
        <v>3</v>
      </c>
      <c r="H106" s="2" t="n">
        <v>1</v>
      </c>
      <c r="I106" s="2" t="n">
        <v>0</v>
      </c>
      <c r="J106" s="2" t="n">
        <v>0</v>
      </c>
      <c r="K106" s="2" t="n">
        <v>0</v>
      </c>
      <c r="L106" s="11" t="b">
        <f aca="false">FALSE()</f>
        <v>0</v>
      </c>
      <c r="M106" s="2" t="s">
        <v>410</v>
      </c>
      <c r="N106" s="2" t="n">
        <f aca="false">IF(E106&gt;0,F106/E106,"")</f>
        <v>2</v>
      </c>
      <c r="O106" s="2" t="str">
        <f aca="false">IF(AND(E106&gt;0,L106),J106/E106,"")</f>
        <v/>
      </c>
    </row>
    <row r="107" customFormat="false" ht="15" hidden="false" customHeight="false" outlineLevel="0" collapsed="false">
      <c r="A107" s="2" t="n">
        <v>2019</v>
      </c>
      <c r="B107" s="2" t="s">
        <v>473</v>
      </c>
      <c r="C107" s="2" t="s">
        <v>414</v>
      </c>
      <c r="D107" s="2" t="s">
        <v>115</v>
      </c>
      <c r="E107" s="2" t="n">
        <v>6</v>
      </c>
      <c r="F107" s="2" t="n">
        <v>1</v>
      </c>
      <c r="G107" s="2" t="n">
        <v>1</v>
      </c>
      <c r="H107" s="2" t="n">
        <v>1</v>
      </c>
      <c r="I107" s="2" t="n">
        <v>0</v>
      </c>
      <c r="J107" s="2" t="n">
        <v>0</v>
      </c>
      <c r="K107" s="2" t="n">
        <v>0</v>
      </c>
      <c r="L107" s="11" t="b">
        <f aca="false">FALSE()</f>
        <v>0</v>
      </c>
      <c r="M107" s="2" t="s">
        <v>406</v>
      </c>
      <c r="N107" s="2" t="n">
        <f aca="false">IF(E107&gt;0,F107/E107,"")</f>
        <v>0.166666666666667</v>
      </c>
      <c r="O107" s="2" t="str">
        <f aca="false">IF(AND(E107&gt;0,L107),J107/E107,"")</f>
        <v/>
      </c>
    </row>
    <row r="108" customFormat="false" ht="15" hidden="false" customHeight="false" outlineLevel="0" collapsed="false">
      <c r="A108" s="2" t="n">
        <v>2019</v>
      </c>
      <c r="B108" s="2" t="s">
        <v>86</v>
      </c>
      <c r="C108" s="2" t="s">
        <v>405</v>
      </c>
      <c r="D108" s="2" t="s">
        <v>29</v>
      </c>
      <c r="E108" s="2" t="n">
        <v>10</v>
      </c>
      <c r="F108" s="2" t="n">
        <v>43</v>
      </c>
      <c r="G108" s="2" t="n">
        <v>21</v>
      </c>
      <c r="H108" s="2" t="n">
        <v>9</v>
      </c>
      <c r="I108" s="2" t="n">
        <v>1</v>
      </c>
      <c r="J108" s="2" t="n">
        <v>0</v>
      </c>
      <c r="K108" s="2" t="n">
        <v>0</v>
      </c>
      <c r="L108" s="11" t="b">
        <f aca="false">FALSE()</f>
        <v>0</v>
      </c>
      <c r="M108" s="2" t="s">
        <v>406</v>
      </c>
      <c r="N108" s="2" t="n">
        <f aca="false">IF(E108&gt;0,F108/E108,"")</f>
        <v>4.3</v>
      </c>
      <c r="O108" s="2" t="str">
        <f aca="false">IF(AND(E108&gt;0,L108),J108/E108,"")</f>
        <v/>
      </c>
    </row>
    <row r="109" customFormat="false" ht="15" hidden="false" customHeight="false" outlineLevel="0" collapsed="false">
      <c r="A109" s="2" t="n">
        <v>2019</v>
      </c>
      <c r="B109" s="2" t="s">
        <v>357</v>
      </c>
      <c r="C109" s="2" t="s">
        <v>405</v>
      </c>
      <c r="D109" s="2" t="s">
        <v>24</v>
      </c>
      <c r="E109" s="2" t="n">
        <v>7</v>
      </c>
      <c r="F109" s="2" t="n">
        <v>22</v>
      </c>
      <c r="G109" s="2" t="n">
        <v>12</v>
      </c>
      <c r="H109" s="2" t="n">
        <v>9</v>
      </c>
      <c r="I109" s="2" t="n">
        <v>3</v>
      </c>
      <c r="J109" s="2" t="n">
        <v>0</v>
      </c>
      <c r="K109" s="2" t="n">
        <v>0</v>
      </c>
      <c r="L109" s="11" t="b">
        <f aca="false">FALSE()</f>
        <v>0</v>
      </c>
      <c r="M109" s="2" t="s">
        <v>406</v>
      </c>
      <c r="N109" s="2" t="n">
        <f aca="false">IF(E109&gt;0,F109/E109,"")</f>
        <v>3.14285714285714</v>
      </c>
      <c r="O109" s="2" t="str">
        <f aca="false">IF(AND(E109&gt;0,L109),J109/E109,"")</f>
        <v/>
      </c>
    </row>
    <row r="110" customFormat="false" ht="15" hidden="false" customHeight="false" outlineLevel="0" collapsed="false">
      <c r="A110" s="2" t="n">
        <v>2019</v>
      </c>
      <c r="B110" s="2" t="s">
        <v>474</v>
      </c>
      <c r="C110" s="2" t="s">
        <v>408</v>
      </c>
      <c r="D110" s="2" t="s">
        <v>29</v>
      </c>
      <c r="E110" s="2" t="n">
        <v>8</v>
      </c>
      <c r="F110" s="2" t="n">
        <v>6</v>
      </c>
      <c r="G110" s="2" t="n">
        <v>3</v>
      </c>
      <c r="H110" s="2" t="n">
        <v>0</v>
      </c>
      <c r="I110" s="2" t="n">
        <v>2</v>
      </c>
      <c r="J110" s="2" t="n">
        <v>0</v>
      </c>
      <c r="K110" s="2" t="n">
        <v>0</v>
      </c>
      <c r="L110" s="11" t="b">
        <f aca="false">FALSE()</f>
        <v>0</v>
      </c>
      <c r="M110" s="2" t="s">
        <v>406</v>
      </c>
      <c r="N110" s="2" t="n">
        <f aca="false">IF(E110&gt;0,F110/E110,"")</f>
        <v>0.75</v>
      </c>
      <c r="O110" s="2" t="str">
        <f aca="false">IF(AND(E110&gt;0,L110),J110/E110,"")</f>
        <v/>
      </c>
    </row>
    <row r="111" customFormat="false" ht="15" hidden="false" customHeight="false" outlineLevel="0" collapsed="false">
      <c r="A111" s="2" t="n">
        <v>2019</v>
      </c>
      <c r="B111" s="2" t="s">
        <v>475</v>
      </c>
      <c r="C111" s="2" t="s">
        <v>412</v>
      </c>
      <c r="D111" s="2" t="s">
        <v>117</v>
      </c>
      <c r="E111" s="2" t="n">
        <v>10</v>
      </c>
      <c r="F111" s="2" t="n">
        <v>2</v>
      </c>
      <c r="G111" s="2" t="n">
        <v>1</v>
      </c>
      <c r="H111" s="2" t="n">
        <v>0</v>
      </c>
      <c r="I111" s="2" t="n">
        <v>0</v>
      </c>
      <c r="J111" s="2" t="n">
        <v>0</v>
      </c>
      <c r="K111" s="2" t="n">
        <v>0</v>
      </c>
      <c r="L111" s="11" t="b">
        <f aca="false">FALSE()</f>
        <v>0</v>
      </c>
      <c r="M111" s="2" t="s">
        <v>406</v>
      </c>
      <c r="N111" s="2" t="n">
        <f aca="false">IF(E111&gt;0,F111/E111,"")</f>
        <v>0.2</v>
      </c>
      <c r="O111" s="2" t="str">
        <f aca="false">IF(AND(E111&gt;0,L111),J111/E111,"")</f>
        <v/>
      </c>
    </row>
    <row r="112" customFormat="false" ht="15" hidden="false" customHeight="false" outlineLevel="0" collapsed="false">
      <c r="A112" s="2" t="n">
        <v>2019</v>
      </c>
      <c r="B112" s="2" t="s">
        <v>476</v>
      </c>
      <c r="C112" s="2" t="s">
        <v>408</v>
      </c>
      <c r="D112" s="2" t="s">
        <v>117</v>
      </c>
      <c r="E112" s="2" t="n">
        <v>10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11" t="b">
        <f aca="false">FALSE()</f>
        <v>0</v>
      </c>
      <c r="M112" s="2" t="s">
        <v>406</v>
      </c>
      <c r="N112" s="2" t="n">
        <f aca="false">IF(E112&gt;0,F112/E112,"")</f>
        <v>0</v>
      </c>
      <c r="O112" s="2" t="str">
        <f aca="false">IF(AND(E112&gt;0,L112),J112/E112,"")</f>
        <v/>
      </c>
    </row>
    <row r="113" customFormat="false" ht="15" hidden="false" customHeight="false" outlineLevel="0" collapsed="false">
      <c r="A113" s="2" t="n">
        <v>2019</v>
      </c>
      <c r="B113" s="2" t="s">
        <v>477</v>
      </c>
      <c r="C113" s="2" t="s">
        <v>418</v>
      </c>
      <c r="D113" s="2" t="s">
        <v>29</v>
      </c>
      <c r="E113" s="2" t="n">
        <v>5</v>
      </c>
      <c r="F113" s="2" t="n">
        <v>2</v>
      </c>
      <c r="G113" s="2" t="n">
        <v>0</v>
      </c>
      <c r="H113" s="2" t="n">
        <v>0</v>
      </c>
      <c r="I113" s="2" t="n">
        <v>1</v>
      </c>
      <c r="J113" s="2" t="n">
        <v>0</v>
      </c>
      <c r="K113" s="2" t="n">
        <v>0</v>
      </c>
      <c r="L113" s="11" t="b">
        <f aca="false">FALSE()</f>
        <v>0</v>
      </c>
      <c r="M113" s="2" t="s">
        <v>406</v>
      </c>
      <c r="N113" s="2" t="n">
        <f aca="false">IF(E113&gt;0,F113/E113,"")</f>
        <v>0.4</v>
      </c>
      <c r="O113" s="2" t="str">
        <f aca="false">IF(AND(E113&gt;0,L113),J113/E113,"")</f>
        <v/>
      </c>
    </row>
    <row r="114" customFormat="false" ht="15" hidden="false" customHeight="false" outlineLevel="0" collapsed="false">
      <c r="A114" s="2" t="n">
        <v>2019</v>
      </c>
      <c r="B114" s="2" t="s">
        <v>478</v>
      </c>
      <c r="C114" s="2" t="s">
        <v>418</v>
      </c>
      <c r="D114" s="2" t="s">
        <v>409</v>
      </c>
      <c r="E114" s="2" t="n">
        <v>3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11" t="b">
        <f aca="false">FALSE()</f>
        <v>0</v>
      </c>
      <c r="M114" s="2" t="s">
        <v>410</v>
      </c>
      <c r="N114" s="2" t="n">
        <f aca="false">IF(E114&gt;0,F114/E114,"")</f>
        <v>0</v>
      </c>
      <c r="O114" s="2" t="str">
        <f aca="false">IF(AND(E114&gt;0,L114),J114/E114,"")</f>
        <v/>
      </c>
    </row>
    <row r="115" customFormat="false" ht="15" hidden="false" customHeight="false" outlineLevel="0" collapsed="false">
      <c r="A115" s="2" t="n">
        <v>2019</v>
      </c>
      <c r="B115" s="2" t="s">
        <v>479</v>
      </c>
      <c r="C115" s="2" t="s">
        <v>412</v>
      </c>
      <c r="D115" s="2" t="s">
        <v>29</v>
      </c>
      <c r="E115" s="2" t="n">
        <v>10</v>
      </c>
      <c r="F115" s="2" t="n">
        <v>47</v>
      </c>
      <c r="G115" s="2" t="n">
        <v>27</v>
      </c>
      <c r="H115" s="2" t="n">
        <v>11</v>
      </c>
      <c r="I115" s="2" t="n">
        <v>11</v>
      </c>
      <c r="J115" s="2" t="n">
        <v>0</v>
      </c>
      <c r="K115" s="2" t="n">
        <v>0</v>
      </c>
      <c r="L115" s="11" t="b">
        <f aca="false">FALSE()</f>
        <v>0</v>
      </c>
      <c r="M115" s="2" t="s">
        <v>406</v>
      </c>
      <c r="N115" s="2" t="n">
        <f aca="false">IF(E115&gt;0,F115/E115,"")</f>
        <v>4.7</v>
      </c>
      <c r="O115" s="2" t="str">
        <f aca="false">IF(AND(E115&gt;0,L115),J115/E115,"")</f>
        <v/>
      </c>
    </row>
    <row r="116" customFormat="false" ht="15" hidden="false" customHeight="false" outlineLevel="0" collapsed="false">
      <c r="A116" s="2" t="n">
        <v>2019</v>
      </c>
      <c r="B116" s="2" t="s">
        <v>480</v>
      </c>
      <c r="C116" s="2" t="s">
        <v>405</v>
      </c>
      <c r="D116" s="2" t="s">
        <v>413</v>
      </c>
      <c r="E116" s="2" t="n">
        <v>2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11" t="b">
        <f aca="false">FALSE()</f>
        <v>0</v>
      </c>
      <c r="M116" s="2" t="s">
        <v>410</v>
      </c>
      <c r="N116" s="2" t="n">
        <f aca="false">IF(E116&gt;0,F116/E116,"")</f>
        <v>0</v>
      </c>
      <c r="O116" s="2" t="str">
        <f aca="false">IF(AND(E116&gt;0,L116),J116/E116,"")</f>
        <v/>
      </c>
    </row>
    <row r="117" customFormat="false" ht="15" hidden="false" customHeight="false" outlineLevel="0" collapsed="false">
      <c r="A117" s="2" t="n">
        <v>2019</v>
      </c>
      <c r="B117" s="2" t="s">
        <v>42</v>
      </c>
      <c r="C117" s="2" t="s">
        <v>414</v>
      </c>
      <c r="D117" s="2" t="s">
        <v>24</v>
      </c>
      <c r="E117" s="2" t="n">
        <v>10</v>
      </c>
      <c r="F117" s="2" t="n">
        <v>66</v>
      </c>
      <c r="G117" s="2" t="n">
        <v>34</v>
      </c>
      <c r="H117" s="2" t="n">
        <v>19</v>
      </c>
      <c r="I117" s="2" t="n">
        <v>23</v>
      </c>
      <c r="J117" s="2" t="n">
        <v>0</v>
      </c>
      <c r="K117" s="2" t="n">
        <v>0</v>
      </c>
      <c r="L117" s="11" t="b">
        <f aca="false">FALSE()</f>
        <v>0</v>
      </c>
      <c r="M117" s="2" t="s">
        <v>406</v>
      </c>
      <c r="N117" s="2" t="n">
        <f aca="false">IF(E117&gt;0,F117/E117,"")</f>
        <v>6.6</v>
      </c>
      <c r="O117" s="2" t="str">
        <f aca="false">IF(AND(E117&gt;0,L117),J117/E117,"")</f>
        <v/>
      </c>
    </row>
    <row r="118" customFormat="false" ht="15" hidden="false" customHeight="false" outlineLevel="0" collapsed="false">
      <c r="A118" s="2" t="n">
        <v>2019</v>
      </c>
      <c r="B118" s="2" t="s">
        <v>322</v>
      </c>
      <c r="C118" s="2" t="s">
        <v>418</v>
      </c>
      <c r="D118" s="2" t="s">
        <v>29</v>
      </c>
      <c r="E118" s="2" t="n">
        <v>10</v>
      </c>
      <c r="F118" s="2" t="n">
        <v>32</v>
      </c>
      <c r="G118" s="2" t="n">
        <v>21</v>
      </c>
      <c r="H118" s="2" t="n">
        <v>12</v>
      </c>
      <c r="I118" s="2" t="n">
        <v>3</v>
      </c>
      <c r="J118" s="2" t="n">
        <v>0</v>
      </c>
      <c r="K118" s="2" t="n">
        <v>0</v>
      </c>
      <c r="L118" s="11" t="b">
        <f aca="false">FALSE()</f>
        <v>0</v>
      </c>
      <c r="M118" s="2" t="s">
        <v>406</v>
      </c>
      <c r="N118" s="2" t="n">
        <f aca="false">IF(E118&gt;0,F118/E118,"")</f>
        <v>3.2</v>
      </c>
      <c r="O118" s="2" t="str">
        <f aca="false">IF(AND(E118&gt;0,L118),J118/E118,"")</f>
        <v/>
      </c>
    </row>
    <row r="119" customFormat="false" ht="15" hidden="false" customHeight="false" outlineLevel="0" collapsed="false">
      <c r="A119" s="2" t="n">
        <v>2019</v>
      </c>
      <c r="B119" s="2" t="s">
        <v>239</v>
      </c>
      <c r="C119" s="2" t="s">
        <v>408</v>
      </c>
      <c r="D119" s="2" t="s">
        <v>117</v>
      </c>
      <c r="E119" s="2" t="n">
        <v>10</v>
      </c>
      <c r="F119" s="2" t="n">
        <v>15</v>
      </c>
      <c r="G119" s="2" t="n">
        <v>6</v>
      </c>
      <c r="H119" s="2" t="n">
        <v>2</v>
      </c>
      <c r="I119" s="2" t="n">
        <v>2</v>
      </c>
      <c r="J119" s="2" t="n">
        <v>0</v>
      </c>
      <c r="K119" s="2" t="n">
        <v>0</v>
      </c>
      <c r="L119" s="11" t="b">
        <f aca="false">FALSE()</f>
        <v>0</v>
      </c>
      <c r="M119" s="2" t="s">
        <v>406</v>
      </c>
      <c r="N119" s="2" t="n">
        <f aca="false">IF(E119&gt;0,F119/E119,"")</f>
        <v>1.5</v>
      </c>
      <c r="O119" s="2" t="str">
        <f aca="false">IF(AND(E119&gt;0,L119),J119/E119,"")</f>
        <v/>
      </c>
    </row>
    <row r="120" customFormat="false" ht="15" hidden="false" customHeight="false" outlineLevel="0" collapsed="false">
      <c r="A120" s="2" t="n">
        <v>2019</v>
      </c>
      <c r="B120" s="2" t="s">
        <v>481</v>
      </c>
      <c r="C120" s="2" t="s">
        <v>418</v>
      </c>
      <c r="D120" s="2"/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11" t="b">
        <f aca="false">FALSE()</f>
        <v>0</v>
      </c>
      <c r="M120" s="2" t="s">
        <v>410</v>
      </c>
      <c r="N120" s="2" t="str">
        <f aca="false">IF(E120&gt;0,F120/E120,"")</f>
        <v/>
      </c>
      <c r="O120" s="2" t="str">
        <f aca="false">IF(AND(E120&gt;0,L120),J120/E120,"")</f>
        <v/>
      </c>
    </row>
    <row r="121" customFormat="false" ht="15" hidden="false" customHeight="false" outlineLevel="0" collapsed="false">
      <c r="A121" s="2" t="n">
        <v>2019</v>
      </c>
      <c r="B121" s="2" t="s">
        <v>277</v>
      </c>
      <c r="C121" s="2" t="s">
        <v>420</v>
      </c>
      <c r="D121" s="2" t="s">
        <v>115</v>
      </c>
      <c r="E121" s="2" t="n">
        <v>7</v>
      </c>
      <c r="F121" s="2" t="n">
        <v>10</v>
      </c>
      <c r="G121" s="2" t="n">
        <v>4</v>
      </c>
      <c r="H121" s="2" t="n">
        <v>4</v>
      </c>
      <c r="I121" s="2" t="n">
        <v>0</v>
      </c>
      <c r="J121" s="2" t="n">
        <v>0</v>
      </c>
      <c r="K121" s="2" t="n">
        <v>0</v>
      </c>
      <c r="L121" s="11" t="b">
        <f aca="false">FALSE()</f>
        <v>0</v>
      </c>
      <c r="M121" s="2" t="s">
        <v>406</v>
      </c>
      <c r="N121" s="2" t="n">
        <f aca="false">IF(E121&gt;0,F121/E121,"")</f>
        <v>1.42857142857143</v>
      </c>
      <c r="O121" s="2" t="str">
        <f aca="false">IF(AND(E121&gt;0,L121),J121/E121,"")</f>
        <v/>
      </c>
    </row>
    <row r="122" customFormat="false" ht="15" hidden="false" customHeight="false" outlineLevel="0" collapsed="false">
      <c r="A122" s="2" t="n">
        <v>2019</v>
      </c>
      <c r="B122" s="2" t="s">
        <v>482</v>
      </c>
      <c r="C122" s="2" t="s">
        <v>414</v>
      </c>
      <c r="D122" s="2" t="s">
        <v>24</v>
      </c>
      <c r="E122" s="2" t="n">
        <v>8</v>
      </c>
      <c r="F122" s="2" t="n">
        <v>26</v>
      </c>
      <c r="G122" s="2" t="n">
        <v>17</v>
      </c>
      <c r="H122" s="2" t="n">
        <v>6</v>
      </c>
      <c r="I122" s="2" t="n">
        <v>7</v>
      </c>
      <c r="J122" s="2" t="n">
        <v>0</v>
      </c>
      <c r="K122" s="2" t="n">
        <v>0</v>
      </c>
      <c r="L122" s="11" t="b">
        <f aca="false">FALSE()</f>
        <v>0</v>
      </c>
      <c r="M122" s="2" t="s">
        <v>406</v>
      </c>
      <c r="N122" s="2" t="n">
        <f aca="false">IF(E122&gt;0,F122/E122,"")</f>
        <v>3.25</v>
      </c>
      <c r="O122" s="2" t="str">
        <f aca="false">IF(AND(E122&gt;0,L122),J122/E122,"")</f>
        <v/>
      </c>
    </row>
    <row r="123" customFormat="false" ht="15" hidden="false" customHeight="false" outlineLevel="0" collapsed="false">
      <c r="A123" s="2" t="n">
        <v>2019</v>
      </c>
      <c r="B123" s="2" t="s">
        <v>114</v>
      </c>
      <c r="C123" s="2" t="s">
        <v>420</v>
      </c>
      <c r="D123" s="2" t="s">
        <v>115</v>
      </c>
      <c r="E123" s="2" t="n">
        <v>9</v>
      </c>
      <c r="F123" s="2" t="n">
        <v>10</v>
      </c>
      <c r="G123" s="2" t="n">
        <v>6</v>
      </c>
      <c r="H123" s="2" t="n">
        <v>4</v>
      </c>
      <c r="I123" s="2" t="n">
        <v>2</v>
      </c>
      <c r="J123" s="2" t="n">
        <v>0</v>
      </c>
      <c r="K123" s="2" t="n">
        <v>0</v>
      </c>
      <c r="L123" s="11" t="b">
        <f aca="false">FALSE()</f>
        <v>0</v>
      </c>
      <c r="M123" s="2" t="s">
        <v>406</v>
      </c>
      <c r="N123" s="2" t="n">
        <f aca="false">IF(E123&gt;0,F123/E123,"")</f>
        <v>1.11111111111111</v>
      </c>
      <c r="O123" s="2" t="str">
        <f aca="false">IF(AND(E123&gt;0,L123),J123/E123,"")</f>
        <v/>
      </c>
    </row>
    <row r="124" customFormat="false" ht="15" hidden="false" customHeight="false" outlineLevel="0" collapsed="false">
      <c r="A124" s="2" t="n">
        <v>2019</v>
      </c>
      <c r="B124" s="2" t="s">
        <v>165</v>
      </c>
      <c r="C124" s="2" t="s">
        <v>420</v>
      </c>
      <c r="D124" s="2" t="s">
        <v>29</v>
      </c>
      <c r="E124" s="2" t="n">
        <v>8</v>
      </c>
      <c r="F124" s="2" t="n">
        <v>3</v>
      </c>
      <c r="G124" s="2" t="n">
        <v>2</v>
      </c>
      <c r="H124" s="2" t="n">
        <v>1</v>
      </c>
      <c r="I124" s="2" t="n">
        <v>0</v>
      </c>
      <c r="J124" s="2" t="n">
        <v>0</v>
      </c>
      <c r="K124" s="2" t="n">
        <v>0</v>
      </c>
      <c r="L124" s="11" t="b">
        <f aca="false">FALSE()</f>
        <v>0</v>
      </c>
      <c r="M124" s="2" t="s">
        <v>406</v>
      </c>
      <c r="N124" s="2" t="n">
        <f aca="false">IF(E124&gt;0,F124/E124,"")</f>
        <v>0.375</v>
      </c>
      <c r="O124" s="2" t="str">
        <f aca="false">IF(AND(E124&gt;0,L124),J124/E124,"")</f>
        <v/>
      </c>
    </row>
    <row r="125" customFormat="false" ht="15" hidden="false" customHeight="false" outlineLevel="0" collapsed="false">
      <c r="A125" s="2" t="n">
        <v>2019</v>
      </c>
      <c r="B125" s="2" t="s">
        <v>483</v>
      </c>
      <c r="C125" s="2" t="s">
        <v>420</v>
      </c>
      <c r="D125" s="2"/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11" t="b">
        <f aca="false">FALSE()</f>
        <v>0</v>
      </c>
      <c r="M125" s="2" t="s">
        <v>410</v>
      </c>
      <c r="N125" s="2" t="n">
        <f aca="false">IF(E125&gt;0,F125/E125,"")</f>
        <v>0</v>
      </c>
      <c r="O125" s="2" t="str">
        <f aca="false">IF(AND(E125&gt;0,L125),J125/E125,"")</f>
        <v/>
      </c>
    </row>
    <row r="126" customFormat="false" ht="15" hidden="false" customHeight="false" outlineLevel="0" collapsed="false">
      <c r="A126" s="2" t="n">
        <v>2019</v>
      </c>
      <c r="B126" s="2" t="s">
        <v>484</v>
      </c>
      <c r="C126" s="2" t="s">
        <v>414</v>
      </c>
      <c r="D126" s="2" t="s">
        <v>29</v>
      </c>
      <c r="E126" s="2" t="n">
        <v>1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11" t="b">
        <f aca="false">FALSE()</f>
        <v>0</v>
      </c>
      <c r="M126" s="2" t="s">
        <v>410</v>
      </c>
      <c r="N126" s="2" t="n">
        <f aca="false">IF(E126&gt;0,F126/E126,"")</f>
        <v>0</v>
      </c>
      <c r="O126" s="2" t="str">
        <f aca="false">IF(AND(E126&gt;0,L126),J126/E126,"")</f>
        <v/>
      </c>
    </row>
    <row r="127" customFormat="false" ht="15" hidden="false" customHeight="false" outlineLevel="0" collapsed="false">
      <c r="A127" s="2" t="n">
        <v>2019</v>
      </c>
      <c r="B127" s="2" t="s">
        <v>485</v>
      </c>
      <c r="C127" s="2" t="s">
        <v>408</v>
      </c>
      <c r="D127" s="2" t="s">
        <v>24</v>
      </c>
      <c r="E127" s="2" t="n">
        <v>6</v>
      </c>
      <c r="F127" s="2" t="n">
        <v>27</v>
      </c>
      <c r="G127" s="2" t="n">
        <v>17</v>
      </c>
      <c r="H127" s="2" t="n">
        <v>3</v>
      </c>
      <c r="I127" s="2" t="n">
        <v>4</v>
      </c>
      <c r="J127" s="2" t="n">
        <v>0</v>
      </c>
      <c r="K127" s="2" t="n">
        <v>0</v>
      </c>
      <c r="L127" s="11" t="b">
        <f aca="false">FALSE()</f>
        <v>0</v>
      </c>
      <c r="M127" s="2" t="s">
        <v>406</v>
      </c>
      <c r="N127" s="2" t="n">
        <f aca="false">IF(E127&gt;0,F127/E127,"")</f>
        <v>4.5</v>
      </c>
      <c r="O127" s="2" t="str">
        <f aca="false">IF(AND(E127&gt;0,L127),J127/E127,"")</f>
        <v/>
      </c>
    </row>
    <row r="128" customFormat="false" ht="15" hidden="false" customHeight="false" outlineLevel="0" collapsed="false">
      <c r="A128" s="2" t="n">
        <v>2019</v>
      </c>
      <c r="B128" s="2" t="s">
        <v>194</v>
      </c>
      <c r="C128" s="2" t="s">
        <v>412</v>
      </c>
      <c r="D128" s="2" t="s">
        <v>29</v>
      </c>
      <c r="E128" s="2" t="n">
        <v>10</v>
      </c>
      <c r="F128" s="2" t="n">
        <v>3</v>
      </c>
      <c r="G128" s="2" t="n">
        <v>2</v>
      </c>
      <c r="H128" s="2" t="n">
        <v>1</v>
      </c>
      <c r="I128" s="2" t="n">
        <v>2</v>
      </c>
      <c r="J128" s="2" t="n">
        <v>0</v>
      </c>
      <c r="K128" s="2" t="n">
        <v>0</v>
      </c>
      <c r="L128" s="11" t="b">
        <f aca="false">FALSE()</f>
        <v>0</v>
      </c>
      <c r="M128" s="2" t="s">
        <v>406</v>
      </c>
      <c r="N128" s="2" t="n">
        <f aca="false">IF(E128&gt;0,F128/E128,"")</f>
        <v>0.3</v>
      </c>
      <c r="O128" s="2" t="str">
        <f aca="false">IF(AND(E128&gt;0,L128),J128/E128,"")</f>
        <v/>
      </c>
    </row>
    <row r="129" customFormat="false" ht="15" hidden="false" customHeight="false" outlineLevel="0" collapsed="false">
      <c r="A129" s="2" t="n">
        <v>2019</v>
      </c>
      <c r="B129" s="2" t="s">
        <v>486</v>
      </c>
      <c r="C129" s="2" t="s">
        <v>412</v>
      </c>
      <c r="D129" s="2" t="s">
        <v>115</v>
      </c>
      <c r="E129" s="2" t="n">
        <v>9</v>
      </c>
      <c r="F129" s="2" t="n">
        <v>3</v>
      </c>
      <c r="G129" s="2" t="n">
        <v>3</v>
      </c>
      <c r="H129" s="2" t="n">
        <v>3</v>
      </c>
      <c r="I129" s="2" t="n">
        <v>0</v>
      </c>
      <c r="J129" s="2" t="n">
        <v>0</v>
      </c>
      <c r="K129" s="2" t="n">
        <v>0</v>
      </c>
      <c r="L129" s="11" t="b">
        <f aca="false">FALSE()</f>
        <v>0</v>
      </c>
      <c r="M129" s="2" t="s">
        <v>406</v>
      </c>
      <c r="N129" s="2" t="n">
        <f aca="false">IF(E129&gt;0,F129/E129,"")</f>
        <v>0.333333333333333</v>
      </c>
      <c r="O129" s="2" t="str">
        <f aca="false">IF(AND(E129&gt;0,L129),J129/E129,"")</f>
        <v/>
      </c>
    </row>
    <row r="130" customFormat="false" ht="15" hidden="false" customHeight="false" outlineLevel="0" collapsed="false">
      <c r="A130" s="2" t="n">
        <v>2019</v>
      </c>
      <c r="B130" s="2" t="s">
        <v>487</v>
      </c>
      <c r="C130" s="2" t="s">
        <v>420</v>
      </c>
      <c r="D130" s="2" t="s">
        <v>409</v>
      </c>
      <c r="E130" s="2" t="n">
        <v>10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11" t="b">
        <f aca="false">FALSE()</f>
        <v>0</v>
      </c>
      <c r="M130" s="2" t="s">
        <v>410</v>
      </c>
      <c r="N130" s="2" t="n">
        <f aca="false">IF(E130&gt;0,F130/E130,"")</f>
        <v>0</v>
      </c>
      <c r="O130" s="2" t="str">
        <f aca="false">IF(AND(E130&gt;0,L130),J130/E130,"")</f>
        <v/>
      </c>
    </row>
    <row r="131" customFormat="false" ht="15" hidden="false" customHeight="false" outlineLevel="0" collapsed="false">
      <c r="A131" s="2" t="n">
        <v>2019</v>
      </c>
      <c r="B131" s="2" t="s">
        <v>488</v>
      </c>
      <c r="C131" s="2" t="s">
        <v>412</v>
      </c>
      <c r="D131" s="2" t="s">
        <v>117</v>
      </c>
      <c r="E131" s="2" t="n">
        <v>10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11" t="b">
        <f aca="false">FALSE()</f>
        <v>0</v>
      </c>
      <c r="M131" s="2" t="s">
        <v>406</v>
      </c>
      <c r="N131" s="2" t="n">
        <f aca="false">IF(E131&gt;0,F131/E131,"")</f>
        <v>0</v>
      </c>
      <c r="O131" s="2" t="str">
        <f aca="false">IF(AND(E131&gt;0,L131),J131/E131,"")</f>
        <v/>
      </c>
    </row>
    <row r="132" customFormat="false" ht="15" hidden="false" customHeight="false" outlineLevel="0" collapsed="false">
      <c r="A132" s="2" t="n">
        <v>2019</v>
      </c>
      <c r="B132" s="2" t="s">
        <v>489</v>
      </c>
      <c r="C132" s="2" t="s">
        <v>412</v>
      </c>
      <c r="D132" s="2" t="s">
        <v>409</v>
      </c>
      <c r="E132" s="2" t="n">
        <v>2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11" t="b">
        <f aca="false">FALSE()</f>
        <v>0</v>
      </c>
      <c r="M132" s="2" t="s">
        <v>410</v>
      </c>
      <c r="N132" s="2" t="n">
        <f aca="false">IF(E132&gt;0,F132/E132,"")</f>
        <v>0</v>
      </c>
      <c r="O132" s="2" t="str">
        <f aca="false">IF(AND(E132&gt;0,L132),J132/E132,"")</f>
        <v/>
      </c>
    </row>
    <row r="133" customFormat="false" ht="15" hidden="false" customHeight="false" outlineLevel="0" collapsed="false">
      <c r="A133" s="2" t="n">
        <v>2019</v>
      </c>
      <c r="B133" s="2" t="s">
        <v>490</v>
      </c>
      <c r="C133" s="2" t="s">
        <v>414</v>
      </c>
      <c r="D133" s="2" t="s">
        <v>29</v>
      </c>
      <c r="E133" s="2" t="n">
        <v>4</v>
      </c>
      <c r="F133" s="2" t="n">
        <v>2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11" t="b">
        <f aca="false">FALSE()</f>
        <v>0</v>
      </c>
      <c r="M133" s="2" t="s">
        <v>406</v>
      </c>
      <c r="N133" s="2" t="n">
        <f aca="false">IF(E133&gt;0,F133/E133,"")</f>
        <v>0.5</v>
      </c>
      <c r="O133" s="2" t="str">
        <f aca="false">IF(AND(E133&gt;0,L133),J133/E133,"")</f>
        <v/>
      </c>
    </row>
    <row r="134" customFormat="false" ht="15" hidden="false" customHeight="false" outlineLevel="0" collapsed="false">
      <c r="A134" s="2" t="n">
        <v>2019</v>
      </c>
      <c r="B134" s="2" t="s">
        <v>159</v>
      </c>
      <c r="C134" s="2" t="s">
        <v>420</v>
      </c>
      <c r="D134" s="2" t="s">
        <v>117</v>
      </c>
      <c r="E134" s="2" t="n">
        <v>10</v>
      </c>
      <c r="F134" s="2" t="n">
        <v>3</v>
      </c>
      <c r="G134" s="2" t="n">
        <v>2</v>
      </c>
      <c r="H134" s="2" t="n">
        <v>0</v>
      </c>
      <c r="I134" s="2" t="n">
        <v>2</v>
      </c>
      <c r="J134" s="2" t="n">
        <v>0</v>
      </c>
      <c r="K134" s="2" t="n">
        <v>0</v>
      </c>
      <c r="L134" s="11" t="b">
        <f aca="false">FALSE()</f>
        <v>0</v>
      </c>
      <c r="M134" s="2" t="s">
        <v>406</v>
      </c>
      <c r="N134" s="2" t="n">
        <f aca="false">IF(E134&gt;0,F134/E134,"")</f>
        <v>0.3</v>
      </c>
      <c r="O134" s="2" t="str">
        <f aca="false">IF(AND(E134&gt;0,L134),J134/E134,"")</f>
        <v/>
      </c>
    </row>
    <row r="135" customFormat="false" ht="15" hidden="false" customHeight="false" outlineLevel="0" collapsed="false">
      <c r="A135" s="2" t="n">
        <v>2019</v>
      </c>
      <c r="B135" s="2" t="s">
        <v>264</v>
      </c>
      <c r="C135" s="2" t="s">
        <v>418</v>
      </c>
      <c r="D135" s="2" t="s">
        <v>117</v>
      </c>
      <c r="E135" s="2" t="n">
        <v>8</v>
      </c>
      <c r="F135" s="2" t="n">
        <v>1</v>
      </c>
      <c r="G135" s="2" t="n">
        <v>1</v>
      </c>
      <c r="H135" s="2" t="n">
        <v>0</v>
      </c>
      <c r="I135" s="2" t="n">
        <v>0</v>
      </c>
      <c r="J135" s="2" t="n">
        <v>0</v>
      </c>
      <c r="K135" s="2" t="n">
        <v>0</v>
      </c>
      <c r="L135" s="11" t="b">
        <f aca="false">FALSE()</f>
        <v>0</v>
      </c>
      <c r="M135" s="2" t="s">
        <v>406</v>
      </c>
      <c r="N135" s="2" t="n">
        <f aca="false">IF(E135&gt;0,F135/E135,"")</f>
        <v>0.125</v>
      </c>
      <c r="O135" s="2" t="str">
        <f aca="false">IF(AND(E135&gt;0,L135),J135/E135,"")</f>
        <v/>
      </c>
    </row>
    <row r="136" customFormat="false" ht="15" hidden="false" customHeight="false" outlineLevel="0" collapsed="false">
      <c r="A136" s="2" t="n">
        <v>2019</v>
      </c>
      <c r="B136" s="2" t="s">
        <v>491</v>
      </c>
      <c r="C136" s="2" t="s">
        <v>405</v>
      </c>
      <c r="D136" s="2" t="s">
        <v>29</v>
      </c>
      <c r="E136" s="2" t="n">
        <v>10</v>
      </c>
      <c r="F136" s="2" t="n">
        <v>43</v>
      </c>
      <c r="G136" s="2" t="n">
        <v>20</v>
      </c>
      <c r="H136" s="2" t="n">
        <v>10</v>
      </c>
      <c r="I136" s="2" t="n">
        <v>9</v>
      </c>
      <c r="J136" s="2" t="n">
        <v>0</v>
      </c>
      <c r="K136" s="2" t="n">
        <v>0</v>
      </c>
      <c r="L136" s="11" t="b">
        <f aca="false">FALSE()</f>
        <v>0</v>
      </c>
      <c r="M136" s="2" t="s">
        <v>406</v>
      </c>
      <c r="N136" s="2" t="n">
        <f aca="false">IF(E136&gt;0,F136/E136,"")</f>
        <v>4.3</v>
      </c>
      <c r="O136" s="2" t="str">
        <f aca="false">IF(AND(E136&gt;0,L136),J136/E136,"")</f>
        <v/>
      </c>
    </row>
    <row r="137" customFormat="false" ht="15" hidden="false" customHeight="false" outlineLevel="0" collapsed="false">
      <c r="A137" s="2" t="n">
        <v>2019</v>
      </c>
      <c r="B137" s="2" t="s">
        <v>492</v>
      </c>
      <c r="C137" s="2" t="s">
        <v>408</v>
      </c>
      <c r="D137" s="2" t="s">
        <v>24</v>
      </c>
      <c r="E137" s="2" t="n">
        <v>6</v>
      </c>
      <c r="F137" s="2" t="n">
        <v>29</v>
      </c>
      <c r="G137" s="2" t="n">
        <v>18</v>
      </c>
      <c r="H137" s="2" t="n">
        <v>4</v>
      </c>
      <c r="I137" s="2" t="n">
        <v>5</v>
      </c>
      <c r="J137" s="2" t="n">
        <v>0</v>
      </c>
      <c r="K137" s="2" t="n">
        <v>0</v>
      </c>
      <c r="L137" s="11" t="b">
        <f aca="false">FALSE()</f>
        <v>0</v>
      </c>
      <c r="M137" s="2" t="s">
        <v>406</v>
      </c>
      <c r="N137" s="2" t="n">
        <f aca="false">IF(E137&gt;0,F137/E137,"")</f>
        <v>4.83333333333333</v>
      </c>
      <c r="O137" s="2" t="str">
        <f aca="false">IF(AND(E137&gt;0,L137),J137/E137,"")</f>
        <v/>
      </c>
    </row>
    <row r="138" customFormat="false" ht="15" hidden="false" customHeight="false" outlineLevel="0" collapsed="false">
      <c r="A138" s="2" t="n">
        <v>2019</v>
      </c>
      <c r="B138" s="2" t="s">
        <v>493</v>
      </c>
      <c r="C138" s="2" t="s">
        <v>414</v>
      </c>
      <c r="D138" s="2" t="s">
        <v>117</v>
      </c>
      <c r="E138" s="2" t="n">
        <v>5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11" t="b">
        <f aca="false">FALSE()</f>
        <v>0</v>
      </c>
      <c r="M138" s="2" t="s">
        <v>406</v>
      </c>
      <c r="N138" s="2" t="n">
        <f aca="false">IF(E138&gt;0,F138/E138,"")</f>
        <v>0</v>
      </c>
      <c r="O138" s="2" t="str">
        <f aca="false">IF(AND(E138&gt;0,L138),J138/E138,"")</f>
        <v/>
      </c>
    </row>
    <row r="139" customFormat="false" ht="15" hidden="false" customHeight="false" outlineLevel="0" collapsed="false">
      <c r="A139" s="2" t="n">
        <v>2019</v>
      </c>
      <c r="B139" s="2" t="s">
        <v>34</v>
      </c>
      <c r="C139" s="2" t="s">
        <v>408</v>
      </c>
      <c r="D139" s="2" t="s">
        <v>29</v>
      </c>
      <c r="E139" s="2" t="n">
        <v>10</v>
      </c>
      <c r="F139" s="2" t="n">
        <v>60</v>
      </c>
      <c r="G139" s="2" t="n">
        <v>29</v>
      </c>
      <c r="H139" s="2" t="n">
        <v>17</v>
      </c>
      <c r="I139" s="2" t="n">
        <v>18</v>
      </c>
      <c r="J139" s="2" t="n">
        <v>0</v>
      </c>
      <c r="K139" s="2" t="n">
        <v>0</v>
      </c>
      <c r="L139" s="11" t="b">
        <f aca="false">FALSE()</f>
        <v>0</v>
      </c>
      <c r="M139" s="2" t="s">
        <v>406</v>
      </c>
      <c r="N139" s="2" t="n">
        <f aca="false">IF(E139&gt;0,F139/E139,"")</f>
        <v>6</v>
      </c>
      <c r="O139" s="2" t="str">
        <f aca="false">IF(AND(E139&gt;0,L139),J139/E139,"")</f>
        <v/>
      </c>
    </row>
    <row r="140" customFormat="false" ht="15" hidden="false" customHeight="false" outlineLevel="0" collapsed="false">
      <c r="A140" s="2" t="n">
        <v>2019</v>
      </c>
      <c r="B140" s="2" t="s">
        <v>494</v>
      </c>
      <c r="C140" s="2" t="s">
        <v>420</v>
      </c>
      <c r="D140" s="2" t="s">
        <v>29</v>
      </c>
      <c r="E140" s="2" t="n">
        <v>9</v>
      </c>
      <c r="F140" s="2" t="n">
        <v>22</v>
      </c>
      <c r="G140" s="2" t="n">
        <v>12</v>
      </c>
      <c r="H140" s="2" t="n">
        <v>7</v>
      </c>
      <c r="I140" s="2" t="n">
        <v>3</v>
      </c>
      <c r="J140" s="2" t="n">
        <v>0</v>
      </c>
      <c r="K140" s="2" t="n">
        <v>0</v>
      </c>
      <c r="L140" s="11" t="b">
        <f aca="false">FALSE()</f>
        <v>0</v>
      </c>
      <c r="M140" s="2" t="s">
        <v>406</v>
      </c>
      <c r="N140" s="2" t="n">
        <f aca="false">IF(E140&gt;0,F140/E140,"")</f>
        <v>2.44444444444444</v>
      </c>
      <c r="O140" s="2" t="str">
        <f aca="false">IF(AND(E140&gt;0,L140),J140/E140,"")</f>
        <v/>
      </c>
    </row>
    <row r="141" customFormat="false" ht="15" hidden="false" customHeight="false" outlineLevel="0" collapsed="false">
      <c r="A141" s="2" t="n">
        <v>2019</v>
      </c>
      <c r="B141" s="2" t="s">
        <v>495</v>
      </c>
      <c r="C141" s="2" t="s">
        <v>420</v>
      </c>
      <c r="D141" s="2" t="s">
        <v>29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11" t="b">
        <f aca="false">FALSE()</f>
        <v>0</v>
      </c>
      <c r="M141" s="2" t="s">
        <v>410</v>
      </c>
      <c r="N141" s="2" t="str">
        <f aca="false">IF(E141&gt;0,F141/E141,"")</f>
        <v/>
      </c>
      <c r="O141" s="2" t="str">
        <f aca="false">IF(AND(E141&gt;0,L141),J141/E141,"")</f>
        <v/>
      </c>
    </row>
    <row r="142" customFormat="false" ht="15" hidden="false" customHeight="false" outlineLevel="0" collapsed="false">
      <c r="A142" s="2" t="n">
        <v>2019</v>
      </c>
      <c r="B142" s="2" t="s">
        <v>285</v>
      </c>
      <c r="C142" s="2" t="s">
        <v>405</v>
      </c>
      <c r="D142" s="2" t="s">
        <v>115</v>
      </c>
      <c r="E142" s="2" t="n">
        <v>10</v>
      </c>
      <c r="F142" s="2" t="n">
        <v>8</v>
      </c>
      <c r="G142" s="2" t="n">
        <v>2</v>
      </c>
      <c r="H142" s="2" t="n">
        <v>1</v>
      </c>
      <c r="I142" s="2" t="n">
        <v>0</v>
      </c>
      <c r="J142" s="2" t="n">
        <v>0</v>
      </c>
      <c r="K142" s="2" t="n">
        <v>0</v>
      </c>
      <c r="L142" s="11" t="b">
        <f aca="false">FALSE()</f>
        <v>0</v>
      </c>
      <c r="M142" s="2" t="s">
        <v>406</v>
      </c>
      <c r="N142" s="2" t="n">
        <f aca="false">IF(E142&gt;0,F142/E142,"")</f>
        <v>0.8</v>
      </c>
      <c r="O142" s="2" t="str">
        <f aca="false">IF(AND(E142&gt;0,L142),J142/E142,"")</f>
        <v/>
      </c>
    </row>
    <row r="143" customFormat="false" ht="15" hidden="false" customHeight="false" outlineLevel="0" collapsed="false">
      <c r="A143" s="2" t="n">
        <v>2019</v>
      </c>
      <c r="B143" s="2" t="s">
        <v>496</v>
      </c>
      <c r="C143" s="2" t="s">
        <v>414</v>
      </c>
      <c r="D143" s="2" t="s">
        <v>29</v>
      </c>
      <c r="E143" s="2" t="n">
        <v>4</v>
      </c>
      <c r="F143" s="2" t="n">
        <v>10</v>
      </c>
      <c r="G143" s="2" t="n">
        <v>5</v>
      </c>
      <c r="H143" s="2" t="n">
        <v>3</v>
      </c>
      <c r="I143" s="2" t="n">
        <v>1</v>
      </c>
      <c r="J143" s="2" t="n">
        <v>0</v>
      </c>
      <c r="K143" s="2" t="n">
        <v>0</v>
      </c>
      <c r="L143" s="11" t="b">
        <f aca="false">FALSE()</f>
        <v>0</v>
      </c>
      <c r="M143" s="2" t="s">
        <v>406</v>
      </c>
      <c r="N143" s="2" t="n">
        <f aca="false">IF(E143&gt;0,F143/E143,"")</f>
        <v>2.5</v>
      </c>
      <c r="O143" s="2" t="str">
        <f aca="false">IF(AND(E143&gt;0,L143),J143/E143,"")</f>
        <v/>
      </c>
    </row>
    <row r="144" customFormat="false" ht="15" hidden="false" customHeight="false" outlineLevel="0" collapsed="false">
      <c r="A144" s="2" t="n">
        <v>2019</v>
      </c>
      <c r="B144" s="2" t="s">
        <v>497</v>
      </c>
      <c r="C144" s="2" t="s">
        <v>408</v>
      </c>
      <c r="D144" s="2" t="s">
        <v>115</v>
      </c>
      <c r="E144" s="2" t="n">
        <v>7</v>
      </c>
      <c r="F144" s="2" t="n">
        <v>7</v>
      </c>
      <c r="G144" s="2" t="n">
        <v>4</v>
      </c>
      <c r="H144" s="2" t="n">
        <v>1</v>
      </c>
      <c r="I144" s="2" t="n">
        <v>0</v>
      </c>
      <c r="J144" s="2" t="n">
        <v>0</v>
      </c>
      <c r="K144" s="2" t="n">
        <v>0</v>
      </c>
      <c r="L144" s="11" t="b">
        <f aca="false">FALSE()</f>
        <v>0</v>
      </c>
      <c r="M144" s="2" t="s">
        <v>406</v>
      </c>
      <c r="N144" s="2" t="n">
        <f aca="false">IF(E144&gt;0,F144/E144,"")</f>
        <v>1</v>
      </c>
      <c r="O144" s="2" t="str">
        <f aca="false">IF(AND(E144&gt;0,L144),J144/E144,"")</f>
        <v/>
      </c>
    </row>
    <row r="145" customFormat="false" ht="15" hidden="false" customHeight="false" outlineLevel="0" collapsed="false">
      <c r="A145" s="2" t="n">
        <v>2019</v>
      </c>
      <c r="B145" s="2" t="s">
        <v>498</v>
      </c>
      <c r="C145" s="2" t="s">
        <v>418</v>
      </c>
      <c r="D145" s="2" t="s">
        <v>413</v>
      </c>
      <c r="E145" s="2" t="n">
        <v>6</v>
      </c>
      <c r="F145" s="2" t="n">
        <v>2</v>
      </c>
      <c r="G145" s="2" t="n">
        <v>1</v>
      </c>
      <c r="H145" s="2" t="n">
        <v>1</v>
      </c>
      <c r="I145" s="2" t="n">
        <v>1</v>
      </c>
      <c r="J145" s="2" t="n">
        <v>0</v>
      </c>
      <c r="K145" s="2" t="n">
        <v>0</v>
      </c>
      <c r="L145" s="11" t="b">
        <f aca="false">FALSE()</f>
        <v>0</v>
      </c>
      <c r="M145" s="2" t="s">
        <v>410</v>
      </c>
      <c r="N145" s="2" t="n">
        <f aca="false">IF(E145&gt;0,F145/E145,"")</f>
        <v>0.333333333333333</v>
      </c>
      <c r="O145" s="2" t="str">
        <f aca="false">IF(AND(E145&gt;0,L145),J145/E145,"")</f>
        <v/>
      </c>
    </row>
    <row r="146" customFormat="false" ht="15" hidden="false" customHeight="false" outlineLevel="0" collapsed="false">
      <c r="A146" s="2" t="n">
        <v>2019</v>
      </c>
      <c r="B146" s="2" t="s">
        <v>499</v>
      </c>
      <c r="C146" s="2" t="s">
        <v>408</v>
      </c>
      <c r="D146" s="2" t="s">
        <v>29</v>
      </c>
      <c r="E146" s="2" t="n">
        <v>4</v>
      </c>
      <c r="F146" s="2" t="n">
        <v>12</v>
      </c>
      <c r="G146" s="2" t="n">
        <v>6</v>
      </c>
      <c r="H146" s="2" t="n">
        <v>2</v>
      </c>
      <c r="I146" s="2" t="n">
        <v>0</v>
      </c>
      <c r="J146" s="2" t="n">
        <v>0</v>
      </c>
      <c r="K146" s="2" t="n">
        <v>0</v>
      </c>
      <c r="L146" s="11" t="b">
        <f aca="false">FALSE()</f>
        <v>0</v>
      </c>
      <c r="M146" s="2" t="s">
        <v>406</v>
      </c>
      <c r="N146" s="2" t="n">
        <f aca="false">IF(E146&gt;0,F146/E146,"")</f>
        <v>3</v>
      </c>
      <c r="O146" s="2" t="str">
        <f aca="false">IF(AND(E146&gt;0,L146),J146/E146,"")</f>
        <v/>
      </c>
    </row>
    <row r="147" customFormat="false" ht="15" hidden="false" customHeight="false" outlineLevel="0" collapsed="false">
      <c r="A147" s="2" t="n">
        <v>2019</v>
      </c>
      <c r="B147" s="2" t="s">
        <v>70</v>
      </c>
      <c r="C147" s="2" t="s">
        <v>414</v>
      </c>
      <c r="D147" s="2" t="s">
        <v>24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11" t="b">
        <f aca="false">FALSE()</f>
        <v>0</v>
      </c>
      <c r="M147" s="2" t="s">
        <v>410</v>
      </c>
      <c r="N147" s="2" t="str">
        <f aca="false">IF(E147&gt;0,F147/E147,"")</f>
        <v/>
      </c>
      <c r="O147" s="2" t="str">
        <f aca="false">IF(AND(E147&gt;0,L147),J147/E147,"")</f>
        <v/>
      </c>
    </row>
    <row r="148" customFormat="false" ht="15" hidden="false" customHeight="false" outlineLevel="0" collapsed="false">
      <c r="A148" s="2" t="n">
        <v>2019</v>
      </c>
      <c r="B148" s="2" t="s">
        <v>98</v>
      </c>
      <c r="C148" s="2" t="s">
        <v>420</v>
      </c>
      <c r="D148" s="2" t="s">
        <v>29</v>
      </c>
      <c r="E148" s="2" t="n">
        <v>5</v>
      </c>
      <c r="F148" s="2" t="n">
        <v>8</v>
      </c>
      <c r="G148" s="2" t="n">
        <v>6</v>
      </c>
      <c r="H148" s="2" t="n">
        <v>2</v>
      </c>
      <c r="I148" s="2" t="n">
        <v>2</v>
      </c>
      <c r="J148" s="2" t="n">
        <v>0</v>
      </c>
      <c r="K148" s="2" t="n">
        <v>0</v>
      </c>
      <c r="L148" s="11" t="b">
        <f aca="false">FALSE()</f>
        <v>0</v>
      </c>
      <c r="M148" s="2" t="s">
        <v>406</v>
      </c>
      <c r="N148" s="2" t="n">
        <f aca="false">IF(E148&gt;0,F148/E148,"")</f>
        <v>1.6</v>
      </c>
      <c r="O148" s="2" t="str">
        <f aca="false">IF(AND(E148&gt;0,L148),J148/E148,"")</f>
        <v/>
      </c>
    </row>
    <row r="149" customFormat="false" ht="15" hidden="false" customHeight="false" outlineLevel="0" collapsed="false">
      <c r="A149" s="2" t="n">
        <v>2019</v>
      </c>
      <c r="B149" s="2" t="s">
        <v>500</v>
      </c>
      <c r="C149" s="2" t="s">
        <v>414</v>
      </c>
      <c r="D149" s="2" t="s">
        <v>29</v>
      </c>
      <c r="E149" s="2" t="n">
        <v>10</v>
      </c>
      <c r="F149" s="2" t="n">
        <v>30</v>
      </c>
      <c r="G149" s="2" t="n">
        <v>20</v>
      </c>
      <c r="H149" s="2" t="n">
        <v>6</v>
      </c>
      <c r="I149" s="2" t="n">
        <v>3</v>
      </c>
      <c r="J149" s="2" t="n">
        <v>0</v>
      </c>
      <c r="K149" s="2" t="n">
        <v>0</v>
      </c>
      <c r="L149" s="11" t="b">
        <f aca="false">FALSE()</f>
        <v>0</v>
      </c>
      <c r="M149" s="2" t="s">
        <v>406</v>
      </c>
      <c r="N149" s="2" t="n">
        <f aca="false">IF(E149&gt;0,F149/E149,"")</f>
        <v>3</v>
      </c>
      <c r="O149" s="2" t="str">
        <f aca="false">IF(AND(E149&gt;0,L149),J149/E149,"")</f>
        <v/>
      </c>
    </row>
    <row r="150" customFormat="false" ht="15" hidden="false" customHeight="false" outlineLevel="0" collapsed="false">
      <c r="A150" s="2" t="n">
        <v>2019</v>
      </c>
      <c r="B150" s="2" t="s">
        <v>501</v>
      </c>
      <c r="C150" s="2" t="s">
        <v>420</v>
      </c>
      <c r="D150" s="2" t="s">
        <v>409</v>
      </c>
      <c r="E150" s="2" t="n">
        <v>4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11" t="b">
        <f aca="false">FALSE()</f>
        <v>0</v>
      </c>
      <c r="M150" s="2" t="s">
        <v>410</v>
      </c>
      <c r="N150" s="2" t="n">
        <f aca="false">IF(E150&gt;0,F150/E150,"")</f>
        <v>0</v>
      </c>
      <c r="O150" s="2" t="str">
        <f aca="false">IF(AND(E150&gt;0,L150),J150/E150,"")</f>
        <v/>
      </c>
    </row>
    <row r="151" customFormat="false" ht="15" hidden="false" customHeight="false" outlineLevel="0" collapsed="false">
      <c r="A151" s="2" t="n">
        <v>2019</v>
      </c>
      <c r="B151" s="2" t="s">
        <v>380</v>
      </c>
      <c r="C151" s="2" t="s">
        <v>420</v>
      </c>
      <c r="D151" s="2" t="s">
        <v>117</v>
      </c>
      <c r="E151" s="2" t="n">
        <v>6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11" t="b">
        <f aca="false">FALSE()</f>
        <v>0</v>
      </c>
      <c r="M151" s="2" t="s">
        <v>406</v>
      </c>
      <c r="N151" s="2" t="n">
        <f aca="false">IF(E151&gt;0,F151/E151,"")</f>
        <v>0</v>
      </c>
      <c r="O151" s="2" t="str">
        <f aca="false">IF(AND(E151&gt;0,L151),J151/E151,"")</f>
        <v/>
      </c>
    </row>
    <row r="152" customFormat="false" ht="15" hidden="false" customHeight="false" outlineLevel="0" collapsed="false">
      <c r="A152" s="2" t="n">
        <v>2019</v>
      </c>
      <c r="B152" s="2" t="s">
        <v>502</v>
      </c>
      <c r="C152" s="2" t="s">
        <v>420</v>
      </c>
      <c r="D152" s="2" t="s">
        <v>29</v>
      </c>
      <c r="E152" s="2" t="n">
        <v>4</v>
      </c>
      <c r="F152" s="2" t="n">
        <v>5</v>
      </c>
      <c r="G152" s="2" t="n">
        <v>4</v>
      </c>
      <c r="H152" s="2" t="n">
        <v>0</v>
      </c>
      <c r="I152" s="2" t="n">
        <v>0</v>
      </c>
      <c r="J152" s="2" t="n">
        <v>0</v>
      </c>
      <c r="K152" s="2" t="n">
        <v>0</v>
      </c>
      <c r="L152" s="11" t="b">
        <f aca="false">FALSE()</f>
        <v>0</v>
      </c>
      <c r="M152" s="2" t="s">
        <v>406</v>
      </c>
      <c r="N152" s="2" t="n">
        <f aca="false">IF(E152&gt;0,F152/E152,"")</f>
        <v>1.25</v>
      </c>
      <c r="O152" s="2" t="str">
        <f aca="false">IF(AND(E152&gt;0,L152),J152/E152,"")</f>
        <v/>
      </c>
    </row>
    <row r="153" customFormat="false" ht="15" hidden="false" customHeight="false" outlineLevel="0" collapsed="false">
      <c r="A153" s="2" t="n">
        <v>2019</v>
      </c>
      <c r="B153" s="2" t="s">
        <v>503</v>
      </c>
      <c r="C153" s="2" t="s">
        <v>420</v>
      </c>
      <c r="D153" s="2" t="s">
        <v>24</v>
      </c>
      <c r="E153" s="2" t="n">
        <v>6</v>
      </c>
      <c r="F153" s="2" t="n">
        <v>28</v>
      </c>
      <c r="G153" s="2" t="n">
        <v>17</v>
      </c>
      <c r="H153" s="2" t="n">
        <v>11</v>
      </c>
      <c r="I153" s="2" t="n">
        <v>6</v>
      </c>
      <c r="J153" s="2" t="n">
        <v>0</v>
      </c>
      <c r="K153" s="2" t="n">
        <v>0</v>
      </c>
      <c r="L153" s="11" t="b">
        <f aca="false">FALSE()</f>
        <v>0</v>
      </c>
      <c r="M153" s="2" t="s">
        <v>406</v>
      </c>
      <c r="N153" s="2" t="n">
        <f aca="false">IF(E153&gt;0,F153/E153,"")</f>
        <v>4.66666666666667</v>
      </c>
      <c r="O153" s="2" t="str">
        <f aca="false">IF(AND(E153&gt;0,L153),J153/E153,"")</f>
        <v/>
      </c>
    </row>
    <row r="154" customFormat="false" ht="15" hidden="false" customHeight="false" outlineLevel="0" collapsed="false">
      <c r="A154" s="2" t="n">
        <v>2019</v>
      </c>
      <c r="B154" s="2" t="s">
        <v>504</v>
      </c>
      <c r="C154" s="2" t="s">
        <v>418</v>
      </c>
      <c r="D154" s="2" t="s">
        <v>24</v>
      </c>
      <c r="E154" s="2" t="n">
        <v>4</v>
      </c>
      <c r="F154" s="2" t="n">
        <v>5</v>
      </c>
      <c r="G154" s="2" t="n">
        <v>4</v>
      </c>
      <c r="H154" s="2" t="n">
        <v>2</v>
      </c>
      <c r="I154" s="2" t="n">
        <v>1</v>
      </c>
      <c r="J154" s="2" t="n">
        <v>0</v>
      </c>
      <c r="K154" s="2" t="n">
        <v>0</v>
      </c>
      <c r="L154" s="11" t="b">
        <f aca="false">FALSE()</f>
        <v>0</v>
      </c>
      <c r="M154" s="2" t="s">
        <v>406</v>
      </c>
      <c r="N154" s="2" t="n">
        <f aca="false">IF(E154&gt;0,F154/E154,"")</f>
        <v>1.25</v>
      </c>
      <c r="O154" s="2" t="str">
        <f aca="false">IF(AND(E154&gt;0,L154),J154/E154,"")</f>
        <v/>
      </c>
    </row>
    <row r="155" customFormat="false" ht="15" hidden="false" customHeight="false" outlineLevel="0" collapsed="false">
      <c r="A155" s="2" t="n">
        <v>2019</v>
      </c>
      <c r="B155" s="2" t="s">
        <v>505</v>
      </c>
      <c r="C155" s="2" t="s">
        <v>412</v>
      </c>
      <c r="D155" s="2" t="s">
        <v>29</v>
      </c>
      <c r="E155" s="2" t="n">
        <v>10</v>
      </c>
      <c r="F155" s="2" t="n">
        <v>23</v>
      </c>
      <c r="G155" s="2" t="n">
        <v>17</v>
      </c>
      <c r="H155" s="2" t="n">
        <v>6</v>
      </c>
      <c r="I155" s="2" t="n">
        <v>8</v>
      </c>
      <c r="J155" s="2" t="n">
        <v>0</v>
      </c>
      <c r="K155" s="2" t="n">
        <v>0</v>
      </c>
      <c r="L155" s="11" t="b">
        <f aca="false">FALSE()</f>
        <v>0</v>
      </c>
      <c r="M155" s="2" t="s">
        <v>406</v>
      </c>
      <c r="N155" s="2" t="n">
        <f aca="false">IF(E155&gt;0,F155/E155,"")</f>
        <v>2.3</v>
      </c>
      <c r="O155" s="2" t="str">
        <f aca="false">IF(AND(E155&gt;0,L155),J155/E155,"")</f>
        <v/>
      </c>
    </row>
    <row r="156" customFormat="false" ht="15" hidden="false" customHeight="false" outlineLevel="0" collapsed="false">
      <c r="A156" s="2" t="n">
        <v>2019</v>
      </c>
      <c r="B156" s="2" t="s">
        <v>506</v>
      </c>
      <c r="C156" s="2" t="s">
        <v>408</v>
      </c>
      <c r="D156" s="2" t="s">
        <v>29</v>
      </c>
      <c r="E156" s="2" t="n">
        <v>3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11" t="b">
        <f aca="false">FALSE()</f>
        <v>0</v>
      </c>
      <c r="M156" s="2" t="s">
        <v>406</v>
      </c>
      <c r="N156" s="2" t="n">
        <f aca="false">IF(E156&gt;0,F156/E156,"")</f>
        <v>0</v>
      </c>
      <c r="O156" s="2" t="str">
        <f aca="false">IF(AND(E156&gt;0,L156),J156/E156,"")</f>
        <v/>
      </c>
    </row>
    <row r="157" customFormat="false" ht="15" hidden="false" customHeight="false" outlineLevel="0" collapsed="false">
      <c r="A157" s="2" t="n">
        <v>2019</v>
      </c>
      <c r="B157" s="2" t="s">
        <v>507</v>
      </c>
      <c r="C157" s="2" t="s">
        <v>420</v>
      </c>
      <c r="D157" s="2" t="s">
        <v>29</v>
      </c>
      <c r="E157" s="2" t="n">
        <v>5</v>
      </c>
      <c r="F157" s="2" t="n">
        <v>2</v>
      </c>
      <c r="G157" s="2" t="n">
        <v>0</v>
      </c>
      <c r="H157" s="2" t="n">
        <v>0</v>
      </c>
      <c r="I157" s="2" t="n">
        <v>1</v>
      </c>
      <c r="J157" s="2" t="n">
        <v>0</v>
      </c>
      <c r="K157" s="2" t="n">
        <v>0</v>
      </c>
      <c r="L157" s="11" t="b">
        <f aca="false">FALSE()</f>
        <v>0</v>
      </c>
      <c r="M157" s="2" t="s">
        <v>406</v>
      </c>
      <c r="N157" s="2" t="n">
        <f aca="false">IF(E157&gt;0,F157/E157,"")</f>
        <v>0.4</v>
      </c>
      <c r="O157" s="2" t="str">
        <f aca="false">IF(AND(E157&gt;0,L157),J157/E157,"")</f>
        <v/>
      </c>
    </row>
    <row r="158" customFormat="false" ht="15" hidden="false" customHeight="false" outlineLevel="0" collapsed="false">
      <c r="A158" s="2" t="n">
        <v>2019</v>
      </c>
      <c r="B158" s="2" t="s">
        <v>508</v>
      </c>
      <c r="C158" s="2" t="s">
        <v>405</v>
      </c>
      <c r="D158" s="2" t="s">
        <v>409</v>
      </c>
      <c r="E158" s="2" t="n">
        <v>10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11" t="b">
        <f aca="false">FALSE()</f>
        <v>0</v>
      </c>
      <c r="M158" s="2" t="s">
        <v>410</v>
      </c>
      <c r="N158" s="2" t="n">
        <f aca="false">IF(E158&gt;0,F158/E158,"")</f>
        <v>0</v>
      </c>
      <c r="O158" s="2" t="str">
        <f aca="false">IF(AND(E158&gt;0,L158),J158/E158,"")</f>
        <v/>
      </c>
    </row>
    <row r="159" customFormat="false" ht="15" hidden="false" customHeight="false" outlineLevel="0" collapsed="false">
      <c r="A159" s="2" t="n">
        <v>2019</v>
      </c>
      <c r="B159" s="2" t="s">
        <v>509</v>
      </c>
      <c r="C159" s="2" t="s">
        <v>405</v>
      </c>
      <c r="D159" s="2"/>
      <c r="E159" s="2" t="n">
        <v>10</v>
      </c>
      <c r="F159" s="2" t="n">
        <v>2</v>
      </c>
      <c r="G159" s="2" t="n">
        <v>2</v>
      </c>
      <c r="H159" s="2" t="n">
        <v>0</v>
      </c>
      <c r="I159" s="2" t="n">
        <v>0</v>
      </c>
      <c r="J159" s="2" t="n">
        <v>0</v>
      </c>
      <c r="K159" s="2" t="n">
        <v>0</v>
      </c>
      <c r="L159" s="11" t="b">
        <f aca="false">FALSE()</f>
        <v>0</v>
      </c>
      <c r="M159" s="2" t="s">
        <v>410</v>
      </c>
      <c r="N159" s="2" t="n">
        <f aca="false">IF(E159&gt;0,F159/E159,"")</f>
        <v>0.2</v>
      </c>
      <c r="O159" s="2" t="str">
        <f aca="false">IF(AND(E159&gt;0,L159),J159/E159,"")</f>
        <v/>
      </c>
    </row>
    <row r="160" customFormat="false" ht="15" hidden="false" customHeight="false" outlineLevel="0" collapsed="false">
      <c r="A160" s="2" t="n">
        <v>2019</v>
      </c>
      <c r="B160" s="2" t="s">
        <v>510</v>
      </c>
      <c r="C160" s="2" t="s">
        <v>418</v>
      </c>
      <c r="D160" s="2" t="s">
        <v>29</v>
      </c>
      <c r="E160" s="2" t="n">
        <v>9</v>
      </c>
      <c r="F160" s="2" t="n">
        <v>33</v>
      </c>
      <c r="G160" s="2" t="n">
        <v>15</v>
      </c>
      <c r="H160" s="2" t="n">
        <v>5</v>
      </c>
      <c r="I160" s="2" t="n">
        <v>2</v>
      </c>
      <c r="J160" s="2" t="n">
        <v>0</v>
      </c>
      <c r="K160" s="2" t="n">
        <v>0</v>
      </c>
      <c r="L160" s="11" t="b">
        <f aca="false">FALSE()</f>
        <v>0</v>
      </c>
      <c r="M160" s="2" t="s">
        <v>406</v>
      </c>
      <c r="N160" s="2" t="n">
        <f aca="false">IF(E160&gt;0,F160/E160,"")</f>
        <v>3.66666666666667</v>
      </c>
      <c r="O160" s="2" t="str">
        <f aca="false">IF(AND(E160&gt;0,L160),J160/E160,"")</f>
        <v/>
      </c>
    </row>
    <row r="161" customFormat="false" ht="15" hidden="false" customHeight="false" outlineLevel="0" collapsed="false">
      <c r="A161" s="2" t="n">
        <v>2019</v>
      </c>
      <c r="B161" s="2" t="s">
        <v>511</v>
      </c>
      <c r="C161" s="2" t="s">
        <v>412</v>
      </c>
      <c r="D161" s="2" t="s">
        <v>29</v>
      </c>
      <c r="E161" s="2" t="n">
        <v>10</v>
      </c>
      <c r="F161" s="2" t="n">
        <v>8</v>
      </c>
      <c r="G161" s="2" t="n">
        <v>3</v>
      </c>
      <c r="H161" s="2" t="n">
        <v>3</v>
      </c>
      <c r="I161" s="2" t="n">
        <v>2</v>
      </c>
      <c r="J161" s="2" t="n">
        <v>0</v>
      </c>
      <c r="K161" s="2" t="n">
        <v>0</v>
      </c>
      <c r="L161" s="11" t="b">
        <f aca="false">FALSE()</f>
        <v>0</v>
      </c>
      <c r="M161" s="2" t="s">
        <v>406</v>
      </c>
      <c r="N161" s="2" t="n">
        <f aca="false">IF(E161&gt;0,F161/E161,"")</f>
        <v>0.8</v>
      </c>
      <c r="O161" s="2" t="str">
        <f aca="false">IF(AND(E161&gt;0,L161),J161/E161,"")</f>
        <v/>
      </c>
    </row>
    <row r="162" customFormat="false" ht="15" hidden="false" customHeight="false" outlineLevel="0" collapsed="false">
      <c r="A162" s="2" t="n">
        <v>2019</v>
      </c>
      <c r="B162" s="2" t="s">
        <v>512</v>
      </c>
      <c r="C162" s="2" t="s">
        <v>408</v>
      </c>
      <c r="D162" s="2" t="s">
        <v>117</v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11" t="b">
        <f aca="false">FALSE()</f>
        <v>0</v>
      </c>
      <c r="M162" s="2" t="s">
        <v>410</v>
      </c>
      <c r="N162" s="2" t="n">
        <f aca="false">IF(E162&gt;0,F162/E162,"")</f>
        <v>0</v>
      </c>
      <c r="O162" s="2" t="str">
        <f aca="false">IF(AND(E162&gt;0,L162),J162/E162,"")</f>
        <v/>
      </c>
    </row>
    <row r="163" customFormat="false" ht="15" hidden="false" customHeight="false" outlineLevel="0" collapsed="false">
      <c r="A163" s="2" t="n">
        <v>2019</v>
      </c>
      <c r="B163" s="2" t="s">
        <v>513</v>
      </c>
      <c r="C163" s="2" t="s">
        <v>405</v>
      </c>
      <c r="D163" s="2" t="s">
        <v>409</v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11" t="b">
        <f aca="false">FALSE()</f>
        <v>0</v>
      </c>
      <c r="M163" s="2" t="s">
        <v>410</v>
      </c>
      <c r="N163" s="2" t="n">
        <f aca="false">IF(E163&gt;0,F163/E163,"")</f>
        <v>0</v>
      </c>
      <c r="O163" s="2" t="str">
        <f aca="false">IF(AND(E163&gt;0,L163),J163/E163,"")</f>
        <v/>
      </c>
    </row>
    <row r="164" customFormat="false" ht="15" hidden="false" customHeight="false" outlineLevel="0" collapsed="false">
      <c r="A164" s="2" t="n">
        <v>2019</v>
      </c>
      <c r="B164" s="2" t="s">
        <v>514</v>
      </c>
      <c r="C164" s="2" t="s">
        <v>405</v>
      </c>
      <c r="D164" s="2" t="s">
        <v>29</v>
      </c>
      <c r="E164" s="2" t="n">
        <v>10</v>
      </c>
      <c r="F164" s="2" t="n">
        <v>42</v>
      </c>
      <c r="G164" s="2" t="n">
        <v>26</v>
      </c>
      <c r="H164" s="2" t="n">
        <v>9</v>
      </c>
      <c r="I164" s="2" t="n">
        <v>11</v>
      </c>
      <c r="J164" s="2" t="n">
        <v>0</v>
      </c>
      <c r="K164" s="2" t="n">
        <v>0</v>
      </c>
      <c r="L164" s="11" t="b">
        <f aca="false">FALSE()</f>
        <v>0</v>
      </c>
      <c r="M164" s="2" t="s">
        <v>406</v>
      </c>
      <c r="N164" s="2" t="n">
        <f aca="false">IF(E164&gt;0,F164/E164,"")</f>
        <v>4.2</v>
      </c>
      <c r="O164" s="2" t="str">
        <f aca="false">IF(AND(E164&gt;0,L164),J164/E164,"")</f>
        <v/>
      </c>
    </row>
    <row r="165" customFormat="false" ht="15" hidden="false" customHeight="false" outlineLevel="0" collapsed="false">
      <c r="A165" s="2" t="n">
        <v>2019</v>
      </c>
      <c r="B165" s="2" t="s">
        <v>245</v>
      </c>
      <c r="C165" s="2" t="s">
        <v>414</v>
      </c>
      <c r="D165" s="2" t="s">
        <v>29</v>
      </c>
      <c r="E165" s="2" t="n">
        <v>10</v>
      </c>
      <c r="F165" s="2" t="n">
        <v>4</v>
      </c>
      <c r="G165" s="2" t="n">
        <v>1</v>
      </c>
      <c r="H165" s="2" t="n">
        <v>1</v>
      </c>
      <c r="I165" s="2" t="n">
        <v>0</v>
      </c>
      <c r="J165" s="2" t="n">
        <v>0</v>
      </c>
      <c r="K165" s="2" t="n">
        <v>0</v>
      </c>
      <c r="L165" s="11" t="b">
        <f aca="false">FALSE()</f>
        <v>0</v>
      </c>
      <c r="M165" s="2" t="s">
        <v>406</v>
      </c>
      <c r="N165" s="2" t="n">
        <f aca="false">IF(E165&gt;0,F165/E165,"")</f>
        <v>0.4</v>
      </c>
      <c r="O165" s="2" t="str">
        <f aca="false">IF(AND(E165&gt;0,L165),J165/E165,"")</f>
        <v/>
      </c>
    </row>
    <row r="166" customFormat="false" ht="15" hidden="false" customHeight="false" outlineLevel="0" collapsed="false">
      <c r="A166" s="2" t="n">
        <v>2019</v>
      </c>
      <c r="B166" s="2" t="s">
        <v>515</v>
      </c>
      <c r="C166" s="2" t="s">
        <v>418</v>
      </c>
      <c r="D166" s="2" t="s">
        <v>115</v>
      </c>
      <c r="E166" s="2" t="n">
        <v>9</v>
      </c>
      <c r="F166" s="2" t="n">
        <v>8</v>
      </c>
      <c r="G166" s="2" t="n">
        <v>3</v>
      </c>
      <c r="H166" s="2" t="n">
        <v>1</v>
      </c>
      <c r="I166" s="2" t="n">
        <v>2</v>
      </c>
      <c r="J166" s="2" t="n">
        <v>0</v>
      </c>
      <c r="K166" s="2" t="n">
        <v>0</v>
      </c>
      <c r="L166" s="11" t="b">
        <f aca="false">FALSE()</f>
        <v>0</v>
      </c>
      <c r="M166" s="2" t="s">
        <v>406</v>
      </c>
      <c r="N166" s="2" t="n">
        <f aca="false">IF(E166&gt;0,F166/E166,"")</f>
        <v>0.888888888888889</v>
      </c>
      <c r="O166" s="2" t="str">
        <f aca="false">IF(AND(E166&gt;0,L166),J166/E166,"")</f>
        <v/>
      </c>
    </row>
    <row r="167" customFormat="false" ht="15" hidden="false" customHeight="false" outlineLevel="0" collapsed="false">
      <c r="A167" s="2" t="n">
        <v>2019</v>
      </c>
      <c r="B167" s="2" t="s">
        <v>516</v>
      </c>
      <c r="C167" s="2" t="s">
        <v>418</v>
      </c>
      <c r="D167" s="2" t="s">
        <v>24</v>
      </c>
      <c r="E167" s="2" t="n">
        <v>10</v>
      </c>
      <c r="F167" s="2" t="n">
        <v>65</v>
      </c>
      <c r="G167" s="2" t="n">
        <v>38</v>
      </c>
      <c r="H167" s="2" t="n">
        <v>16</v>
      </c>
      <c r="I167" s="2" t="n">
        <v>16</v>
      </c>
      <c r="J167" s="2" t="n">
        <v>0</v>
      </c>
      <c r="K167" s="2" t="n">
        <v>0</v>
      </c>
      <c r="L167" s="11" t="b">
        <f aca="false">FALSE()</f>
        <v>0</v>
      </c>
      <c r="M167" s="2" t="s">
        <v>406</v>
      </c>
      <c r="N167" s="2" t="n">
        <f aca="false">IF(E167&gt;0,F167/E167,"")</f>
        <v>6.5</v>
      </c>
      <c r="O167" s="2" t="str">
        <f aca="false">IF(AND(E167&gt;0,L167),J167/E167,"")</f>
        <v/>
      </c>
    </row>
    <row r="168" customFormat="false" ht="15" hidden="false" customHeight="false" outlineLevel="0" collapsed="false">
      <c r="A168" s="2" t="n">
        <v>2019</v>
      </c>
      <c r="B168" s="2" t="s">
        <v>198</v>
      </c>
      <c r="C168" s="2" t="s">
        <v>414</v>
      </c>
      <c r="D168" s="2" t="s">
        <v>117</v>
      </c>
      <c r="E168" s="2" t="n">
        <v>10</v>
      </c>
      <c r="F168" s="2" t="n">
        <v>6</v>
      </c>
      <c r="G168" s="2" t="n">
        <v>3</v>
      </c>
      <c r="H168" s="2" t="n">
        <v>2</v>
      </c>
      <c r="I168" s="2" t="n">
        <v>3</v>
      </c>
      <c r="J168" s="2" t="n">
        <v>0</v>
      </c>
      <c r="K168" s="2" t="n">
        <v>0</v>
      </c>
      <c r="L168" s="11" t="b">
        <f aca="false">FALSE()</f>
        <v>0</v>
      </c>
      <c r="M168" s="2" t="s">
        <v>406</v>
      </c>
      <c r="N168" s="2" t="n">
        <f aca="false">IF(E168&gt;0,F168/E168,"")</f>
        <v>0.6</v>
      </c>
      <c r="O168" s="2" t="str">
        <f aca="false">IF(AND(E168&gt;0,L168),J168/E168,"")</f>
        <v/>
      </c>
    </row>
    <row r="169" customFormat="false" ht="15" hidden="false" customHeight="false" outlineLevel="0" collapsed="false">
      <c r="A169" s="2" t="n">
        <v>2019</v>
      </c>
      <c r="B169" s="2" t="s">
        <v>517</v>
      </c>
      <c r="C169" s="2" t="s">
        <v>412</v>
      </c>
      <c r="D169" s="2" t="s">
        <v>29</v>
      </c>
      <c r="E169" s="2" t="n">
        <v>1</v>
      </c>
      <c r="F169" s="2" t="n">
        <v>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11" t="b">
        <f aca="false">FALSE()</f>
        <v>0</v>
      </c>
      <c r="M169" s="2" t="s">
        <v>410</v>
      </c>
      <c r="N169" s="2" t="n">
        <f aca="false">IF(E169&gt;0,F169/E169,"")</f>
        <v>1</v>
      </c>
      <c r="O169" s="2" t="str">
        <f aca="false">IF(AND(E169&gt;0,L169),J169/E169,"")</f>
        <v/>
      </c>
    </row>
    <row r="170" customFormat="false" ht="15" hidden="false" customHeight="false" outlineLevel="0" collapsed="false">
      <c r="A170" s="2" t="n">
        <v>2019</v>
      </c>
      <c r="B170" s="2" t="s">
        <v>148</v>
      </c>
      <c r="C170" s="2" t="s">
        <v>412</v>
      </c>
      <c r="D170" s="2" t="s">
        <v>117</v>
      </c>
      <c r="E170" s="2" t="n">
        <v>9</v>
      </c>
      <c r="F170" s="2" t="n">
        <v>9</v>
      </c>
      <c r="G170" s="2" t="n">
        <v>4</v>
      </c>
      <c r="H170" s="2" t="n">
        <v>3</v>
      </c>
      <c r="I170" s="2" t="n">
        <v>1</v>
      </c>
      <c r="J170" s="2" t="n">
        <v>0</v>
      </c>
      <c r="K170" s="2" t="n">
        <v>0</v>
      </c>
      <c r="L170" s="11" t="b">
        <f aca="false">FALSE()</f>
        <v>0</v>
      </c>
      <c r="M170" s="2" t="s">
        <v>406</v>
      </c>
      <c r="N170" s="2" t="n">
        <f aca="false">IF(E170&gt;0,F170/E170,"")</f>
        <v>1</v>
      </c>
      <c r="O170" s="2" t="str">
        <f aca="false">IF(AND(E170&gt;0,L170),J170/E170,"")</f>
        <v/>
      </c>
    </row>
    <row r="171" customFormat="false" ht="15" hidden="false" customHeight="false" outlineLevel="0" collapsed="false">
      <c r="A171" s="2" t="n">
        <v>2020</v>
      </c>
      <c r="B171" s="2" t="s">
        <v>349</v>
      </c>
      <c r="C171" s="2" t="s">
        <v>405</v>
      </c>
      <c r="D171" s="2" t="s">
        <v>29</v>
      </c>
      <c r="E171" s="2" t="n">
        <v>6</v>
      </c>
      <c r="F171" s="2" t="n">
        <v>30</v>
      </c>
      <c r="G171" s="2" t="n">
        <v>17</v>
      </c>
      <c r="H171" s="2" t="n">
        <v>5</v>
      </c>
      <c r="I171" s="2" t="n">
        <v>1</v>
      </c>
      <c r="J171" s="2" t="n">
        <v>0</v>
      </c>
      <c r="K171" s="2" t="n">
        <v>0</v>
      </c>
      <c r="L171" s="11" t="b">
        <f aca="false">FALSE()</f>
        <v>0</v>
      </c>
      <c r="M171" s="2" t="s">
        <v>406</v>
      </c>
      <c r="N171" s="2" t="n">
        <f aca="false">IF(E171&gt;0,F171/E171,"")</f>
        <v>5</v>
      </c>
      <c r="O171" s="2" t="str">
        <f aca="false">IF(AND(E171&gt;0,L171),J171/E171,"")</f>
        <v/>
      </c>
    </row>
    <row r="172" customFormat="false" ht="15" hidden="false" customHeight="false" outlineLevel="0" collapsed="false">
      <c r="A172" s="2" t="n">
        <v>2020</v>
      </c>
      <c r="B172" s="2" t="s">
        <v>407</v>
      </c>
      <c r="C172" s="2" t="s">
        <v>408</v>
      </c>
      <c r="D172" s="2" t="s">
        <v>409</v>
      </c>
      <c r="E172" s="2" t="n">
        <v>6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11" t="b">
        <f aca="false">FALSE()</f>
        <v>0</v>
      </c>
      <c r="M172" s="2" t="s">
        <v>410</v>
      </c>
      <c r="N172" s="2" t="n">
        <f aca="false">IF(E172&gt;0,F172/E172,"")</f>
        <v>0.166666666666667</v>
      </c>
      <c r="O172" s="2" t="str">
        <f aca="false">IF(AND(E172&gt;0,L172),J172/E172,"")</f>
        <v/>
      </c>
    </row>
    <row r="173" customFormat="false" ht="15" hidden="false" customHeight="false" outlineLevel="0" collapsed="false">
      <c r="A173" s="2" t="n">
        <v>2020</v>
      </c>
      <c r="B173" s="2" t="s">
        <v>292</v>
      </c>
      <c r="C173" s="2" t="s">
        <v>408</v>
      </c>
      <c r="D173" s="2" t="s">
        <v>29</v>
      </c>
      <c r="E173" s="2" t="n">
        <v>6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11" t="b">
        <f aca="false">FALSE()</f>
        <v>0</v>
      </c>
      <c r="M173" s="2" t="s">
        <v>406</v>
      </c>
      <c r="N173" s="2" t="n">
        <f aca="false">IF(E173&gt;0,F173/E173,"")</f>
        <v>0</v>
      </c>
      <c r="O173" s="2" t="str">
        <f aca="false">IF(AND(E173&gt;0,L173),J173/E173,"")</f>
        <v/>
      </c>
    </row>
    <row r="174" customFormat="false" ht="15" hidden="false" customHeight="false" outlineLevel="0" collapsed="false">
      <c r="A174" s="2" t="n">
        <v>2020</v>
      </c>
      <c r="B174" s="2" t="s">
        <v>52</v>
      </c>
      <c r="C174" s="2" t="s">
        <v>408</v>
      </c>
      <c r="D174" s="2" t="s">
        <v>29</v>
      </c>
      <c r="E174" s="2" t="n">
        <v>6</v>
      </c>
      <c r="F174" s="2" t="n">
        <v>19</v>
      </c>
      <c r="G174" s="2" t="n">
        <v>12</v>
      </c>
      <c r="H174" s="2" t="n">
        <v>4</v>
      </c>
      <c r="I174" s="2" t="n">
        <v>5</v>
      </c>
      <c r="J174" s="2" t="n">
        <v>0</v>
      </c>
      <c r="K174" s="2" t="n">
        <v>0</v>
      </c>
      <c r="L174" s="11" t="b">
        <f aca="false">FALSE()</f>
        <v>0</v>
      </c>
      <c r="M174" s="2" t="s">
        <v>406</v>
      </c>
      <c r="N174" s="2" t="n">
        <f aca="false">IF(E174&gt;0,F174/E174,"")</f>
        <v>3.16666666666667</v>
      </c>
      <c r="O174" s="2" t="str">
        <f aca="false">IF(AND(E174&gt;0,L174),J174/E174,"")</f>
        <v/>
      </c>
    </row>
    <row r="175" customFormat="false" ht="15" hidden="false" customHeight="false" outlineLevel="0" collapsed="false">
      <c r="A175" s="2" t="n">
        <v>2020</v>
      </c>
      <c r="B175" s="2" t="s">
        <v>54</v>
      </c>
      <c r="C175" s="2" t="s">
        <v>408</v>
      </c>
      <c r="D175" s="2" t="s">
        <v>24</v>
      </c>
      <c r="E175" s="2" t="n">
        <v>6</v>
      </c>
      <c r="F175" s="2" t="n">
        <v>25</v>
      </c>
      <c r="G175" s="2" t="n">
        <v>18</v>
      </c>
      <c r="H175" s="2" t="n">
        <v>6</v>
      </c>
      <c r="I175" s="2" t="n">
        <v>14</v>
      </c>
      <c r="J175" s="2" t="n">
        <v>0</v>
      </c>
      <c r="K175" s="2" t="n">
        <v>0</v>
      </c>
      <c r="L175" s="11" t="b">
        <f aca="false">FALSE()</f>
        <v>0</v>
      </c>
      <c r="M175" s="2" t="s">
        <v>406</v>
      </c>
      <c r="N175" s="2" t="n">
        <f aca="false">IF(E175&gt;0,F175/E175,"")</f>
        <v>4.16666666666667</v>
      </c>
      <c r="O175" s="2" t="str">
        <f aca="false">IF(AND(E175&gt;0,L175),J175/E175,"")</f>
        <v/>
      </c>
    </row>
    <row r="176" customFormat="false" ht="15" hidden="false" customHeight="false" outlineLevel="0" collapsed="false">
      <c r="A176" s="2" t="n">
        <v>2020</v>
      </c>
      <c r="B176" s="2" t="s">
        <v>411</v>
      </c>
      <c r="C176" s="2" t="s">
        <v>412</v>
      </c>
      <c r="D176" s="2" t="s">
        <v>413</v>
      </c>
      <c r="E176" s="2" t="n">
        <v>5</v>
      </c>
      <c r="F176" s="2" t="n">
        <v>3</v>
      </c>
      <c r="G176" s="2" t="n">
        <v>2</v>
      </c>
      <c r="H176" s="2" t="n">
        <v>1</v>
      </c>
      <c r="I176" s="2" t="n">
        <v>0</v>
      </c>
      <c r="J176" s="2" t="n">
        <v>0</v>
      </c>
      <c r="K176" s="2" t="n">
        <v>0</v>
      </c>
      <c r="L176" s="11" t="b">
        <f aca="false">FALSE()</f>
        <v>0</v>
      </c>
      <c r="M176" s="2" t="s">
        <v>410</v>
      </c>
      <c r="N176" s="2" t="n">
        <f aca="false">IF(E176&gt;0,F176/E176,"")</f>
        <v>0.6</v>
      </c>
      <c r="O176" s="2" t="str">
        <f aca="false">IF(AND(E176&gt;0,L176),J176/E176,"")</f>
        <v/>
      </c>
    </row>
    <row r="177" customFormat="false" ht="15" hidden="false" customHeight="false" outlineLevel="0" collapsed="false">
      <c r="A177" s="2" t="n">
        <v>2020</v>
      </c>
      <c r="B177" s="2" t="s">
        <v>377</v>
      </c>
      <c r="C177" s="2" t="s">
        <v>418</v>
      </c>
      <c r="D177" s="2" t="s">
        <v>117</v>
      </c>
      <c r="E177" s="2" t="n">
        <v>5</v>
      </c>
      <c r="F177" s="2" t="n">
        <v>1</v>
      </c>
      <c r="G177" s="2" t="n">
        <v>1</v>
      </c>
      <c r="H177" s="2" t="n">
        <v>0</v>
      </c>
      <c r="I177" s="2" t="n">
        <v>1</v>
      </c>
      <c r="J177" s="2" t="n">
        <v>0</v>
      </c>
      <c r="K177" s="2" t="n">
        <v>0</v>
      </c>
      <c r="L177" s="11" t="b">
        <f aca="false">FALSE()</f>
        <v>0</v>
      </c>
      <c r="M177" s="2" t="s">
        <v>406</v>
      </c>
      <c r="N177" s="2" t="n">
        <f aca="false">IF(E177&gt;0,F177/E177,"")</f>
        <v>0.2</v>
      </c>
      <c r="O177" s="2" t="str">
        <f aca="false">IF(AND(E177&gt;0,L177),J177/E177,"")</f>
        <v/>
      </c>
    </row>
    <row r="178" customFormat="false" ht="15" hidden="false" customHeight="false" outlineLevel="0" collapsed="false">
      <c r="A178" s="2" t="n">
        <v>2020</v>
      </c>
      <c r="B178" s="2" t="s">
        <v>298</v>
      </c>
      <c r="C178" s="2" t="s">
        <v>420</v>
      </c>
      <c r="D178" s="2" t="s">
        <v>117</v>
      </c>
      <c r="E178" s="2" t="n">
        <v>7</v>
      </c>
      <c r="F178" s="2" t="n">
        <v>0</v>
      </c>
      <c r="G178" s="2" t="n">
        <v>0</v>
      </c>
      <c r="H178" s="2" t="n">
        <v>0</v>
      </c>
      <c r="I178" s="2" t="n">
        <v>1</v>
      </c>
      <c r="J178" s="2" t="n">
        <v>0</v>
      </c>
      <c r="K178" s="2" t="n">
        <v>0</v>
      </c>
      <c r="L178" s="11" t="b">
        <f aca="false">FALSE()</f>
        <v>0</v>
      </c>
      <c r="M178" s="2" t="s">
        <v>406</v>
      </c>
      <c r="N178" s="2" t="n">
        <f aca="false">IF(E178&gt;0,F178/E178,"")</f>
        <v>0</v>
      </c>
      <c r="O178" s="2" t="str">
        <f aca="false">IF(AND(E178&gt;0,L178),J178/E178,"")</f>
        <v/>
      </c>
    </row>
    <row r="179" customFormat="false" ht="15" hidden="false" customHeight="false" outlineLevel="0" collapsed="false">
      <c r="A179" s="2" t="n">
        <v>2020</v>
      </c>
      <c r="B179" s="2" t="s">
        <v>104</v>
      </c>
      <c r="C179" s="2" t="s">
        <v>518</v>
      </c>
      <c r="D179" s="2" t="s">
        <v>24</v>
      </c>
      <c r="E179" s="2" t="n">
        <v>5</v>
      </c>
      <c r="F179" s="2" t="n">
        <v>12</v>
      </c>
      <c r="G179" s="2" t="n">
        <v>9</v>
      </c>
      <c r="H179" s="2" t="n">
        <v>1</v>
      </c>
      <c r="I179" s="2" t="n">
        <v>4</v>
      </c>
      <c r="J179" s="2" t="n">
        <v>0</v>
      </c>
      <c r="K179" s="2" t="n">
        <v>0</v>
      </c>
      <c r="L179" s="11" t="b">
        <f aca="false">FALSE()</f>
        <v>0</v>
      </c>
      <c r="M179" s="2" t="s">
        <v>406</v>
      </c>
      <c r="N179" s="2" t="n">
        <f aca="false">IF(E179&gt;0,F179/E179,"")</f>
        <v>2.4</v>
      </c>
      <c r="O179" s="2" t="str">
        <f aca="false">IF(AND(E179&gt;0,L179),J179/E179,"")</f>
        <v/>
      </c>
    </row>
    <row r="180" customFormat="false" ht="15" hidden="false" customHeight="false" outlineLevel="0" collapsed="false">
      <c r="A180" s="2" t="n">
        <v>2020</v>
      </c>
      <c r="B180" s="2" t="s">
        <v>179</v>
      </c>
      <c r="C180" s="2" t="s">
        <v>414</v>
      </c>
      <c r="D180" s="2" t="s">
        <v>29</v>
      </c>
      <c r="E180" s="2" t="n">
        <v>6</v>
      </c>
      <c r="F180" s="2" t="n">
        <v>2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11" t="b">
        <f aca="false">FALSE()</f>
        <v>0</v>
      </c>
      <c r="M180" s="2" t="s">
        <v>406</v>
      </c>
      <c r="N180" s="2" t="n">
        <f aca="false">IF(E180&gt;0,F180/E180,"")</f>
        <v>0.333333333333333</v>
      </c>
      <c r="O180" s="2" t="str">
        <f aca="false">IF(AND(E180&gt;0,L180),J180/E180,"")</f>
        <v/>
      </c>
    </row>
    <row r="181" customFormat="false" ht="15" hidden="false" customHeight="false" outlineLevel="0" collapsed="false">
      <c r="A181" s="2" t="n">
        <v>2020</v>
      </c>
      <c r="B181" s="2" t="s">
        <v>161</v>
      </c>
      <c r="C181" s="2" t="s">
        <v>418</v>
      </c>
      <c r="D181" s="2" t="s">
        <v>117</v>
      </c>
      <c r="E181" s="2" t="n">
        <v>5</v>
      </c>
      <c r="F181" s="2" t="n">
        <v>2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11" t="b">
        <f aca="false">FALSE()</f>
        <v>0</v>
      </c>
      <c r="M181" s="2" t="s">
        <v>406</v>
      </c>
      <c r="N181" s="2" t="n">
        <f aca="false">IF(E181&gt;0,F181/E181,"")</f>
        <v>0.4</v>
      </c>
      <c r="O181" s="2" t="str">
        <f aca="false">IF(AND(E181&gt;0,L181),J181/E181,"")</f>
        <v/>
      </c>
    </row>
    <row r="182" customFormat="false" ht="15" hidden="false" customHeight="false" outlineLevel="0" collapsed="false">
      <c r="A182" s="2" t="n">
        <v>2020</v>
      </c>
      <c r="B182" s="2" t="s">
        <v>416</v>
      </c>
      <c r="C182" s="2" t="s">
        <v>414</v>
      </c>
      <c r="D182" s="2" t="s">
        <v>409</v>
      </c>
      <c r="E182" s="2" t="n">
        <v>6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11" t="b">
        <f aca="false">FALSE()</f>
        <v>0</v>
      </c>
      <c r="M182" s="2" t="s">
        <v>410</v>
      </c>
      <c r="N182" s="2" t="n">
        <f aca="false">IF(E182&gt;0,F182/E182,"")</f>
        <v>0</v>
      </c>
      <c r="O182" s="2" t="str">
        <f aca="false">IF(AND(E182&gt;0,L182),J182/E182,"")</f>
        <v/>
      </c>
    </row>
    <row r="183" customFormat="false" ht="15" hidden="false" customHeight="false" outlineLevel="0" collapsed="false">
      <c r="A183" s="2" t="n">
        <v>2020</v>
      </c>
      <c r="B183" s="2" t="s">
        <v>519</v>
      </c>
      <c r="C183" s="2" t="s">
        <v>518</v>
      </c>
      <c r="D183" s="2" t="s">
        <v>409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11" t="b">
        <f aca="false">FALSE()</f>
        <v>0</v>
      </c>
      <c r="M183" s="2" t="s">
        <v>410</v>
      </c>
      <c r="N183" s="2" t="str">
        <f aca="false">IF(E183&gt;0,F183/E183,"")</f>
        <v/>
      </c>
      <c r="O183" s="2" t="str">
        <f aca="false">IF(AND(E183&gt;0,L183),J183/E183,"")</f>
        <v/>
      </c>
    </row>
    <row r="184" customFormat="false" ht="15" hidden="false" customHeight="false" outlineLevel="0" collapsed="false">
      <c r="A184" s="2" t="n">
        <v>2020</v>
      </c>
      <c r="B184" s="2" t="s">
        <v>201</v>
      </c>
      <c r="C184" s="2" t="s">
        <v>412</v>
      </c>
      <c r="D184" s="2" t="s">
        <v>24</v>
      </c>
      <c r="E184" s="2" t="n">
        <v>5</v>
      </c>
      <c r="F184" s="2" t="n">
        <v>23</v>
      </c>
      <c r="G184" s="2" t="n">
        <v>15</v>
      </c>
      <c r="H184" s="2" t="n">
        <v>6</v>
      </c>
      <c r="I184" s="2" t="n">
        <v>0</v>
      </c>
      <c r="J184" s="2" t="n">
        <v>0</v>
      </c>
      <c r="K184" s="2" t="n">
        <v>0</v>
      </c>
      <c r="L184" s="11" t="b">
        <f aca="false">FALSE()</f>
        <v>0</v>
      </c>
      <c r="M184" s="2" t="s">
        <v>406</v>
      </c>
      <c r="N184" s="2" t="n">
        <f aca="false">IF(E184&gt;0,F184/E184,"")</f>
        <v>4.6</v>
      </c>
      <c r="O184" s="2" t="str">
        <f aca="false">IF(AND(E184&gt;0,L184),J184/E184,"")</f>
        <v/>
      </c>
    </row>
    <row r="185" customFormat="false" ht="15" hidden="false" customHeight="false" outlineLevel="0" collapsed="false">
      <c r="A185" s="2" t="n">
        <v>2020</v>
      </c>
      <c r="B185" s="2" t="s">
        <v>422</v>
      </c>
      <c r="C185" s="2" t="s">
        <v>420</v>
      </c>
      <c r="D185" s="2" t="s">
        <v>29</v>
      </c>
      <c r="E185" s="2" t="n">
        <v>7</v>
      </c>
      <c r="F185" s="2" t="n">
        <v>9</v>
      </c>
      <c r="G185" s="2" t="n">
        <v>6</v>
      </c>
      <c r="H185" s="2" t="n">
        <v>2</v>
      </c>
      <c r="I185" s="2" t="n">
        <v>1</v>
      </c>
      <c r="J185" s="2" t="n">
        <v>0</v>
      </c>
      <c r="K185" s="2" t="n">
        <v>0</v>
      </c>
      <c r="L185" s="11" t="b">
        <f aca="false">FALSE()</f>
        <v>0</v>
      </c>
      <c r="M185" s="2" t="s">
        <v>406</v>
      </c>
      <c r="N185" s="2" t="n">
        <f aca="false">IF(E185&gt;0,F185/E185,"")</f>
        <v>1.28571428571429</v>
      </c>
      <c r="O185" s="2" t="str">
        <f aca="false">IF(AND(E185&gt;0,L185),J185/E185,"")</f>
        <v/>
      </c>
    </row>
    <row r="186" customFormat="false" ht="15" hidden="false" customHeight="false" outlineLevel="0" collapsed="false">
      <c r="A186" s="2" t="n">
        <v>2020</v>
      </c>
      <c r="B186" s="2" t="s">
        <v>423</v>
      </c>
      <c r="C186" s="2" t="s">
        <v>412</v>
      </c>
      <c r="D186" s="2" t="s">
        <v>29</v>
      </c>
      <c r="E186" s="2" t="n">
        <v>5</v>
      </c>
      <c r="F186" s="2" t="n">
        <v>27</v>
      </c>
      <c r="G186" s="2" t="n">
        <v>15</v>
      </c>
      <c r="H186" s="2" t="n">
        <v>3</v>
      </c>
      <c r="I186" s="2" t="n">
        <v>3</v>
      </c>
      <c r="J186" s="2" t="n">
        <v>0</v>
      </c>
      <c r="K186" s="2" t="n">
        <v>0</v>
      </c>
      <c r="L186" s="11" t="b">
        <f aca="false">FALSE()</f>
        <v>0</v>
      </c>
      <c r="M186" s="2" t="s">
        <v>406</v>
      </c>
      <c r="N186" s="2" t="n">
        <f aca="false">IF(E186&gt;0,F186/E186,"")</f>
        <v>5.4</v>
      </c>
      <c r="O186" s="2" t="str">
        <f aca="false">IF(AND(E186&gt;0,L186),J186/E186,"")</f>
        <v/>
      </c>
    </row>
    <row r="187" customFormat="false" ht="15" hidden="false" customHeight="false" outlineLevel="0" collapsed="false">
      <c r="A187" s="2" t="n">
        <v>2020</v>
      </c>
      <c r="B187" s="2" t="s">
        <v>62</v>
      </c>
      <c r="C187" s="2" t="s">
        <v>420</v>
      </c>
      <c r="D187" s="2" t="s">
        <v>24</v>
      </c>
      <c r="E187" s="2" t="n">
        <v>7</v>
      </c>
      <c r="F187" s="2" t="n">
        <v>44</v>
      </c>
      <c r="G187" s="2" t="n">
        <v>28</v>
      </c>
      <c r="H187" s="2" t="n">
        <v>13</v>
      </c>
      <c r="I187" s="2" t="n">
        <v>7</v>
      </c>
      <c r="J187" s="2" t="n">
        <v>0</v>
      </c>
      <c r="K187" s="2" t="n">
        <v>0</v>
      </c>
      <c r="L187" s="11" t="b">
        <f aca="false">FALSE()</f>
        <v>0</v>
      </c>
      <c r="M187" s="2" t="s">
        <v>406</v>
      </c>
      <c r="N187" s="2" t="n">
        <f aca="false">IF(E187&gt;0,F187/E187,"")</f>
        <v>6.28571428571429</v>
      </c>
      <c r="O187" s="2" t="str">
        <f aca="false">IF(AND(E187&gt;0,L187),J187/E187,"")</f>
        <v/>
      </c>
    </row>
    <row r="188" customFormat="false" ht="15" hidden="false" customHeight="false" outlineLevel="0" collapsed="false">
      <c r="A188" s="2" t="n">
        <v>2020</v>
      </c>
      <c r="B188" s="2" t="s">
        <v>226</v>
      </c>
      <c r="C188" s="2" t="s">
        <v>414</v>
      </c>
      <c r="D188" s="2" t="s">
        <v>24</v>
      </c>
      <c r="E188" s="2" t="n">
        <v>6</v>
      </c>
      <c r="F188" s="2" t="n">
        <v>26</v>
      </c>
      <c r="G188" s="2" t="n">
        <v>22</v>
      </c>
      <c r="H188" s="2" t="n">
        <v>12</v>
      </c>
      <c r="I188" s="2" t="n">
        <v>1</v>
      </c>
      <c r="J188" s="2" t="n">
        <v>0</v>
      </c>
      <c r="K188" s="2" t="n">
        <v>0</v>
      </c>
      <c r="L188" s="11" t="b">
        <f aca="false">FALSE()</f>
        <v>0</v>
      </c>
      <c r="M188" s="2" t="s">
        <v>406</v>
      </c>
      <c r="N188" s="2" t="n">
        <f aca="false">IF(E188&gt;0,F188/E188,"")</f>
        <v>4.33333333333333</v>
      </c>
      <c r="O188" s="2" t="str">
        <f aca="false">IF(AND(E188&gt;0,L188),J188/E188,"")</f>
        <v/>
      </c>
    </row>
    <row r="189" customFormat="false" ht="15" hidden="false" customHeight="false" outlineLevel="0" collapsed="false">
      <c r="A189" s="2" t="n">
        <v>2020</v>
      </c>
      <c r="B189" s="2" t="s">
        <v>55</v>
      </c>
      <c r="C189" s="2" t="s">
        <v>414</v>
      </c>
      <c r="D189" s="2" t="s">
        <v>29</v>
      </c>
      <c r="E189" s="2" t="n">
        <v>6</v>
      </c>
      <c r="F189" s="2" t="n">
        <v>28</v>
      </c>
      <c r="G189" s="2" t="n">
        <v>16</v>
      </c>
      <c r="H189" s="2" t="n">
        <v>8</v>
      </c>
      <c r="I189" s="2" t="n">
        <v>4</v>
      </c>
      <c r="J189" s="2" t="n">
        <v>0</v>
      </c>
      <c r="K189" s="2" t="n">
        <v>0</v>
      </c>
      <c r="L189" s="11" t="b">
        <f aca="false">FALSE()</f>
        <v>0</v>
      </c>
      <c r="M189" s="2" t="s">
        <v>406</v>
      </c>
      <c r="N189" s="2" t="n">
        <f aca="false">IF(E189&gt;0,F189/E189,"")</f>
        <v>4.66666666666667</v>
      </c>
      <c r="O189" s="2" t="str">
        <f aca="false">IF(AND(E189&gt;0,L189),J189/E189,"")</f>
        <v/>
      </c>
    </row>
    <row r="190" customFormat="false" ht="15" hidden="false" customHeight="false" outlineLevel="0" collapsed="false">
      <c r="A190" s="2" t="n">
        <v>2020</v>
      </c>
      <c r="B190" s="2" t="s">
        <v>268</v>
      </c>
      <c r="C190" s="2" t="s">
        <v>412</v>
      </c>
      <c r="D190" s="2" t="s">
        <v>115</v>
      </c>
      <c r="E190" s="2" t="n">
        <v>5</v>
      </c>
      <c r="F190" s="2" t="n">
        <v>0</v>
      </c>
      <c r="G190" s="2" t="n">
        <v>0</v>
      </c>
      <c r="H190" s="2" t="n">
        <v>0</v>
      </c>
      <c r="I190" s="2" t="n">
        <v>1</v>
      </c>
      <c r="J190" s="2" t="n">
        <v>0</v>
      </c>
      <c r="K190" s="2" t="n">
        <v>0</v>
      </c>
      <c r="L190" s="11" t="b">
        <f aca="false">FALSE()</f>
        <v>0</v>
      </c>
      <c r="M190" s="2" t="s">
        <v>406</v>
      </c>
      <c r="N190" s="2" t="n">
        <f aca="false">IF(E190&gt;0,F190/E190,"")</f>
        <v>0</v>
      </c>
      <c r="O190" s="2" t="str">
        <f aca="false">IF(AND(E190&gt;0,L190),J190/E190,"")</f>
        <v/>
      </c>
    </row>
    <row r="191" customFormat="false" ht="15" hidden="false" customHeight="false" outlineLevel="0" collapsed="false">
      <c r="A191" s="2" t="n">
        <v>2020</v>
      </c>
      <c r="B191" s="2" t="s">
        <v>424</v>
      </c>
      <c r="C191" s="2" t="s">
        <v>518</v>
      </c>
      <c r="D191" s="2" t="s">
        <v>409</v>
      </c>
      <c r="E191" s="2" t="n">
        <v>5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11" t="b">
        <f aca="false">FALSE()</f>
        <v>0</v>
      </c>
      <c r="M191" s="2" t="s">
        <v>410</v>
      </c>
      <c r="N191" s="2" t="n">
        <f aca="false">IF(E191&gt;0,F191/E191,"")</f>
        <v>0</v>
      </c>
      <c r="O191" s="2" t="str">
        <f aca="false">IF(AND(E191&gt;0,L191),J191/E191,"")</f>
        <v/>
      </c>
    </row>
    <row r="192" customFormat="false" ht="15" hidden="false" customHeight="false" outlineLevel="0" collapsed="false">
      <c r="A192" s="2" t="n">
        <v>2020</v>
      </c>
      <c r="B192" s="2" t="s">
        <v>425</v>
      </c>
      <c r="C192" s="2" t="s">
        <v>420</v>
      </c>
      <c r="D192" s="2" t="s">
        <v>29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11" t="b">
        <f aca="false">FALSE()</f>
        <v>0</v>
      </c>
      <c r="M192" s="2" t="s">
        <v>410</v>
      </c>
      <c r="N192" s="2" t="str">
        <f aca="false">IF(E192&gt;0,F192/E192,"")</f>
        <v/>
      </c>
      <c r="O192" s="2" t="str">
        <f aca="false">IF(AND(E192&gt;0,L192),J192/E192,"")</f>
        <v/>
      </c>
    </row>
    <row r="193" customFormat="false" ht="15" hidden="false" customHeight="false" outlineLevel="0" collapsed="false">
      <c r="A193" s="2" t="n">
        <v>2020</v>
      </c>
      <c r="B193" s="2" t="s">
        <v>129</v>
      </c>
      <c r="C193" s="2" t="s">
        <v>412</v>
      </c>
      <c r="D193" s="2" t="s">
        <v>24</v>
      </c>
      <c r="E193" s="2" t="n">
        <v>5</v>
      </c>
      <c r="F193" s="2" t="n">
        <v>17</v>
      </c>
      <c r="G193" s="2" t="n">
        <v>8</v>
      </c>
      <c r="H193" s="2" t="n">
        <v>7</v>
      </c>
      <c r="I193" s="2" t="n">
        <v>0</v>
      </c>
      <c r="J193" s="2" t="n">
        <v>0</v>
      </c>
      <c r="K193" s="2" t="n">
        <v>0</v>
      </c>
      <c r="L193" s="11" t="b">
        <f aca="false">FALSE()</f>
        <v>0</v>
      </c>
      <c r="M193" s="2" t="s">
        <v>406</v>
      </c>
      <c r="N193" s="2" t="n">
        <f aca="false">IF(E193&gt;0,F193/E193,"")</f>
        <v>3.4</v>
      </c>
      <c r="O193" s="2" t="str">
        <f aca="false">IF(AND(E193&gt;0,L193),J193/E193,"")</f>
        <v/>
      </c>
    </row>
    <row r="194" customFormat="false" ht="15" hidden="false" customHeight="false" outlineLevel="0" collapsed="false">
      <c r="A194" s="2" t="n">
        <v>2020</v>
      </c>
      <c r="B194" s="2" t="s">
        <v>426</v>
      </c>
      <c r="C194" s="2" t="s">
        <v>420</v>
      </c>
      <c r="D194" s="2" t="s">
        <v>117</v>
      </c>
      <c r="E194" s="2" t="n">
        <v>7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11" t="b">
        <f aca="false">FALSE()</f>
        <v>0</v>
      </c>
      <c r="M194" s="2" t="s">
        <v>406</v>
      </c>
      <c r="N194" s="2" t="n">
        <f aca="false">IF(E194&gt;0,F194/E194,"")</f>
        <v>0</v>
      </c>
      <c r="O194" s="2" t="str">
        <f aca="false">IF(AND(E194&gt;0,L194),J194/E194,"")</f>
        <v/>
      </c>
    </row>
    <row r="195" customFormat="false" ht="15" hidden="false" customHeight="false" outlineLevel="0" collapsed="false">
      <c r="A195" s="2" t="n">
        <v>2020</v>
      </c>
      <c r="B195" s="2" t="s">
        <v>427</v>
      </c>
      <c r="C195" s="2" t="s">
        <v>418</v>
      </c>
      <c r="D195" s="2" t="s">
        <v>29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11" t="b">
        <f aca="false">FALSE()</f>
        <v>0</v>
      </c>
      <c r="M195" s="2" t="s">
        <v>410</v>
      </c>
      <c r="N195" s="2" t="str">
        <f aca="false">IF(E195&gt;0,F195/E195,"")</f>
        <v/>
      </c>
      <c r="O195" s="2" t="str">
        <f aca="false">IF(AND(E195&gt;0,L195),J195/E195,"")</f>
        <v/>
      </c>
    </row>
    <row r="196" customFormat="false" ht="15" hidden="false" customHeight="false" outlineLevel="0" collapsed="false">
      <c r="A196" s="2" t="n">
        <v>2020</v>
      </c>
      <c r="B196" s="2" t="s">
        <v>356</v>
      </c>
      <c r="C196" s="2" t="s">
        <v>414</v>
      </c>
      <c r="D196" s="2" t="s">
        <v>29</v>
      </c>
      <c r="E196" s="2" t="n">
        <v>6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11" t="b">
        <f aca="false">FALSE()</f>
        <v>0</v>
      </c>
      <c r="M196" s="2" t="s">
        <v>406</v>
      </c>
      <c r="N196" s="2" t="n">
        <f aca="false">IF(E196&gt;0,F196/E196,"")</f>
        <v>0</v>
      </c>
      <c r="O196" s="2" t="str">
        <f aca="false">IF(AND(E196&gt;0,L196),J196/E196,"")</f>
        <v/>
      </c>
    </row>
    <row r="197" customFormat="false" ht="15" hidden="false" customHeight="false" outlineLevel="0" collapsed="false">
      <c r="A197" s="2" t="n">
        <v>2020</v>
      </c>
      <c r="B197" s="2" t="s">
        <v>428</v>
      </c>
      <c r="C197" s="2" t="s">
        <v>412</v>
      </c>
      <c r="D197" s="2" t="s">
        <v>409</v>
      </c>
      <c r="E197" s="2" t="n">
        <v>5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11" t="b">
        <f aca="false">FALSE()</f>
        <v>0</v>
      </c>
      <c r="M197" s="2" t="s">
        <v>410</v>
      </c>
      <c r="N197" s="2" t="n">
        <f aca="false">IF(E197&gt;0,F197/E197,"")</f>
        <v>0</v>
      </c>
      <c r="O197" s="2" t="str">
        <f aca="false">IF(AND(E197&gt;0,L197),J197/E197,"")</f>
        <v/>
      </c>
    </row>
    <row r="198" customFormat="false" ht="15" hidden="false" customHeight="false" outlineLevel="0" collapsed="false">
      <c r="A198" s="2" t="n">
        <v>2020</v>
      </c>
      <c r="B198" s="2" t="s">
        <v>429</v>
      </c>
      <c r="C198" s="2" t="s">
        <v>408</v>
      </c>
      <c r="D198" s="2" t="s">
        <v>117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11" t="b">
        <f aca="false">FALSE()</f>
        <v>0</v>
      </c>
      <c r="M198" s="2" t="s">
        <v>410</v>
      </c>
      <c r="N198" s="2" t="str">
        <f aca="false">IF(E198&gt;0,F198/E198,"")</f>
        <v/>
      </c>
      <c r="O198" s="2" t="str">
        <f aca="false">IF(AND(E198&gt;0,L198),J198/E198,"")</f>
        <v/>
      </c>
    </row>
    <row r="199" customFormat="false" ht="15" hidden="false" customHeight="false" outlineLevel="0" collapsed="false">
      <c r="A199" s="2" t="n">
        <v>2020</v>
      </c>
      <c r="B199" s="2" t="s">
        <v>95</v>
      </c>
      <c r="C199" s="2" t="s">
        <v>518</v>
      </c>
      <c r="D199" s="2" t="s">
        <v>29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11" t="b">
        <f aca="false">FALSE()</f>
        <v>0</v>
      </c>
      <c r="M199" s="2" t="s">
        <v>410</v>
      </c>
      <c r="N199" s="2" t="str">
        <f aca="false">IF(E199&gt;0,F199/E199,"")</f>
        <v/>
      </c>
      <c r="O199" s="2" t="str">
        <f aca="false">IF(AND(E199&gt;0,L199),J199/E199,"")</f>
        <v/>
      </c>
    </row>
    <row r="200" customFormat="false" ht="15" hidden="false" customHeight="false" outlineLevel="0" collapsed="false">
      <c r="A200" s="2" t="n">
        <v>2020</v>
      </c>
      <c r="B200" s="2" t="s">
        <v>430</v>
      </c>
      <c r="C200" s="2" t="s">
        <v>408</v>
      </c>
      <c r="D200" s="2" t="s">
        <v>117</v>
      </c>
      <c r="E200" s="2" t="n">
        <v>6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11" t="b">
        <f aca="false">FALSE()</f>
        <v>0</v>
      </c>
      <c r="M200" s="2" t="s">
        <v>406</v>
      </c>
      <c r="N200" s="2" t="n">
        <f aca="false">IF(E200&gt;0,F200/E200,"")</f>
        <v>0</v>
      </c>
      <c r="O200" s="2" t="str">
        <f aca="false">IF(AND(E200&gt;0,L200),J200/E200,"")</f>
        <v/>
      </c>
    </row>
    <row r="201" customFormat="false" ht="15" hidden="false" customHeight="false" outlineLevel="0" collapsed="false">
      <c r="A201" s="2" t="n">
        <v>2020</v>
      </c>
      <c r="B201" s="2" t="s">
        <v>32</v>
      </c>
      <c r="C201" s="2" t="s">
        <v>412</v>
      </c>
      <c r="D201" s="2" t="s">
        <v>29</v>
      </c>
      <c r="E201" s="2" t="n">
        <v>5</v>
      </c>
      <c r="F201" s="2" t="n">
        <v>25</v>
      </c>
      <c r="G201" s="2" t="n">
        <v>17</v>
      </c>
      <c r="H201" s="2" t="n">
        <v>7</v>
      </c>
      <c r="I201" s="2" t="n">
        <v>1</v>
      </c>
      <c r="J201" s="2" t="n">
        <v>0</v>
      </c>
      <c r="K201" s="2" t="n">
        <v>0</v>
      </c>
      <c r="L201" s="11" t="b">
        <f aca="false">FALSE()</f>
        <v>0</v>
      </c>
      <c r="M201" s="2" t="s">
        <v>406</v>
      </c>
      <c r="N201" s="2" t="n">
        <f aca="false">IF(E201&gt;0,F201/E201,"")</f>
        <v>5</v>
      </c>
      <c r="O201" s="2" t="str">
        <f aca="false">IF(AND(E201&gt;0,L201),J201/E201,"")</f>
        <v/>
      </c>
    </row>
    <row r="202" customFormat="false" ht="15" hidden="false" customHeight="false" outlineLevel="0" collapsed="false">
      <c r="A202" s="2" t="n">
        <v>2020</v>
      </c>
      <c r="B202" s="2" t="s">
        <v>520</v>
      </c>
      <c r="C202" s="2" t="s">
        <v>405</v>
      </c>
      <c r="D202" s="2" t="s">
        <v>115</v>
      </c>
      <c r="E202" s="2" t="n">
        <v>6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11" t="b">
        <f aca="false">FALSE()</f>
        <v>0</v>
      </c>
      <c r="M202" s="2" t="s">
        <v>406</v>
      </c>
      <c r="N202" s="2" t="n">
        <f aca="false">IF(E202&gt;0,F202/E202,"")</f>
        <v>0</v>
      </c>
      <c r="O202" s="2" t="str">
        <f aca="false">IF(AND(E202&gt;0,L202),J202/E202,"")</f>
        <v/>
      </c>
    </row>
    <row r="203" customFormat="false" ht="15" hidden="false" customHeight="false" outlineLevel="0" collapsed="false">
      <c r="A203" s="2" t="n">
        <v>2020</v>
      </c>
      <c r="B203" s="2" t="s">
        <v>229</v>
      </c>
      <c r="C203" s="2" t="s">
        <v>412</v>
      </c>
      <c r="D203" s="2" t="s">
        <v>29</v>
      </c>
      <c r="E203" s="2" t="n">
        <v>5</v>
      </c>
      <c r="F203" s="2" t="n">
        <v>11</v>
      </c>
      <c r="G203" s="2" t="n">
        <v>7</v>
      </c>
      <c r="H203" s="2" t="n">
        <v>3</v>
      </c>
      <c r="I203" s="2" t="n">
        <v>2</v>
      </c>
      <c r="J203" s="2" t="n">
        <v>0</v>
      </c>
      <c r="K203" s="2" t="n">
        <v>0</v>
      </c>
      <c r="L203" s="11" t="b">
        <f aca="false">FALSE()</f>
        <v>0</v>
      </c>
      <c r="M203" s="2" t="s">
        <v>406</v>
      </c>
      <c r="N203" s="2" t="n">
        <f aca="false">IF(E203&gt;0,F203/E203,"")</f>
        <v>2.2</v>
      </c>
      <c r="O203" s="2" t="str">
        <f aca="false">IF(AND(E203&gt;0,L203),J203/E203,"")</f>
        <v/>
      </c>
    </row>
    <row r="204" customFormat="false" ht="15" hidden="false" customHeight="false" outlineLevel="0" collapsed="false">
      <c r="A204" s="2" t="n">
        <v>2020</v>
      </c>
      <c r="B204" s="2" t="s">
        <v>431</v>
      </c>
      <c r="C204" s="2" t="s">
        <v>418</v>
      </c>
      <c r="D204" s="2" t="s">
        <v>29</v>
      </c>
      <c r="E204" s="2" t="n">
        <v>4</v>
      </c>
      <c r="F204" s="2" t="n">
        <v>11</v>
      </c>
      <c r="G204" s="2" t="n">
        <v>4</v>
      </c>
      <c r="H204" s="2" t="n">
        <v>3</v>
      </c>
      <c r="I204" s="2" t="n">
        <v>7</v>
      </c>
      <c r="J204" s="2" t="n">
        <v>0</v>
      </c>
      <c r="K204" s="2" t="n">
        <v>0</v>
      </c>
      <c r="L204" s="11" t="b">
        <f aca="false">FALSE()</f>
        <v>0</v>
      </c>
      <c r="M204" s="2" t="s">
        <v>406</v>
      </c>
      <c r="N204" s="2" t="n">
        <f aca="false">IF(E204&gt;0,F204/E204,"")</f>
        <v>2.75</v>
      </c>
      <c r="O204" s="2" t="str">
        <f aca="false">IF(AND(E204&gt;0,L204),J204/E204,"")</f>
        <v/>
      </c>
    </row>
    <row r="205" customFormat="false" ht="15" hidden="false" customHeight="false" outlineLevel="0" collapsed="false">
      <c r="A205" s="2" t="n">
        <v>2020</v>
      </c>
      <c r="B205" s="2" t="s">
        <v>295</v>
      </c>
      <c r="C205" s="2" t="s">
        <v>518</v>
      </c>
      <c r="D205" s="2" t="s">
        <v>24</v>
      </c>
      <c r="E205" s="2" t="n">
        <v>5</v>
      </c>
      <c r="F205" s="2" t="n">
        <v>10</v>
      </c>
      <c r="G205" s="2" t="n">
        <v>7</v>
      </c>
      <c r="H205" s="2" t="n">
        <v>3</v>
      </c>
      <c r="I205" s="2" t="n">
        <v>2</v>
      </c>
      <c r="J205" s="2" t="n">
        <v>0</v>
      </c>
      <c r="K205" s="2" t="n">
        <v>0</v>
      </c>
      <c r="L205" s="11" t="b">
        <f aca="false">FALSE()</f>
        <v>0</v>
      </c>
      <c r="M205" s="2" t="s">
        <v>406</v>
      </c>
      <c r="N205" s="2" t="n">
        <f aca="false">IF(E205&gt;0,F205/E205,"")</f>
        <v>2</v>
      </c>
      <c r="O205" s="2" t="str">
        <f aca="false">IF(AND(E205&gt;0,L205),J205/E205,"")</f>
        <v/>
      </c>
    </row>
    <row r="206" customFormat="false" ht="15" hidden="false" customHeight="false" outlineLevel="0" collapsed="false">
      <c r="A206" s="2" t="n">
        <v>2020</v>
      </c>
      <c r="B206" s="2" t="s">
        <v>521</v>
      </c>
      <c r="C206" s="2" t="s">
        <v>408</v>
      </c>
      <c r="D206" s="2" t="s">
        <v>29</v>
      </c>
      <c r="E206" s="2" t="n">
        <v>6</v>
      </c>
      <c r="F206" s="2" t="n">
        <v>14</v>
      </c>
      <c r="G206" s="2" t="n">
        <v>11</v>
      </c>
      <c r="H206" s="2" t="n">
        <v>6</v>
      </c>
      <c r="I206" s="2" t="n">
        <v>0</v>
      </c>
      <c r="J206" s="2" t="n">
        <v>0</v>
      </c>
      <c r="K206" s="2" t="n">
        <v>0</v>
      </c>
      <c r="L206" s="11" t="b">
        <f aca="false">FALSE()</f>
        <v>0</v>
      </c>
      <c r="M206" s="2" t="s">
        <v>406</v>
      </c>
      <c r="N206" s="2" t="n">
        <f aca="false">IF(E206&gt;0,F206/E206,"")</f>
        <v>2.33333333333333</v>
      </c>
      <c r="O206" s="2" t="str">
        <f aca="false">IF(AND(E206&gt;0,L206),J206/E206,"")</f>
        <v/>
      </c>
    </row>
    <row r="207" customFormat="false" ht="15" hidden="false" customHeight="false" outlineLevel="0" collapsed="false">
      <c r="A207" s="2" t="n">
        <v>2020</v>
      </c>
      <c r="B207" s="2" t="s">
        <v>46</v>
      </c>
      <c r="C207" s="2" t="s">
        <v>518</v>
      </c>
      <c r="D207" s="2" t="s">
        <v>29</v>
      </c>
      <c r="E207" s="2" t="n">
        <v>4</v>
      </c>
      <c r="F207" s="2" t="n">
        <v>8</v>
      </c>
      <c r="G207" s="2" t="n">
        <v>5</v>
      </c>
      <c r="H207" s="2" t="n">
        <v>4</v>
      </c>
      <c r="I207" s="2" t="n">
        <v>3</v>
      </c>
      <c r="J207" s="2" t="n">
        <v>0</v>
      </c>
      <c r="K207" s="2" t="n">
        <v>0</v>
      </c>
      <c r="L207" s="11" t="b">
        <f aca="false">FALSE()</f>
        <v>0</v>
      </c>
      <c r="M207" s="2" t="s">
        <v>406</v>
      </c>
      <c r="N207" s="2" t="n">
        <f aca="false">IF(E207&gt;0,F207/E207,"")</f>
        <v>2</v>
      </c>
      <c r="O207" s="2" t="str">
        <f aca="false">IF(AND(E207&gt;0,L207),J207/E207,"")</f>
        <v/>
      </c>
    </row>
    <row r="208" customFormat="false" ht="15" hidden="false" customHeight="false" outlineLevel="0" collapsed="false">
      <c r="A208" s="2" t="n">
        <v>2020</v>
      </c>
      <c r="B208" s="2" t="s">
        <v>522</v>
      </c>
      <c r="C208" s="2" t="s">
        <v>518</v>
      </c>
      <c r="D208" s="2" t="s">
        <v>409</v>
      </c>
      <c r="E208" s="2" t="n">
        <v>5</v>
      </c>
      <c r="F208" s="2" t="n">
        <v>1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11" t="b">
        <f aca="false">FALSE()</f>
        <v>0</v>
      </c>
      <c r="M208" s="2" t="s">
        <v>410</v>
      </c>
      <c r="N208" s="2" t="n">
        <f aca="false">IF(E208&gt;0,F208/E208,"")</f>
        <v>0.2</v>
      </c>
      <c r="O208" s="2" t="str">
        <f aca="false">IF(AND(E208&gt;0,L208),J208/E208,"")</f>
        <v/>
      </c>
    </row>
    <row r="209" customFormat="false" ht="15" hidden="false" customHeight="false" outlineLevel="0" collapsed="false">
      <c r="A209" s="2" t="n">
        <v>2020</v>
      </c>
      <c r="B209" s="2" t="s">
        <v>346</v>
      </c>
      <c r="C209" s="2" t="s">
        <v>518</v>
      </c>
      <c r="D209" s="2" t="s">
        <v>29</v>
      </c>
      <c r="E209" s="2" t="n">
        <v>5</v>
      </c>
      <c r="F209" s="2" t="n">
        <v>7</v>
      </c>
      <c r="G209" s="2" t="n">
        <v>4</v>
      </c>
      <c r="H209" s="2" t="n">
        <v>1</v>
      </c>
      <c r="I209" s="2" t="n">
        <v>1</v>
      </c>
      <c r="J209" s="2" t="n">
        <v>0</v>
      </c>
      <c r="K209" s="2" t="n">
        <v>0</v>
      </c>
      <c r="L209" s="11" t="b">
        <f aca="false">FALSE()</f>
        <v>0</v>
      </c>
      <c r="M209" s="2" t="s">
        <v>406</v>
      </c>
      <c r="N209" s="2" t="n">
        <f aca="false">IF(E209&gt;0,F209/E209,"")</f>
        <v>1.4</v>
      </c>
      <c r="O209" s="2" t="str">
        <f aca="false">IF(AND(E209&gt;0,L209),J209/E209,"")</f>
        <v/>
      </c>
    </row>
    <row r="210" customFormat="false" ht="15" hidden="false" customHeight="false" outlineLevel="0" collapsed="false">
      <c r="A210" s="2" t="n">
        <v>2020</v>
      </c>
      <c r="B210" s="2" t="s">
        <v>58</v>
      </c>
      <c r="C210" s="2" t="s">
        <v>412</v>
      </c>
      <c r="D210" s="2" t="s">
        <v>29</v>
      </c>
      <c r="E210" s="2" t="n">
        <v>5</v>
      </c>
      <c r="F210" s="2" t="n">
        <v>18</v>
      </c>
      <c r="G210" s="2" t="n">
        <v>8</v>
      </c>
      <c r="H210" s="2" t="n">
        <v>4</v>
      </c>
      <c r="I210" s="2" t="n">
        <v>1</v>
      </c>
      <c r="J210" s="2" t="n">
        <v>0</v>
      </c>
      <c r="K210" s="2" t="n">
        <v>0</v>
      </c>
      <c r="L210" s="11" t="b">
        <f aca="false">FALSE()</f>
        <v>0</v>
      </c>
      <c r="M210" s="2" t="s">
        <v>406</v>
      </c>
      <c r="N210" s="2" t="n">
        <f aca="false">IF(E210&gt;0,F210/E210,"")</f>
        <v>3.6</v>
      </c>
      <c r="O210" s="2" t="str">
        <f aca="false">IF(AND(E210&gt;0,L210),J210/E210,"")</f>
        <v/>
      </c>
    </row>
    <row r="211" customFormat="false" ht="15" hidden="false" customHeight="false" outlineLevel="0" collapsed="false">
      <c r="A211" s="2" t="n">
        <v>2020</v>
      </c>
      <c r="B211" s="2" t="s">
        <v>523</v>
      </c>
      <c r="C211" s="2" t="s">
        <v>420</v>
      </c>
      <c r="D211" s="2" t="s">
        <v>24</v>
      </c>
      <c r="E211" s="2" t="n">
        <v>7</v>
      </c>
      <c r="F211" s="2" t="n">
        <v>43</v>
      </c>
      <c r="G211" s="2" t="n">
        <v>25</v>
      </c>
      <c r="H211" s="2" t="n">
        <v>12</v>
      </c>
      <c r="I211" s="2" t="n">
        <v>6</v>
      </c>
      <c r="J211" s="2" t="n">
        <v>0</v>
      </c>
      <c r="K211" s="2" t="n">
        <v>0</v>
      </c>
      <c r="L211" s="11" t="b">
        <f aca="false">FALSE()</f>
        <v>0</v>
      </c>
      <c r="M211" s="2" t="s">
        <v>406</v>
      </c>
      <c r="N211" s="2" t="n">
        <f aca="false">IF(E211&gt;0,F211/E211,"")</f>
        <v>6.14285714285714</v>
      </c>
      <c r="O211" s="2" t="str">
        <f aca="false">IF(AND(E211&gt;0,L211),J211/E211,"")</f>
        <v/>
      </c>
    </row>
    <row r="212" customFormat="false" ht="15" hidden="false" customHeight="false" outlineLevel="0" collapsed="false">
      <c r="A212" s="2" t="n">
        <v>2020</v>
      </c>
      <c r="B212" s="2" t="s">
        <v>43</v>
      </c>
      <c r="C212" s="2" t="s">
        <v>518</v>
      </c>
      <c r="D212" s="2" t="s">
        <v>24</v>
      </c>
      <c r="E212" s="2" t="n">
        <v>5</v>
      </c>
      <c r="F212" s="2" t="n">
        <v>14</v>
      </c>
      <c r="G212" s="2" t="n">
        <v>6</v>
      </c>
      <c r="H212" s="2" t="n">
        <v>3</v>
      </c>
      <c r="I212" s="2" t="n">
        <v>1</v>
      </c>
      <c r="J212" s="2" t="n">
        <v>0</v>
      </c>
      <c r="K212" s="2" t="n">
        <v>0</v>
      </c>
      <c r="L212" s="11" t="b">
        <f aca="false">FALSE()</f>
        <v>0</v>
      </c>
      <c r="M212" s="2" t="s">
        <v>406</v>
      </c>
      <c r="N212" s="2" t="n">
        <f aca="false">IF(E212&gt;0,F212/E212,"")</f>
        <v>2.8</v>
      </c>
      <c r="O212" s="2" t="str">
        <f aca="false">IF(AND(E212&gt;0,L212),J212/E212,"")</f>
        <v/>
      </c>
    </row>
    <row r="213" customFormat="false" ht="15" hidden="false" customHeight="false" outlineLevel="0" collapsed="false">
      <c r="A213" s="2" t="n">
        <v>2020</v>
      </c>
      <c r="B213" s="2" t="s">
        <v>524</v>
      </c>
      <c r="C213" s="2" t="s">
        <v>418</v>
      </c>
      <c r="D213" s="2" t="s">
        <v>29</v>
      </c>
      <c r="E213" s="2" t="n">
        <v>5</v>
      </c>
      <c r="F213" s="2" t="n">
        <v>5</v>
      </c>
      <c r="G213" s="2" t="n">
        <v>3</v>
      </c>
      <c r="H213" s="2" t="n">
        <v>3</v>
      </c>
      <c r="I213" s="2" t="n">
        <v>1</v>
      </c>
      <c r="J213" s="2" t="n">
        <v>0</v>
      </c>
      <c r="K213" s="2" t="n">
        <v>0</v>
      </c>
      <c r="L213" s="11" t="b">
        <f aca="false">FALSE()</f>
        <v>0</v>
      </c>
      <c r="M213" s="2" t="s">
        <v>406</v>
      </c>
      <c r="N213" s="2" t="n">
        <f aca="false">IF(E213&gt;0,F213/E213,"")</f>
        <v>1</v>
      </c>
      <c r="O213" s="2" t="str">
        <f aca="false">IF(AND(E213&gt;0,L213),J213/E213,"")</f>
        <v/>
      </c>
    </row>
    <row r="214" customFormat="false" ht="15" hidden="false" customHeight="false" outlineLevel="0" collapsed="false">
      <c r="A214" s="2" t="n">
        <v>2020</v>
      </c>
      <c r="B214" s="2" t="s">
        <v>142</v>
      </c>
      <c r="C214" s="2" t="s">
        <v>414</v>
      </c>
      <c r="D214" s="2" t="s">
        <v>117</v>
      </c>
      <c r="E214" s="2" t="n">
        <v>6</v>
      </c>
      <c r="F214" s="2" t="n">
        <v>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11" t="b">
        <f aca="false">FALSE()</f>
        <v>0</v>
      </c>
      <c r="M214" s="2" t="s">
        <v>406</v>
      </c>
      <c r="N214" s="2" t="n">
        <f aca="false">IF(E214&gt;0,F214/E214,"")</f>
        <v>0.166666666666667</v>
      </c>
      <c r="O214" s="2" t="str">
        <f aca="false">IF(AND(E214&gt;0,L214),J214/E214,"")</f>
        <v/>
      </c>
    </row>
    <row r="215" customFormat="false" ht="15" hidden="false" customHeight="false" outlineLevel="0" collapsed="false">
      <c r="A215" s="2" t="n">
        <v>2020</v>
      </c>
      <c r="B215" s="2" t="s">
        <v>433</v>
      </c>
      <c r="C215" s="2" t="s">
        <v>405</v>
      </c>
      <c r="D215" s="2" t="s">
        <v>29</v>
      </c>
      <c r="E215" s="2" t="n">
        <v>5</v>
      </c>
      <c r="F215" s="2" t="n">
        <v>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11" t="b">
        <f aca="false">FALSE()</f>
        <v>0</v>
      </c>
      <c r="M215" s="2" t="s">
        <v>406</v>
      </c>
      <c r="N215" s="2" t="n">
        <f aca="false">IF(E215&gt;0,F215/E215,"")</f>
        <v>0.2</v>
      </c>
      <c r="O215" s="2" t="str">
        <f aca="false">IF(AND(E215&gt;0,L215),J215/E215,"")</f>
        <v/>
      </c>
    </row>
    <row r="216" customFormat="false" ht="15" hidden="false" customHeight="false" outlineLevel="0" collapsed="false">
      <c r="A216" s="2" t="n">
        <v>2020</v>
      </c>
      <c r="B216" s="2" t="s">
        <v>304</v>
      </c>
      <c r="C216" s="2" t="s">
        <v>412</v>
      </c>
      <c r="D216" s="2" t="s">
        <v>117</v>
      </c>
      <c r="E216" s="2" t="n">
        <v>3</v>
      </c>
      <c r="F216" s="2" t="n">
        <v>1</v>
      </c>
      <c r="G216" s="2" t="n">
        <v>1</v>
      </c>
      <c r="H216" s="2" t="n">
        <v>0</v>
      </c>
      <c r="I216" s="2" t="n">
        <v>0</v>
      </c>
      <c r="J216" s="2" t="n">
        <v>0</v>
      </c>
      <c r="K216" s="2" t="n">
        <v>0</v>
      </c>
      <c r="L216" s="11" t="b">
        <f aca="false">FALSE()</f>
        <v>0</v>
      </c>
      <c r="M216" s="2" t="s">
        <v>406</v>
      </c>
      <c r="N216" s="2" t="n">
        <f aca="false">IF(E216&gt;0,F216/E216,"")</f>
        <v>0.333333333333333</v>
      </c>
      <c r="O216" s="2" t="str">
        <f aca="false">IF(AND(E216&gt;0,L216),J216/E216,"")</f>
        <v/>
      </c>
    </row>
    <row r="217" customFormat="false" ht="15" hidden="false" customHeight="false" outlineLevel="0" collapsed="false">
      <c r="A217" s="2" t="n">
        <v>2020</v>
      </c>
      <c r="B217" s="2" t="s">
        <v>387</v>
      </c>
      <c r="C217" s="2" t="s">
        <v>418</v>
      </c>
      <c r="D217" s="2" t="s">
        <v>115</v>
      </c>
      <c r="E217" s="2" t="n">
        <v>5</v>
      </c>
      <c r="F217" s="2" t="n">
        <v>2</v>
      </c>
      <c r="G217" s="2" t="n">
        <v>2</v>
      </c>
      <c r="H217" s="2" t="n">
        <v>1</v>
      </c>
      <c r="I217" s="2" t="n">
        <v>0</v>
      </c>
      <c r="J217" s="2" t="n">
        <v>0</v>
      </c>
      <c r="K217" s="2" t="n">
        <v>0</v>
      </c>
      <c r="L217" s="11" t="b">
        <f aca="false">FALSE()</f>
        <v>0</v>
      </c>
      <c r="M217" s="2" t="s">
        <v>406</v>
      </c>
      <c r="N217" s="2" t="n">
        <f aca="false">IF(E217&gt;0,F217/E217,"")</f>
        <v>0.4</v>
      </c>
      <c r="O217" s="2" t="str">
        <f aca="false">IF(AND(E217&gt;0,L217),J217/E217,"")</f>
        <v/>
      </c>
    </row>
    <row r="218" customFormat="false" ht="15" hidden="false" customHeight="false" outlineLevel="0" collapsed="false">
      <c r="A218" s="2" t="n">
        <v>2020</v>
      </c>
      <c r="B218" s="2" t="s">
        <v>178</v>
      </c>
      <c r="C218" s="2" t="s">
        <v>414</v>
      </c>
      <c r="D218" s="2" t="s">
        <v>115</v>
      </c>
      <c r="E218" s="2" t="n">
        <v>6</v>
      </c>
      <c r="F218" s="2" t="n">
        <v>9</v>
      </c>
      <c r="G218" s="2" t="n">
        <v>4</v>
      </c>
      <c r="H218" s="2" t="n">
        <v>2</v>
      </c>
      <c r="I218" s="2" t="n">
        <v>3</v>
      </c>
      <c r="J218" s="2" t="n">
        <v>0</v>
      </c>
      <c r="K218" s="2" t="n">
        <v>0</v>
      </c>
      <c r="L218" s="11" t="b">
        <f aca="false">FALSE()</f>
        <v>0</v>
      </c>
      <c r="M218" s="2" t="s">
        <v>406</v>
      </c>
      <c r="N218" s="2" t="n">
        <f aca="false">IF(E218&gt;0,F218/E218,"")</f>
        <v>1.5</v>
      </c>
      <c r="O218" s="2" t="str">
        <f aca="false">IF(AND(E218&gt;0,L218),J218/E218,"")</f>
        <v/>
      </c>
    </row>
    <row r="219" customFormat="false" ht="15" hidden="false" customHeight="false" outlineLevel="0" collapsed="false">
      <c r="A219" s="2" t="n">
        <v>2020</v>
      </c>
      <c r="B219" s="2" t="s">
        <v>435</v>
      </c>
      <c r="C219" s="2" t="s">
        <v>518</v>
      </c>
      <c r="D219" s="2" t="s">
        <v>29</v>
      </c>
      <c r="E219" s="2" t="n">
        <v>5</v>
      </c>
      <c r="F219" s="2" t="n">
        <v>1</v>
      </c>
      <c r="G219" s="2" t="n">
        <v>1</v>
      </c>
      <c r="H219" s="2" t="n">
        <v>1</v>
      </c>
      <c r="I219" s="2" t="n">
        <v>0</v>
      </c>
      <c r="J219" s="2" t="n">
        <v>0</v>
      </c>
      <c r="K219" s="2" t="n">
        <v>0</v>
      </c>
      <c r="L219" s="11" t="b">
        <f aca="false">FALSE()</f>
        <v>0</v>
      </c>
      <c r="M219" s="2" t="s">
        <v>406</v>
      </c>
      <c r="N219" s="2" t="n">
        <f aca="false">IF(E219&gt;0,F219/E219,"")</f>
        <v>0.2</v>
      </c>
      <c r="O219" s="2" t="str">
        <f aca="false">IF(AND(E219&gt;0,L219),J219/E219,"")</f>
        <v/>
      </c>
    </row>
    <row r="220" customFormat="false" ht="15" hidden="false" customHeight="false" outlineLevel="0" collapsed="false">
      <c r="A220" s="2" t="n">
        <v>2020</v>
      </c>
      <c r="B220" s="2" t="s">
        <v>436</v>
      </c>
      <c r="C220" s="2" t="s">
        <v>408</v>
      </c>
      <c r="D220" s="2" t="s">
        <v>24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11" t="b">
        <f aca="false">FALSE()</f>
        <v>0</v>
      </c>
      <c r="M220" s="2" t="s">
        <v>410</v>
      </c>
      <c r="N220" s="2" t="str">
        <f aca="false">IF(E220&gt;0,F220/E220,"")</f>
        <v/>
      </c>
      <c r="O220" s="2" t="str">
        <f aca="false">IF(AND(E220&gt;0,L220),J220/E220,"")</f>
        <v/>
      </c>
    </row>
    <row r="221" customFormat="false" ht="15" hidden="false" customHeight="false" outlineLevel="0" collapsed="false">
      <c r="A221" s="2" t="n">
        <v>2020</v>
      </c>
      <c r="B221" s="2" t="s">
        <v>155</v>
      </c>
      <c r="C221" s="2" t="s">
        <v>405</v>
      </c>
      <c r="D221" s="2" t="s">
        <v>117</v>
      </c>
      <c r="E221" s="2" t="n">
        <v>6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11" t="b">
        <f aca="false">FALSE()</f>
        <v>0</v>
      </c>
      <c r="M221" s="2" t="s">
        <v>406</v>
      </c>
      <c r="N221" s="2" t="n">
        <f aca="false">IF(E221&gt;0,F221/E221,"")</f>
        <v>0</v>
      </c>
      <c r="O221" s="2" t="str">
        <f aca="false">IF(AND(E221&gt;0,L221),J221/E221,"")</f>
        <v/>
      </c>
    </row>
    <row r="222" customFormat="false" ht="15" hidden="false" customHeight="false" outlineLevel="0" collapsed="false">
      <c r="A222" s="2" t="n">
        <v>2020</v>
      </c>
      <c r="B222" s="2" t="s">
        <v>437</v>
      </c>
      <c r="C222" s="2" t="s">
        <v>418</v>
      </c>
      <c r="D222" s="2" t="s">
        <v>413</v>
      </c>
      <c r="E222" s="2" t="n">
        <v>5</v>
      </c>
      <c r="F222" s="2" t="n">
        <v>2</v>
      </c>
      <c r="G222" s="2" t="n">
        <v>1</v>
      </c>
      <c r="H222" s="2" t="n">
        <v>0</v>
      </c>
      <c r="I222" s="2" t="n">
        <v>1</v>
      </c>
      <c r="J222" s="2" t="n">
        <v>0</v>
      </c>
      <c r="K222" s="2" t="n">
        <v>0</v>
      </c>
      <c r="L222" s="11" t="b">
        <f aca="false">FALSE()</f>
        <v>0</v>
      </c>
      <c r="M222" s="2" t="s">
        <v>410</v>
      </c>
      <c r="N222" s="2" t="n">
        <f aca="false">IF(E222&gt;0,F222/E222,"")</f>
        <v>0.4</v>
      </c>
      <c r="O222" s="2" t="str">
        <f aca="false">IF(AND(E222&gt;0,L222),J222/E222,"")</f>
        <v/>
      </c>
    </row>
    <row r="223" customFormat="false" ht="15" hidden="false" customHeight="false" outlineLevel="0" collapsed="false">
      <c r="A223" s="2" t="n">
        <v>2020</v>
      </c>
      <c r="B223" s="2" t="s">
        <v>28</v>
      </c>
      <c r="C223" s="2" t="s">
        <v>420</v>
      </c>
      <c r="D223" s="2" t="s">
        <v>24</v>
      </c>
      <c r="E223" s="2" t="n">
        <v>6</v>
      </c>
      <c r="F223" s="2" t="n">
        <v>19</v>
      </c>
      <c r="G223" s="2" t="n">
        <v>10</v>
      </c>
      <c r="H223" s="2" t="n">
        <v>6</v>
      </c>
      <c r="I223" s="2" t="n">
        <v>1</v>
      </c>
      <c r="J223" s="2" t="n">
        <v>0</v>
      </c>
      <c r="K223" s="2" t="n">
        <v>0</v>
      </c>
      <c r="L223" s="11" t="b">
        <f aca="false">FALSE()</f>
        <v>0</v>
      </c>
      <c r="M223" s="2" t="s">
        <v>406</v>
      </c>
      <c r="N223" s="2" t="n">
        <f aca="false">IF(E223&gt;0,F223/E223,"")</f>
        <v>3.16666666666667</v>
      </c>
      <c r="O223" s="2" t="str">
        <f aca="false">IF(AND(E223&gt;0,L223),J223/E223,"")</f>
        <v/>
      </c>
    </row>
    <row r="224" customFormat="false" ht="15" hidden="false" customHeight="false" outlineLevel="0" collapsed="false">
      <c r="A224" s="2" t="n">
        <v>2020</v>
      </c>
      <c r="B224" s="2" t="s">
        <v>525</v>
      </c>
      <c r="C224" s="2" t="s">
        <v>518</v>
      </c>
      <c r="D224" s="2" t="s">
        <v>117</v>
      </c>
      <c r="E224" s="2" t="n">
        <v>5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11" t="b">
        <f aca="false">FALSE()</f>
        <v>0</v>
      </c>
      <c r="M224" s="2" t="s">
        <v>406</v>
      </c>
      <c r="N224" s="2" t="n">
        <f aca="false">IF(E224&gt;0,F224/E224,"")</f>
        <v>0</v>
      </c>
      <c r="O224" s="2" t="str">
        <f aca="false">IF(AND(E224&gt;0,L224),J224/E224,"")</f>
        <v/>
      </c>
    </row>
    <row r="225" customFormat="false" ht="15" hidden="false" customHeight="false" outlineLevel="0" collapsed="false">
      <c r="A225" s="2" t="n">
        <v>2020</v>
      </c>
      <c r="B225" s="2" t="s">
        <v>526</v>
      </c>
      <c r="C225" s="2" t="s">
        <v>418</v>
      </c>
      <c r="D225" s="2" t="s">
        <v>413</v>
      </c>
      <c r="E225" s="2" t="n">
        <v>5</v>
      </c>
      <c r="F225" s="2" t="n">
        <v>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11" t="b">
        <f aca="false">FALSE()</f>
        <v>0</v>
      </c>
      <c r="M225" s="2" t="s">
        <v>410</v>
      </c>
      <c r="N225" s="2" t="n">
        <f aca="false">IF(E225&gt;0,F225/E225,"")</f>
        <v>0.2</v>
      </c>
      <c r="O225" s="2" t="str">
        <f aca="false">IF(AND(E225&gt;0,L225),J225/E225,"")</f>
        <v/>
      </c>
    </row>
    <row r="226" customFormat="false" ht="15" hidden="false" customHeight="false" outlineLevel="0" collapsed="false">
      <c r="A226" s="2" t="n">
        <v>2020</v>
      </c>
      <c r="B226" s="2" t="s">
        <v>440</v>
      </c>
      <c r="C226" s="2" t="s">
        <v>408</v>
      </c>
      <c r="D226" s="2" t="s">
        <v>413</v>
      </c>
      <c r="E226" s="2" t="n">
        <v>6</v>
      </c>
      <c r="F226" s="2" t="n">
        <v>2</v>
      </c>
      <c r="G226" s="2" t="n">
        <v>2</v>
      </c>
      <c r="H226" s="2" t="n">
        <v>1</v>
      </c>
      <c r="I226" s="2" t="n">
        <v>0</v>
      </c>
      <c r="J226" s="2" t="n">
        <v>0</v>
      </c>
      <c r="K226" s="2" t="n">
        <v>0</v>
      </c>
      <c r="L226" s="11" t="b">
        <f aca="false">FALSE()</f>
        <v>0</v>
      </c>
      <c r="M226" s="2" t="s">
        <v>410</v>
      </c>
      <c r="N226" s="2" t="n">
        <f aca="false">IF(E226&gt;0,F226/E226,"")</f>
        <v>0.333333333333333</v>
      </c>
      <c r="O226" s="2" t="str">
        <f aca="false">IF(AND(E226&gt;0,L226),J226/E226,"")</f>
        <v/>
      </c>
    </row>
    <row r="227" customFormat="false" ht="15" hidden="false" customHeight="false" outlineLevel="0" collapsed="false">
      <c r="A227" s="2" t="n">
        <v>2020</v>
      </c>
      <c r="B227" s="2" t="s">
        <v>222</v>
      </c>
      <c r="C227" s="2" t="s">
        <v>420</v>
      </c>
      <c r="D227" s="2" t="s">
        <v>29</v>
      </c>
      <c r="E227" s="2" t="n">
        <v>7</v>
      </c>
      <c r="F227" s="2" t="n">
        <v>31</v>
      </c>
      <c r="G227" s="2" t="n">
        <v>15</v>
      </c>
      <c r="H227" s="2" t="n">
        <v>5</v>
      </c>
      <c r="I227" s="2" t="n">
        <v>3</v>
      </c>
      <c r="J227" s="2" t="n">
        <v>0</v>
      </c>
      <c r="K227" s="2" t="n">
        <v>0</v>
      </c>
      <c r="L227" s="11" t="b">
        <f aca="false">FALSE()</f>
        <v>0</v>
      </c>
      <c r="M227" s="2" t="s">
        <v>406</v>
      </c>
      <c r="N227" s="2" t="n">
        <f aca="false">IF(E227&gt;0,F227/E227,"")</f>
        <v>4.42857142857143</v>
      </c>
      <c r="O227" s="2" t="str">
        <f aca="false">IF(AND(E227&gt;0,L227),J227/E227,"")</f>
        <v/>
      </c>
    </row>
    <row r="228" customFormat="false" ht="15" hidden="false" customHeight="false" outlineLevel="0" collapsed="false">
      <c r="A228" s="2" t="n">
        <v>2020</v>
      </c>
      <c r="B228" s="2" t="s">
        <v>441</v>
      </c>
      <c r="C228" s="2" t="s">
        <v>418</v>
      </c>
      <c r="D228" s="2" t="s">
        <v>409</v>
      </c>
      <c r="E228" s="2" t="n">
        <v>5</v>
      </c>
      <c r="F228" s="2" t="n">
        <v>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11" t="b">
        <f aca="false">FALSE()</f>
        <v>0</v>
      </c>
      <c r="M228" s="2" t="s">
        <v>410</v>
      </c>
      <c r="N228" s="2" t="n">
        <f aca="false">IF(E228&gt;0,F228/E228,"")</f>
        <v>0.2</v>
      </c>
      <c r="O228" s="2" t="str">
        <f aca="false">IF(AND(E228&gt;0,L228),J228/E228,"")</f>
        <v/>
      </c>
    </row>
    <row r="229" customFormat="false" ht="15" hidden="false" customHeight="false" outlineLevel="0" collapsed="false">
      <c r="A229" s="2" t="n">
        <v>2020</v>
      </c>
      <c r="B229" s="2" t="s">
        <v>30</v>
      </c>
      <c r="C229" s="2" t="s">
        <v>405</v>
      </c>
      <c r="D229" s="2" t="s">
        <v>24</v>
      </c>
      <c r="E229" s="2" t="n">
        <v>6</v>
      </c>
      <c r="F229" s="2" t="n">
        <v>38</v>
      </c>
      <c r="G229" s="2" t="n">
        <v>26</v>
      </c>
      <c r="H229" s="2" t="n">
        <v>10</v>
      </c>
      <c r="I229" s="2" t="n">
        <v>6</v>
      </c>
      <c r="J229" s="2" t="n">
        <v>0</v>
      </c>
      <c r="K229" s="2" t="n">
        <v>0</v>
      </c>
      <c r="L229" s="11" t="b">
        <f aca="false">FALSE()</f>
        <v>0</v>
      </c>
      <c r="M229" s="2" t="s">
        <v>406</v>
      </c>
      <c r="N229" s="2" t="n">
        <f aca="false">IF(E229&gt;0,F229/E229,"")</f>
        <v>6.33333333333333</v>
      </c>
      <c r="O229" s="2" t="str">
        <f aca="false">IF(AND(E229&gt;0,L229),J229/E229,"")</f>
        <v/>
      </c>
    </row>
    <row r="230" customFormat="false" ht="15" hidden="false" customHeight="false" outlineLevel="0" collapsed="false">
      <c r="A230" s="2" t="n">
        <v>2020</v>
      </c>
      <c r="B230" s="2" t="s">
        <v>527</v>
      </c>
      <c r="C230" s="2" t="s">
        <v>418</v>
      </c>
      <c r="D230" s="2" t="s">
        <v>24</v>
      </c>
      <c r="E230" s="2" t="n">
        <v>5</v>
      </c>
      <c r="F230" s="2" t="n">
        <v>16</v>
      </c>
      <c r="G230" s="2" t="n">
        <v>9</v>
      </c>
      <c r="H230" s="2" t="n">
        <v>8</v>
      </c>
      <c r="I230" s="2" t="n">
        <v>0</v>
      </c>
      <c r="J230" s="2" t="n">
        <v>0</v>
      </c>
      <c r="K230" s="2" t="n">
        <v>0</v>
      </c>
      <c r="L230" s="11" t="b">
        <f aca="false">FALSE()</f>
        <v>0</v>
      </c>
      <c r="M230" s="2" t="s">
        <v>406</v>
      </c>
      <c r="N230" s="2" t="n">
        <f aca="false">IF(E230&gt;0,F230/E230,"")</f>
        <v>3.2</v>
      </c>
      <c r="O230" s="2" t="str">
        <f aca="false">IF(AND(E230&gt;0,L230),J230/E230,"")</f>
        <v/>
      </c>
    </row>
    <row r="231" customFormat="false" ht="15" hidden="false" customHeight="false" outlineLevel="0" collapsed="false">
      <c r="A231" s="2" t="n">
        <v>2020</v>
      </c>
      <c r="B231" s="2" t="s">
        <v>442</v>
      </c>
      <c r="C231" s="2" t="s">
        <v>408</v>
      </c>
      <c r="D231" s="2" t="s">
        <v>409</v>
      </c>
      <c r="E231" s="2" t="n">
        <v>6</v>
      </c>
      <c r="F231" s="2" t="n">
        <v>2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11" t="b">
        <f aca="false">FALSE()</f>
        <v>0</v>
      </c>
      <c r="M231" s="2" t="s">
        <v>410</v>
      </c>
      <c r="N231" s="2" t="n">
        <f aca="false">IF(E231&gt;0,F231/E231,"")</f>
        <v>0.333333333333333</v>
      </c>
      <c r="O231" s="2" t="str">
        <f aca="false">IF(AND(E231&gt;0,L231),J231/E231,"")</f>
        <v/>
      </c>
    </row>
    <row r="232" customFormat="false" ht="15" hidden="false" customHeight="false" outlineLevel="0" collapsed="false">
      <c r="A232" s="2" t="n">
        <v>2020</v>
      </c>
      <c r="B232" s="2" t="s">
        <v>217</v>
      </c>
      <c r="C232" s="2" t="s">
        <v>405</v>
      </c>
      <c r="D232" s="2" t="s">
        <v>117</v>
      </c>
      <c r="E232" s="2" t="n">
        <v>6</v>
      </c>
      <c r="F232" s="2" t="n">
        <v>3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11" t="b">
        <f aca="false">FALSE()</f>
        <v>0</v>
      </c>
      <c r="M232" s="2" t="s">
        <v>406</v>
      </c>
      <c r="N232" s="2" t="n">
        <f aca="false">IF(E232&gt;0,F232/E232,"")</f>
        <v>0.5</v>
      </c>
      <c r="O232" s="2" t="str">
        <f aca="false">IF(AND(E232&gt;0,L232),J232/E232,"")</f>
        <v/>
      </c>
    </row>
    <row r="233" customFormat="false" ht="15" hidden="false" customHeight="false" outlineLevel="0" collapsed="false">
      <c r="A233" s="2" t="n">
        <v>2020</v>
      </c>
      <c r="B233" s="2" t="s">
        <v>528</v>
      </c>
      <c r="C233" s="2" t="s">
        <v>405</v>
      </c>
      <c r="D233" s="2" t="s">
        <v>24</v>
      </c>
      <c r="E233" s="2" t="n">
        <v>6</v>
      </c>
      <c r="F233" s="2" t="n">
        <v>10</v>
      </c>
      <c r="G233" s="2" t="n">
        <v>4</v>
      </c>
      <c r="H233" s="2" t="n">
        <v>3</v>
      </c>
      <c r="I233" s="2" t="n">
        <v>1</v>
      </c>
      <c r="J233" s="2" t="n">
        <v>0</v>
      </c>
      <c r="K233" s="2" t="n">
        <v>0</v>
      </c>
      <c r="L233" s="11" t="b">
        <f aca="false">FALSE()</f>
        <v>0</v>
      </c>
      <c r="M233" s="2" t="s">
        <v>406</v>
      </c>
      <c r="N233" s="2" t="n">
        <f aca="false">IF(E233&gt;0,F233/E233,"")</f>
        <v>1.66666666666667</v>
      </c>
      <c r="O233" s="2" t="str">
        <f aca="false">IF(AND(E233&gt;0,L233),J233/E233,"")</f>
        <v/>
      </c>
    </row>
    <row r="234" customFormat="false" ht="15" hidden="false" customHeight="false" outlineLevel="0" collapsed="false">
      <c r="A234" s="2" t="n">
        <v>2020</v>
      </c>
      <c r="B234" s="2" t="s">
        <v>215</v>
      </c>
      <c r="C234" s="2" t="s">
        <v>420</v>
      </c>
      <c r="D234" s="2" t="s">
        <v>29</v>
      </c>
      <c r="E234" s="2" t="n">
        <v>7</v>
      </c>
      <c r="F234" s="2" t="n">
        <v>4</v>
      </c>
      <c r="G234" s="2" t="n">
        <v>2</v>
      </c>
      <c r="H234" s="2" t="n">
        <v>1</v>
      </c>
      <c r="I234" s="2" t="n">
        <v>1</v>
      </c>
      <c r="J234" s="2" t="n">
        <v>0</v>
      </c>
      <c r="K234" s="2" t="n">
        <v>0</v>
      </c>
      <c r="L234" s="11" t="b">
        <f aca="false">FALSE()</f>
        <v>0</v>
      </c>
      <c r="M234" s="2" t="s">
        <v>406</v>
      </c>
      <c r="N234" s="2" t="n">
        <f aca="false">IF(E234&gt;0,F234/E234,"")</f>
        <v>0.571428571428571</v>
      </c>
      <c r="O234" s="2" t="str">
        <f aca="false">IF(AND(E234&gt;0,L234),J234/E234,"")</f>
        <v/>
      </c>
    </row>
    <row r="235" customFormat="false" ht="15" hidden="false" customHeight="false" outlineLevel="0" collapsed="false">
      <c r="A235" s="2" t="n">
        <v>2020</v>
      </c>
      <c r="B235" s="2" t="s">
        <v>190</v>
      </c>
      <c r="C235" s="2" t="s">
        <v>408</v>
      </c>
      <c r="D235" s="2" t="s">
        <v>117</v>
      </c>
      <c r="E235" s="2" t="n">
        <v>6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11" t="b">
        <f aca="false">FALSE()</f>
        <v>0</v>
      </c>
      <c r="M235" s="2" t="s">
        <v>406</v>
      </c>
      <c r="N235" s="2" t="n">
        <f aca="false">IF(E235&gt;0,F235/E235,"")</f>
        <v>0</v>
      </c>
      <c r="O235" s="2" t="str">
        <f aca="false">IF(AND(E235&gt;0,L235),J235/E235,"")</f>
        <v/>
      </c>
    </row>
    <row r="236" customFormat="false" ht="15" hidden="false" customHeight="false" outlineLevel="0" collapsed="false">
      <c r="A236" s="2" t="n">
        <v>2020</v>
      </c>
      <c r="B236" s="2" t="s">
        <v>443</v>
      </c>
      <c r="C236" s="2" t="s">
        <v>518</v>
      </c>
      <c r="D236" s="2" t="s">
        <v>117</v>
      </c>
      <c r="E236" s="2" t="n">
        <v>5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11" t="b">
        <f aca="false">FALSE()</f>
        <v>0</v>
      </c>
      <c r="M236" s="2" t="s">
        <v>406</v>
      </c>
      <c r="N236" s="2" t="n">
        <f aca="false">IF(E236&gt;0,F236/E236,"")</f>
        <v>0</v>
      </c>
      <c r="O236" s="2" t="str">
        <f aca="false">IF(AND(E236&gt;0,L236),J236/E236,"")</f>
        <v/>
      </c>
    </row>
    <row r="237" customFormat="false" ht="15" hidden="false" customHeight="false" outlineLevel="0" collapsed="false">
      <c r="A237" s="2" t="n">
        <v>2020</v>
      </c>
      <c r="B237" s="2" t="s">
        <v>157</v>
      </c>
      <c r="C237" s="2" t="s">
        <v>418</v>
      </c>
      <c r="D237" s="2" t="s">
        <v>24</v>
      </c>
      <c r="E237" s="2" t="n">
        <v>5</v>
      </c>
      <c r="F237" s="2" t="n">
        <v>32</v>
      </c>
      <c r="G237" s="2" t="n">
        <v>21</v>
      </c>
      <c r="H237" s="2" t="n">
        <v>10</v>
      </c>
      <c r="I237" s="2" t="n">
        <v>6</v>
      </c>
      <c r="J237" s="2" t="n">
        <v>0</v>
      </c>
      <c r="K237" s="2" t="n">
        <v>0</v>
      </c>
      <c r="L237" s="11" t="b">
        <f aca="false">FALSE()</f>
        <v>0</v>
      </c>
      <c r="M237" s="2" t="s">
        <v>406</v>
      </c>
      <c r="N237" s="2" t="n">
        <f aca="false">IF(E237&gt;0,F237/E237,"")</f>
        <v>6.4</v>
      </c>
      <c r="O237" s="2" t="str">
        <f aca="false">IF(AND(E237&gt;0,L237),J237/E237,"")</f>
        <v/>
      </c>
    </row>
    <row r="238" customFormat="false" ht="15" hidden="false" customHeight="false" outlineLevel="0" collapsed="false">
      <c r="A238" s="2" t="n">
        <v>2020</v>
      </c>
      <c r="B238" s="2" t="s">
        <v>347</v>
      </c>
      <c r="C238" s="2" t="s">
        <v>405</v>
      </c>
      <c r="D238" s="2" t="s">
        <v>83</v>
      </c>
      <c r="E238" s="2" t="n">
        <v>6</v>
      </c>
      <c r="F238" s="2" t="n">
        <v>6</v>
      </c>
      <c r="G238" s="2" t="n">
        <v>5</v>
      </c>
      <c r="H238" s="2" t="n">
        <v>1</v>
      </c>
      <c r="I238" s="2" t="n">
        <v>1</v>
      </c>
      <c r="J238" s="2" t="n">
        <v>0</v>
      </c>
      <c r="K238" s="2" t="n">
        <v>0</v>
      </c>
      <c r="L238" s="11" t="b">
        <f aca="false">FALSE()</f>
        <v>0</v>
      </c>
      <c r="M238" s="2" t="s">
        <v>406</v>
      </c>
      <c r="N238" s="2" t="n">
        <f aca="false">IF(E238&gt;0,F238/E238,"")</f>
        <v>1</v>
      </c>
      <c r="O238" s="2" t="str">
        <f aca="false">IF(AND(E238&gt;0,L238),J238/E238,"")</f>
        <v/>
      </c>
    </row>
    <row r="239" customFormat="false" ht="15" hidden="false" customHeight="false" outlineLevel="0" collapsed="false">
      <c r="A239" s="2" t="n">
        <v>2020</v>
      </c>
      <c r="B239" s="2" t="s">
        <v>445</v>
      </c>
      <c r="C239" s="2" t="s">
        <v>405</v>
      </c>
      <c r="D239" s="2" t="s">
        <v>29</v>
      </c>
      <c r="E239" s="2" t="n">
        <v>6</v>
      </c>
      <c r="F239" s="2" t="n">
        <v>9</v>
      </c>
      <c r="G239" s="2" t="n">
        <v>2</v>
      </c>
      <c r="H239" s="2" t="n">
        <v>2</v>
      </c>
      <c r="I239" s="2" t="n">
        <v>1</v>
      </c>
      <c r="J239" s="2" t="n">
        <v>0</v>
      </c>
      <c r="K239" s="2" t="n">
        <v>0</v>
      </c>
      <c r="L239" s="11" t="b">
        <f aca="false">FALSE()</f>
        <v>0</v>
      </c>
      <c r="M239" s="2" t="s">
        <v>406</v>
      </c>
      <c r="N239" s="2" t="n">
        <f aca="false">IF(E239&gt;0,F239/E239,"")</f>
        <v>1.5</v>
      </c>
      <c r="O239" s="2" t="str">
        <f aca="false">IF(AND(E239&gt;0,L239),J239/E239,"")</f>
        <v/>
      </c>
    </row>
    <row r="240" customFormat="false" ht="15" hidden="false" customHeight="false" outlineLevel="0" collapsed="false">
      <c r="A240" s="2" t="n">
        <v>2020</v>
      </c>
      <c r="B240" s="2" t="s">
        <v>269</v>
      </c>
      <c r="C240" s="2" t="s">
        <v>412</v>
      </c>
      <c r="D240" s="2" t="s">
        <v>115</v>
      </c>
      <c r="E240" s="2" t="n">
        <v>5</v>
      </c>
      <c r="F240" s="2" t="n">
        <v>4</v>
      </c>
      <c r="G240" s="2" t="n">
        <v>2</v>
      </c>
      <c r="H240" s="2" t="n">
        <v>0</v>
      </c>
      <c r="I240" s="2" t="n">
        <v>0</v>
      </c>
      <c r="J240" s="2" t="n">
        <v>0</v>
      </c>
      <c r="K240" s="2" t="n">
        <v>0</v>
      </c>
      <c r="L240" s="11" t="b">
        <f aca="false">FALSE()</f>
        <v>0</v>
      </c>
      <c r="M240" s="2" t="s">
        <v>406</v>
      </c>
      <c r="N240" s="2" t="n">
        <f aca="false">IF(E240&gt;0,F240/E240,"")</f>
        <v>0.8</v>
      </c>
      <c r="O240" s="2" t="str">
        <f aca="false">IF(AND(E240&gt;0,L240),J240/E240,"")</f>
        <v/>
      </c>
    </row>
    <row r="241" customFormat="false" ht="15" hidden="false" customHeight="false" outlineLevel="0" collapsed="false">
      <c r="A241" s="2" t="n">
        <v>2020</v>
      </c>
      <c r="B241" s="2" t="s">
        <v>446</v>
      </c>
      <c r="C241" s="2" t="s">
        <v>414</v>
      </c>
      <c r="D241" s="2" t="s">
        <v>29</v>
      </c>
      <c r="E241" s="2" t="n">
        <v>6</v>
      </c>
      <c r="F241" s="2" t="n">
        <v>32</v>
      </c>
      <c r="G241" s="2" t="n">
        <v>21</v>
      </c>
      <c r="H241" s="2" t="n">
        <v>8</v>
      </c>
      <c r="I241" s="2" t="n">
        <v>5</v>
      </c>
      <c r="J241" s="2" t="n">
        <v>0</v>
      </c>
      <c r="K241" s="2" t="n">
        <v>0</v>
      </c>
      <c r="L241" s="11" t="b">
        <f aca="false">FALSE()</f>
        <v>0</v>
      </c>
      <c r="M241" s="2" t="s">
        <v>406</v>
      </c>
      <c r="N241" s="2" t="n">
        <f aca="false">IF(E241&gt;0,F241/E241,"")</f>
        <v>5.33333333333333</v>
      </c>
      <c r="O241" s="2" t="str">
        <f aca="false">IF(AND(E241&gt;0,L241),J241/E241,"")</f>
        <v/>
      </c>
    </row>
    <row r="242" customFormat="false" ht="15" hidden="false" customHeight="false" outlineLevel="0" collapsed="false">
      <c r="A242" s="2" t="n">
        <v>2020</v>
      </c>
      <c r="B242" s="2" t="s">
        <v>188</v>
      </c>
      <c r="C242" s="2" t="s">
        <v>418</v>
      </c>
      <c r="D242" s="2" t="s">
        <v>29</v>
      </c>
      <c r="E242" s="2" t="n">
        <v>5</v>
      </c>
      <c r="F242" s="2" t="n">
        <v>4</v>
      </c>
      <c r="G242" s="2" t="n">
        <v>4</v>
      </c>
      <c r="H242" s="2" t="n">
        <v>3</v>
      </c>
      <c r="I242" s="2" t="n">
        <v>1</v>
      </c>
      <c r="J242" s="2" t="n">
        <v>0</v>
      </c>
      <c r="K242" s="2" t="n">
        <v>0</v>
      </c>
      <c r="L242" s="11" t="b">
        <f aca="false">FALSE()</f>
        <v>0</v>
      </c>
      <c r="M242" s="2" t="s">
        <v>406</v>
      </c>
      <c r="N242" s="2" t="n">
        <f aca="false">IF(E242&gt;0,F242/E242,"")</f>
        <v>0.8</v>
      </c>
      <c r="O242" s="2" t="str">
        <f aca="false">IF(AND(E242&gt;0,L242),J242/E242,"")</f>
        <v/>
      </c>
    </row>
    <row r="243" customFormat="false" ht="15" hidden="false" customHeight="false" outlineLevel="0" collapsed="false">
      <c r="A243" s="2" t="n">
        <v>2020</v>
      </c>
      <c r="B243" s="2" t="s">
        <v>73</v>
      </c>
      <c r="C243" s="2" t="s">
        <v>405</v>
      </c>
      <c r="D243" s="2" t="s">
        <v>24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11" t="b">
        <f aca="false">FALSE()</f>
        <v>0</v>
      </c>
      <c r="M243" s="2" t="s">
        <v>410</v>
      </c>
      <c r="N243" s="2" t="str">
        <f aca="false">IF(E243&gt;0,F243/E243,"")</f>
        <v/>
      </c>
      <c r="O243" s="2" t="str">
        <f aca="false">IF(AND(E243&gt;0,L243),J243/E243,"")</f>
        <v/>
      </c>
    </row>
    <row r="244" customFormat="false" ht="15" hidden="false" customHeight="false" outlineLevel="0" collapsed="false">
      <c r="A244" s="2" t="n">
        <v>2020</v>
      </c>
      <c r="B244" s="2" t="s">
        <v>447</v>
      </c>
      <c r="C244" s="2" t="s">
        <v>420</v>
      </c>
      <c r="D244" s="2" t="s">
        <v>413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11" t="b">
        <f aca="false">FALSE()</f>
        <v>0</v>
      </c>
      <c r="M244" s="2" t="s">
        <v>410</v>
      </c>
      <c r="N244" s="2" t="str">
        <f aca="false">IF(E244&gt;0,F244/E244,"")</f>
        <v/>
      </c>
      <c r="O244" s="2" t="str">
        <f aca="false">IF(AND(E244&gt;0,L244),J244/E244,"")</f>
        <v/>
      </c>
    </row>
    <row r="245" customFormat="false" ht="15" hidden="false" customHeight="false" outlineLevel="0" collapsed="false">
      <c r="A245" s="2" t="n">
        <v>2020</v>
      </c>
      <c r="B245" s="2" t="s">
        <v>449</v>
      </c>
      <c r="C245" s="2" t="s">
        <v>412</v>
      </c>
      <c r="D245" s="2" t="s">
        <v>29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11" t="b">
        <f aca="false">FALSE()</f>
        <v>0</v>
      </c>
      <c r="M245" s="2" t="s">
        <v>410</v>
      </c>
      <c r="N245" s="2" t="str">
        <f aca="false">IF(E245&gt;0,F245/E245,"")</f>
        <v/>
      </c>
      <c r="O245" s="2" t="str">
        <f aca="false">IF(AND(E245&gt;0,L245),J245/E245,"")</f>
        <v/>
      </c>
    </row>
    <row r="246" customFormat="false" ht="15" hidden="false" customHeight="false" outlineLevel="0" collapsed="false">
      <c r="A246" s="2" t="n">
        <v>2020</v>
      </c>
      <c r="B246" s="2" t="s">
        <v>23</v>
      </c>
      <c r="C246" s="2" t="s">
        <v>408</v>
      </c>
      <c r="D246" s="2" t="s">
        <v>24</v>
      </c>
      <c r="E246" s="2" t="n">
        <v>6</v>
      </c>
      <c r="F246" s="2" t="n">
        <v>26</v>
      </c>
      <c r="G246" s="2" t="n">
        <v>17</v>
      </c>
      <c r="H246" s="2" t="n">
        <v>6</v>
      </c>
      <c r="I246" s="2" t="n">
        <v>1</v>
      </c>
      <c r="J246" s="2" t="n">
        <v>0</v>
      </c>
      <c r="K246" s="2" t="n">
        <v>0</v>
      </c>
      <c r="L246" s="11" t="b">
        <f aca="false">FALSE()</f>
        <v>0</v>
      </c>
      <c r="M246" s="2" t="s">
        <v>406</v>
      </c>
      <c r="N246" s="2" t="n">
        <f aca="false">IF(E246&gt;0,F246/E246,"")</f>
        <v>4.33333333333333</v>
      </c>
      <c r="O246" s="2" t="str">
        <f aca="false">IF(AND(E246&gt;0,L246),J246/E246,"")</f>
        <v/>
      </c>
    </row>
    <row r="247" customFormat="false" ht="15" hidden="false" customHeight="false" outlineLevel="0" collapsed="false">
      <c r="A247" s="2" t="n">
        <v>2020</v>
      </c>
      <c r="B247" s="2" t="s">
        <v>529</v>
      </c>
      <c r="C247" s="2" t="s">
        <v>414</v>
      </c>
      <c r="D247" s="2" t="s">
        <v>29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11" t="b">
        <f aca="false">FALSE()</f>
        <v>0</v>
      </c>
      <c r="M247" s="2" t="s">
        <v>410</v>
      </c>
      <c r="N247" s="2" t="str">
        <f aca="false">IF(E247&gt;0,F247/E247,"")</f>
        <v/>
      </c>
      <c r="O247" s="2" t="str">
        <f aca="false">IF(AND(E247&gt;0,L247),J247/E247,"")</f>
        <v/>
      </c>
    </row>
    <row r="248" customFormat="false" ht="15" hidden="false" customHeight="false" outlineLevel="0" collapsed="false">
      <c r="A248" s="2" t="n">
        <v>2020</v>
      </c>
      <c r="B248" s="2" t="s">
        <v>74</v>
      </c>
      <c r="C248" s="2" t="s">
        <v>405</v>
      </c>
      <c r="D248" s="2" t="s">
        <v>29</v>
      </c>
      <c r="E248" s="2" t="n">
        <v>6</v>
      </c>
      <c r="F248" s="2" t="n">
        <v>30</v>
      </c>
      <c r="G248" s="2" t="n">
        <v>18</v>
      </c>
      <c r="H248" s="2" t="n">
        <v>6</v>
      </c>
      <c r="I248" s="2" t="n">
        <v>5</v>
      </c>
      <c r="J248" s="2" t="n">
        <v>0</v>
      </c>
      <c r="K248" s="2" t="n">
        <v>0</v>
      </c>
      <c r="L248" s="11" t="b">
        <f aca="false">FALSE()</f>
        <v>0</v>
      </c>
      <c r="M248" s="2" t="s">
        <v>406</v>
      </c>
      <c r="N248" s="2" t="n">
        <f aca="false">IF(E248&gt;0,F248/E248,"")</f>
        <v>5</v>
      </c>
      <c r="O248" s="2" t="str">
        <f aca="false">IF(AND(E248&gt;0,L248),J248/E248,"")</f>
        <v/>
      </c>
    </row>
    <row r="249" customFormat="false" ht="15" hidden="false" customHeight="false" outlineLevel="0" collapsed="false">
      <c r="A249" s="2" t="n">
        <v>2020</v>
      </c>
      <c r="B249" s="2" t="s">
        <v>450</v>
      </c>
      <c r="C249" s="2" t="s">
        <v>518</v>
      </c>
      <c r="D249" s="2" t="s">
        <v>115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11" t="b">
        <f aca="false">FALSE()</f>
        <v>0</v>
      </c>
      <c r="M249" s="2" t="s">
        <v>410</v>
      </c>
      <c r="N249" s="2" t="str">
        <f aca="false">IF(E249&gt;0,F249/E249,"")</f>
        <v/>
      </c>
      <c r="O249" s="2" t="str">
        <f aca="false">IF(AND(E249&gt;0,L249),J249/E249,"")</f>
        <v/>
      </c>
    </row>
    <row r="250" customFormat="false" ht="15" hidden="false" customHeight="false" outlineLevel="0" collapsed="false">
      <c r="A250" s="2" t="n">
        <v>2020</v>
      </c>
      <c r="B250" s="2" t="s">
        <v>530</v>
      </c>
      <c r="C250" s="2" t="s">
        <v>418</v>
      </c>
      <c r="D250" s="2" t="s">
        <v>24</v>
      </c>
      <c r="E250" s="2" t="n">
        <v>5</v>
      </c>
      <c r="F250" s="2" t="n">
        <v>9</v>
      </c>
      <c r="G250" s="2" t="n">
        <v>3</v>
      </c>
      <c r="H250" s="2" t="n">
        <v>1</v>
      </c>
      <c r="I250" s="2" t="n">
        <v>1</v>
      </c>
      <c r="J250" s="2" t="n">
        <v>0</v>
      </c>
      <c r="K250" s="2" t="n">
        <v>0</v>
      </c>
      <c r="L250" s="11" t="b">
        <f aca="false">FALSE()</f>
        <v>0</v>
      </c>
      <c r="M250" s="2" t="s">
        <v>406</v>
      </c>
      <c r="N250" s="2" t="n">
        <f aca="false">IF(E250&gt;0,F250/E250,"")</f>
        <v>1.8</v>
      </c>
      <c r="O250" s="2" t="str">
        <f aca="false">IF(AND(E250&gt;0,L250),J250/E250,"")</f>
        <v/>
      </c>
    </row>
    <row r="251" customFormat="false" ht="15" hidden="false" customHeight="false" outlineLevel="0" collapsed="false">
      <c r="A251" s="2" t="n">
        <v>2020</v>
      </c>
      <c r="B251" s="2" t="s">
        <v>69</v>
      </c>
      <c r="C251" s="2" t="s">
        <v>405</v>
      </c>
      <c r="D251" s="2" t="s">
        <v>24</v>
      </c>
      <c r="E251" s="2" t="n">
        <v>6</v>
      </c>
      <c r="F251" s="2" t="n">
        <v>24</v>
      </c>
      <c r="G251" s="2" t="n">
        <v>16</v>
      </c>
      <c r="H251" s="2" t="n">
        <v>7</v>
      </c>
      <c r="I251" s="2" t="n">
        <v>4</v>
      </c>
      <c r="J251" s="2" t="n">
        <v>0</v>
      </c>
      <c r="K251" s="2" t="n">
        <v>0</v>
      </c>
      <c r="L251" s="11" t="b">
        <f aca="false">FALSE()</f>
        <v>0</v>
      </c>
      <c r="M251" s="2" t="s">
        <v>406</v>
      </c>
      <c r="N251" s="2" t="n">
        <f aca="false">IF(E251&gt;0,F251/E251,"")</f>
        <v>4</v>
      </c>
      <c r="O251" s="2" t="str">
        <f aca="false">IF(AND(E251&gt;0,L251),J251/E251,"")</f>
        <v/>
      </c>
    </row>
    <row r="252" customFormat="false" ht="15" hidden="false" customHeight="false" outlineLevel="0" collapsed="false">
      <c r="A252" s="2" t="n">
        <v>2020</v>
      </c>
      <c r="B252" s="2" t="s">
        <v>39</v>
      </c>
      <c r="C252" s="2" t="s">
        <v>518</v>
      </c>
      <c r="D252" s="2" t="s">
        <v>29</v>
      </c>
      <c r="E252" s="2" t="n">
        <v>5</v>
      </c>
      <c r="F252" s="2" t="n">
        <v>31</v>
      </c>
      <c r="G252" s="2" t="n">
        <v>18</v>
      </c>
      <c r="H252" s="2" t="n">
        <v>7</v>
      </c>
      <c r="I252" s="2" t="n">
        <v>1</v>
      </c>
      <c r="J252" s="2" t="n">
        <v>0</v>
      </c>
      <c r="K252" s="2" t="n">
        <v>0</v>
      </c>
      <c r="L252" s="11" t="b">
        <f aca="false">FALSE()</f>
        <v>0</v>
      </c>
      <c r="M252" s="2" t="s">
        <v>406</v>
      </c>
      <c r="N252" s="2" t="n">
        <f aca="false">IF(E252&gt;0,F252/E252,"")</f>
        <v>6.2</v>
      </c>
      <c r="O252" s="2" t="str">
        <f aca="false">IF(AND(E252&gt;0,L252),J252/E252,"")</f>
        <v/>
      </c>
    </row>
    <row r="253" customFormat="false" ht="15" hidden="false" customHeight="false" outlineLevel="0" collapsed="false">
      <c r="A253" s="2" t="n">
        <v>2020</v>
      </c>
      <c r="B253" s="2" t="s">
        <v>452</v>
      </c>
      <c r="C253" s="2" t="s">
        <v>408</v>
      </c>
      <c r="D253" s="2" t="s">
        <v>413</v>
      </c>
      <c r="E253" s="2" t="n">
        <v>6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11" t="b">
        <f aca="false">FALSE()</f>
        <v>0</v>
      </c>
      <c r="M253" s="2" t="s">
        <v>410</v>
      </c>
      <c r="N253" s="2" t="n">
        <f aca="false">IF(E253&gt;0,F253/E253,"")</f>
        <v>0.166666666666667</v>
      </c>
      <c r="O253" s="2" t="str">
        <f aca="false">IF(AND(E253&gt;0,L253),J253/E253,"")</f>
        <v/>
      </c>
    </row>
    <row r="254" customFormat="false" ht="15" hidden="false" customHeight="false" outlineLevel="0" collapsed="false">
      <c r="A254" s="2" t="n">
        <v>2020</v>
      </c>
      <c r="B254" s="2" t="s">
        <v>453</v>
      </c>
      <c r="C254" s="2" t="s">
        <v>420</v>
      </c>
      <c r="D254" s="2" t="s">
        <v>413</v>
      </c>
      <c r="E254" s="2" t="n">
        <v>7</v>
      </c>
      <c r="F254" s="2" t="n">
        <v>3</v>
      </c>
      <c r="G254" s="2" t="n">
        <v>0</v>
      </c>
      <c r="H254" s="2" t="n">
        <v>0</v>
      </c>
      <c r="I254" s="2" t="n">
        <v>1</v>
      </c>
      <c r="J254" s="2" t="n">
        <v>0</v>
      </c>
      <c r="K254" s="2" t="n">
        <v>0</v>
      </c>
      <c r="L254" s="11" t="b">
        <f aca="false">FALSE()</f>
        <v>0</v>
      </c>
      <c r="M254" s="2" t="s">
        <v>410</v>
      </c>
      <c r="N254" s="2" t="n">
        <f aca="false">IF(E254&gt;0,F254/E254,"")</f>
        <v>0.428571428571429</v>
      </c>
      <c r="O254" s="2" t="str">
        <f aca="false">IF(AND(E254&gt;0,L254),J254/E254,"")</f>
        <v/>
      </c>
    </row>
    <row r="255" customFormat="false" ht="15" hidden="false" customHeight="false" outlineLevel="0" collapsed="false">
      <c r="A255" s="2" t="n">
        <v>2020</v>
      </c>
      <c r="B255" s="2" t="s">
        <v>454</v>
      </c>
      <c r="C255" s="2" t="s">
        <v>405</v>
      </c>
      <c r="D255" s="2" t="s">
        <v>115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11" t="b">
        <f aca="false">FALSE()</f>
        <v>0</v>
      </c>
      <c r="M255" s="2" t="s">
        <v>410</v>
      </c>
      <c r="N255" s="2" t="str">
        <f aca="false">IF(E255&gt;0,F255/E255,"")</f>
        <v/>
      </c>
      <c r="O255" s="2" t="str">
        <f aca="false">IF(AND(E255&gt;0,L255),J255/E255,"")</f>
        <v/>
      </c>
    </row>
    <row r="256" customFormat="false" ht="15" hidden="false" customHeight="false" outlineLevel="0" collapsed="false">
      <c r="A256" s="2" t="n">
        <v>2020</v>
      </c>
      <c r="B256" s="2" t="s">
        <v>250</v>
      </c>
      <c r="C256" s="2" t="s">
        <v>418</v>
      </c>
      <c r="D256" s="2" t="s">
        <v>29</v>
      </c>
      <c r="E256" s="2" t="n">
        <v>5</v>
      </c>
      <c r="F256" s="2" t="n">
        <v>19</v>
      </c>
      <c r="G256" s="2" t="n">
        <v>12</v>
      </c>
      <c r="H256" s="2" t="n">
        <v>8</v>
      </c>
      <c r="I256" s="2" t="n">
        <v>2</v>
      </c>
      <c r="J256" s="2" t="n">
        <v>0</v>
      </c>
      <c r="K256" s="2" t="n">
        <v>0</v>
      </c>
      <c r="L256" s="11" t="b">
        <f aca="false">FALSE()</f>
        <v>0</v>
      </c>
      <c r="M256" s="2" t="s">
        <v>406</v>
      </c>
      <c r="N256" s="2" t="n">
        <f aca="false">IF(E256&gt;0,F256/E256,"")</f>
        <v>3.8</v>
      </c>
      <c r="O256" s="2" t="str">
        <f aca="false">IF(AND(E256&gt;0,L256),J256/E256,"")</f>
        <v/>
      </c>
    </row>
    <row r="257" customFormat="false" ht="15" hidden="false" customHeight="false" outlineLevel="0" collapsed="false">
      <c r="A257" s="2" t="n">
        <v>2020</v>
      </c>
      <c r="B257" s="2" t="s">
        <v>68</v>
      </c>
      <c r="C257" s="2" t="s">
        <v>412</v>
      </c>
      <c r="D257" s="2" t="s">
        <v>24</v>
      </c>
      <c r="E257" s="2" t="n">
        <v>5</v>
      </c>
      <c r="F257" s="2" t="n">
        <v>12</v>
      </c>
      <c r="G257" s="2" t="n">
        <v>9</v>
      </c>
      <c r="H257" s="2" t="n">
        <v>5</v>
      </c>
      <c r="I257" s="2" t="n">
        <v>2</v>
      </c>
      <c r="J257" s="2" t="n">
        <v>0</v>
      </c>
      <c r="K257" s="2" t="n">
        <v>0</v>
      </c>
      <c r="L257" s="11" t="b">
        <f aca="false">FALSE()</f>
        <v>0</v>
      </c>
      <c r="M257" s="2" t="s">
        <v>406</v>
      </c>
      <c r="N257" s="2" t="n">
        <f aca="false">IF(E257&gt;0,F257/E257,"")</f>
        <v>2.4</v>
      </c>
      <c r="O257" s="2" t="str">
        <f aca="false">IF(AND(E257&gt;0,L257),J257/E257,"")</f>
        <v/>
      </c>
    </row>
    <row r="258" customFormat="false" ht="15" hidden="false" customHeight="false" outlineLevel="0" collapsed="false">
      <c r="A258" s="2" t="n">
        <v>2020</v>
      </c>
      <c r="B258" s="2" t="s">
        <v>456</v>
      </c>
      <c r="C258" s="2" t="s">
        <v>414</v>
      </c>
      <c r="D258" s="2" t="s">
        <v>29</v>
      </c>
      <c r="E258" s="2" t="n">
        <v>6</v>
      </c>
      <c r="F258" s="2" t="n">
        <v>18</v>
      </c>
      <c r="G258" s="2" t="n">
        <v>12</v>
      </c>
      <c r="H258" s="2" t="n">
        <v>5</v>
      </c>
      <c r="I258" s="2" t="n">
        <v>0</v>
      </c>
      <c r="J258" s="2" t="n">
        <v>0</v>
      </c>
      <c r="K258" s="2" t="n">
        <v>0</v>
      </c>
      <c r="L258" s="11" t="b">
        <f aca="false">FALSE()</f>
        <v>0</v>
      </c>
      <c r="M258" s="2" t="s">
        <v>406</v>
      </c>
      <c r="N258" s="2" t="n">
        <f aca="false">IF(E258&gt;0,F258/E258,"")</f>
        <v>3</v>
      </c>
      <c r="O258" s="2" t="str">
        <f aca="false">IF(AND(E258&gt;0,L258),J258/E258,"")</f>
        <v/>
      </c>
    </row>
    <row r="259" customFormat="false" ht="15" hidden="false" customHeight="false" outlineLevel="0" collapsed="false">
      <c r="A259" s="2" t="n">
        <v>2020</v>
      </c>
      <c r="B259" s="2" t="s">
        <v>126</v>
      </c>
      <c r="C259" s="2" t="s">
        <v>418</v>
      </c>
      <c r="D259" s="2" t="s">
        <v>29</v>
      </c>
      <c r="E259" s="2" t="n">
        <v>5</v>
      </c>
      <c r="F259" s="2" t="n">
        <v>22</v>
      </c>
      <c r="G259" s="2" t="n">
        <v>13</v>
      </c>
      <c r="H259" s="2" t="n">
        <v>8</v>
      </c>
      <c r="I259" s="2" t="n">
        <v>1</v>
      </c>
      <c r="J259" s="2" t="n">
        <v>0</v>
      </c>
      <c r="K259" s="2" t="n">
        <v>0</v>
      </c>
      <c r="L259" s="11" t="b">
        <f aca="false">FALSE()</f>
        <v>0</v>
      </c>
      <c r="M259" s="2" t="s">
        <v>406</v>
      </c>
      <c r="N259" s="2" t="n">
        <f aca="false">IF(E259&gt;0,F259/E259,"")</f>
        <v>4.4</v>
      </c>
      <c r="O259" s="2" t="str">
        <f aca="false">IF(AND(E259&gt;0,L259),J259/E259,"")</f>
        <v/>
      </c>
    </row>
    <row r="260" customFormat="false" ht="15" hidden="false" customHeight="false" outlineLevel="0" collapsed="false">
      <c r="A260" s="2" t="n">
        <v>2020</v>
      </c>
      <c r="B260" s="2" t="s">
        <v>150</v>
      </c>
      <c r="C260" s="2" t="s">
        <v>408</v>
      </c>
      <c r="D260" s="2" t="s">
        <v>29</v>
      </c>
      <c r="E260" s="2" t="n">
        <v>6</v>
      </c>
      <c r="F260" s="2" t="n">
        <v>21</v>
      </c>
      <c r="G260" s="2" t="n">
        <v>12</v>
      </c>
      <c r="H260" s="2" t="n">
        <v>3</v>
      </c>
      <c r="I260" s="2" t="n">
        <v>1</v>
      </c>
      <c r="J260" s="2" t="n">
        <v>0</v>
      </c>
      <c r="K260" s="2" t="n">
        <v>0</v>
      </c>
      <c r="L260" s="11" t="b">
        <f aca="false">FALSE()</f>
        <v>0</v>
      </c>
      <c r="M260" s="2" t="s">
        <v>406</v>
      </c>
      <c r="N260" s="2" t="n">
        <f aca="false">IF(E260&gt;0,F260/E260,"")</f>
        <v>3.5</v>
      </c>
      <c r="O260" s="2" t="str">
        <f aca="false">IF(AND(E260&gt;0,L260),J260/E260,"")</f>
        <v/>
      </c>
    </row>
    <row r="261" customFormat="false" ht="15" hidden="false" customHeight="false" outlineLevel="0" collapsed="false">
      <c r="A261" s="2" t="n">
        <v>2020</v>
      </c>
      <c r="B261" s="2" t="s">
        <v>457</v>
      </c>
      <c r="C261" s="2" t="s">
        <v>414</v>
      </c>
      <c r="D261" s="2" t="s">
        <v>24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11" t="b">
        <f aca="false">FALSE()</f>
        <v>0</v>
      </c>
      <c r="M261" s="2" t="s">
        <v>410</v>
      </c>
      <c r="N261" s="2" t="str">
        <f aca="false">IF(E261&gt;0,F261/E261,"")</f>
        <v/>
      </c>
      <c r="O261" s="2" t="str">
        <f aca="false">IF(AND(E261&gt;0,L261),J261/E261,"")</f>
        <v/>
      </c>
    </row>
    <row r="262" customFormat="false" ht="15" hidden="false" customHeight="false" outlineLevel="0" collapsed="false">
      <c r="A262" s="2" t="n">
        <v>2020</v>
      </c>
      <c r="B262" s="2" t="s">
        <v>116</v>
      </c>
      <c r="C262" s="2" t="s">
        <v>418</v>
      </c>
      <c r="D262" s="2" t="s">
        <v>117</v>
      </c>
      <c r="E262" s="2" t="n">
        <v>5</v>
      </c>
      <c r="F262" s="2" t="n">
        <v>5</v>
      </c>
      <c r="G262" s="2" t="n">
        <v>1</v>
      </c>
      <c r="H262" s="2" t="n">
        <v>1</v>
      </c>
      <c r="I262" s="2" t="n">
        <v>0</v>
      </c>
      <c r="J262" s="2" t="n">
        <v>0</v>
      </c>
      <c r="K262" s="2" t="n">
        <v>0</v>
      </c>
      <c r="L262" s="11" t="b">
        <f aca="false">FALSE()</f>
        <v>0</v>
      </c>
      <c r="M262" s="2" t="s">
        <v>406</v>
      </c>
      <c r="N262" s="2" t="n">
        <f aca="false">IF(E262&gt;0,F262/E262,"")</f>
        <v>1</v>
      </c>
      <c r="O262" s="2" t="str">
        <f aca="false">IF(AND(E262&gt;0,L262),J262/E262,"")</f>
        <v/>
      </c>
    </row>
    <row r="263" customFormat="false" ht="15" hidden="false" customHeight="false" outlineLevel="0" collapsed="false">
      <c r="A263" s="2" t="n">
        <v>2020</v>
      </c>
      <c r="B263" s="2" t="s">
        <v>64</v>
      </c>
      <c r="C263" s="2" t="s">
        <v>408</v>
      </c>
      <c r="D263" s="2" t="s">
        <v>24</v>
      </c>
      <c r="E263" s="2" t="n">
        <v>6</v>
      </c>
      <c r="F263" s="2" t="n">
        <v>39</v>
      </c>
      <c r="G263" s="2" t="n">
        <v>28</v>
      </c>
      <c r="H263" s="2" t="n">
        <v>10</v>
      </c>
      <c r="I263" s="2" t="n">
        <v>4</v>
      </c>
      <c r="J263" s="2" t="n">
        <v>0</v>
      </c>
      <c r="K263" s="2" t="n">
        <v>0</v>
      </c>
      <c r="L263" s="11" t="b">
        <f aca="false">FALSE()</f>
        <v>0</v>
      </c>
      <c r="M263" s="2" t="s">
        <v>406</v>
      </c>
      <c r="N263" s="2" t="n">
        <f aca="false">IF(E263&gt;0,F263/E263,"")</f>
        <v>6.5</v>
      </c>
      <c r="O263" s="2" t="str">
        <f aca="false">IF(AND(E263&gt;0,L263),J263/E263,"")</f>
        <v/>
      </c>
    </row>
    <row r="264" customFormat="false" ht="15" hidden="false" customHeight="false" outlineLevel="0" collapsed="false">
      <c r="A264" s="2" t="n">
        <v>2020</v>
      </c>
      <c r="B264" s="2" t="s">
        <v>369</v>
      </c>
      <c r="C264" s="2" t="s">
        <v>408</v>
      </c>
      <c r="D264" s="2" t="s">
        <v>29</v>
      </c>
      <c r="E264" s="2" t="n">
        <v>6</v>
      </c>
      <c r="F264" s="2" t="n">
        <v>13</v>
      </c>
      <c r="G264" s="2" t="n">
        <v>12</v>
      </c>
      <c r="H264" s="2" t="n">
        <v>9</v>
      </c>
      <c r="I264" s="2" t="n">
        <v>0</v>
      </c>
      <c r="J264" s="2" t="n">
        <v>0</v>
      </c>
      <c r="K264" s="2" t="n">
        <v>0</v>
      </c>
      <c r="L264" s="11" t="b">
        <f aca="false">FALSE()</f>
        <v>0</v>
      </c>
      <c r="M264" s="2" t="s">
        <v>406</v>
      </c>
      <c r="N264" s="2" t="n">
        <f aca="false">IF(E264&gt;0,F264/E264,"")</f>
        <v>2.16666666666667</v>
      </c>
      <c r="O264" s="2" t="str">
        <f aca="false">IF(AND(E264&gt;0,L264),J264/E264,"")</f>
        <v/>
      </c>
    </row>
    <row r="265" customFormat="false" ht="15" hidden="false" customHeight="false" outlineLevel="0" collapsed="false">
      <c r="A265" s="2" t="n">
        <v>2020</v>
      </c>
      <c r="B265" s="2" t="s">
        <v>27</v>
      </c>
      <c r="C265" s="2" t="s">
        <v>518</v>
      </c>
      <c r="D265" s="2" t="s">
        <v>24</v>
      </c>
      <c r="E265" s="2" t="n">
        <v>5</v>
      </c>
      <c r="F265" s="2" t="n">
        <v>26</v>
      </c>
      <c r="G265" s="2" t="n">
        <v>18</v>
      </c>
      <c r="H265" s="2" t="n">
        <v>8</v>
      </c>
      <c r="I265" s="2" t="n">
        <v>6</v>
      </c>
      <c r="J265" s="2" t="n">
        <v>0</v>
      </c>
      <c r="K265" s="2" t="n">
        <v>0</v>
      </c>
      <c r="L265" s="11" t="b">
        <f aca="false">FALSE()</f>
        <v>0</v>
      </c>
      <c r="M265" s="2" t="s">
        <v>406</v>
      </c>
      <c r="N265" s="2" t="n">
        <f aca="false">IF(E265&gt;0,F265/E265,"")</f>
        <v>5.2</v>
      </c>
      <c r="O265" s="2" t="str">
        <f aca="false">IF(AND(E265&gt;0,L265),J265/E265,"")</f>
        <v/>
      </c>
    </row>
    <row r="266" customFormat="false" ht="15" hidden="false" customHeight="false" outlineLevel="0" collapsed="false">
      <c r="A266" s="2" t="n">
        <v>2020</v>
      </c>
      <c r="B266" s="2" t="s">
        <v>460</v>
      </c>
      <c r="C266" s="2" t="s">
        <v>414</v>
      </c>
      <c r="D266" s="2" t="s">
        <v>29</v>
      </c>
      <c r="E266" s="2" t="n">
        <v>6</v>
      </c>
      <c r="F266" s="2" t="n">
        <v>2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11" t="b">
        <f aca="false">FALSE()</f>
        <v>0</v>
      </c>
      <c r="M266" s="2" t="s">
        <v>406</v>
      </c>
      <c r="N266" s="2" t="n">
        <f aca="false">IF(E266&gt;0,F266/E266,"")</f>
        <v>0.333333333333333</v>
      </c>
      <c r="O266" s="2" t="str">
        <f aca="false">IF(AND(E266&gt;0,L266),J266/E266,"")</f>
        <v/>
      </c>
    </row>
    <row r="267" customFormat="false" ht="15" hidden="false" customHeight="false" outlineLevel="0" collapsed="false">
      <c r="A267" s="2" t="n">
        <v>2020</v>
      </c>
      <c r="B267" s="2" t="s">
        <v>461</v>
      </c>
      <c r="C267" s="2" t="s">
        <v>518</v>
      </c>
      <c r="D267" s="2" t="s">
        <v>29</v>
      </c>
      <c r="E267" s="2" t="n">
        <v>5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11" t="b">
        <f aca="false">FALSE()</f>
        <v>0</v>
      </c>
      <c r="M267" s="2" t="s">
        <v>406</v>
      </c>
      <c r="N267" s="2" t="n">
        <f aca="false">IF(E267&gt;0,F267/E267,"")</f>
        <v>0</v>
      </c>
      <c r="O267" s="2" t="str">
        <f aca="false">IF(AND(E267&gt;0,L267),J267/E267,"")</f>
        <v/>
      </c>
    </row>
    <row r="268" customFormat="false" ht="15" hidden="false" customHeight="false" outlineLevel="0" collapsed="false">
      <c r="A268" s="2" t="n">
        <v>2020</v>
      </c>
      <c r="B268" s="2" t="s">
        <v>462</v>
      </c>
      <c r="C268" s="2" t="s">
        <v>518</v>
      </c>
      <c r="D268" s="2" t="s">
        <v>29</v>
      </c>
      <c r="E268" s="2" t="n">
        <v>5</v>
      </c>
      <c r="F268" s="2" t="n">
        <v>21</v>
      </c>
      <c r="G268" s="2" t="n">
        <v>16</v>
      </c>
      <c r="H268" s="2" t="n">
        <v>6</v>
      </c>
      <c r="I268" s="2" t="n">
        <v>0</v>
      </c>
      <c r="J268" s="2" t="n">
        <v>0</v>
      </c>
      <c r="K268" s="2" t="n">
        <v>0</v>
      </c>
      <c r="L268" s="11" t="b">
        <f aca="false">FALSE()</f>
        <v>0</v>
      </c>
      <c r="M268" s="2" t="s">
        <v>406</v>
      </c>
      <c r="N268" s="2" t="n">
        <f aca="false">IF(E268&gt;0,F268/E268,"")</f>
        <v>4.2</v>
      </c>
      <c r="O268" s="2" t="str">
        <f aca="false">IF(AND(E268&gt;0,L268),J268/E268,"")</f>
        <v/>
      </c>
    </row>
    <row r="269" customFormat="false" ht="15" hidden="false" customHeight="false" outlineLevel="0" collapsed="false">
      <c r="A269" s="2" t="n">
        <v>2020</v>
      </c>
      <c r="B269" s="2" t="s">
        <v>309</v>
      </c>
      <c r="C269" s="2" t="s">
        <v>408</v>
      </c>
      <c r="D269" s="2" t="s">
        <v>117</v>
      </c>
      <c r="E269" s="2" t="n">
        <v>6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11" t="b">
        <f aca="false">FALSE()</f>
        <v>0</v>
      </c>
      <c r="M269" s="2" t="s">
        <v>406</v>
      </c>
      <c r="N269" s="2" t="n">
        <f aca="false">IF(E269&gt;0,F269/E269,"")</f>
        <v>0.166666666666667</v>
      </c>
      <c r="O269" s="2" t="str">
        <f aca="false">IF(AND(E269&gt;0,L269),J269/E269,"")</f>
        <v/>
      </c>
    </row>
    <row r="270" customFormat="false" ht="15" hidden="false" customHeight="false" outlineLevel="0" collapsed="false">
      <c r="A270" s="2" t="n">
        <v>2020</v>
      </c>
      <c r="B270" s="2" t="s">
        <v>337</v>
      </c>
      <c r="C270" s="2" t="s">
        <v>408</v>
      </c>
      <c r="D270" s="2" t="s">
        <v>29</v>
      </c>
      <c r="E270" s="2" t="n">
        <v>6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11" t="b">
        <f aca="false">FALSE()</f>
        <v>0</v>
      </c>
      <c r="M270" s="2" t="s">
        <v>406</v>
      </c>
      <c r="N270" s="2" t="n">
        <f aca="false">IF(E270&gt;0,F270/E270,"")</f>
        <v>0.166666666666667</v>
      </c>
      <c r="O270" s="2" t="str">
        <f aca="false">IF(AND(E270&gt;0,L270),J270/E270,"")</f>
        <v/>
      </c>
    </row>
    <row r="271" customFormat="false" ht="15" hidden="false" customHeight="false" outlineLevel="0" collapsed="false">
      <c r="A271" s="2" t="n">
        <v>2020</v>
      </c>
      <c r="B271" s="2" t="s">
        <v>340</v>
      </c>
      <c r="C271" s="2" t="s">
        <v>518</v>
      </c>
      <c r="D271" s="2" t="s">
        <v>117</v>
      </c>
      <c r="E271" s="2" t="n">
        <v>5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11" t="b">
        <f aca="false">FALSE()</f>
        <v>0</v>
      </c>
      <c r="M271" s="2" t="s">
        <v>406</v>
      </c>
      <c r="N271" s="2" t="n">
        <f aca="false">IF(E271&gt;0,F271/E271,"")</f>
        <v>0</v>
      </c>
      <c r="O271" s="2" t="str">
        <f aca="false">IF(AND(E271&gt;0,L271),J271/E271,"")</f>
        <v/>
      </c>
    </row>
    <row r="272" customFormat="false" ht="15" hidden="false" customHeight="false" outlineLevel="0" collapsed="false">
      <c r="A272" s="2" t="n">
        <v>2020</v>
      </c>
      <c r="B272" s="2" t="s">
        <v>531</v>
      </c>
      <c r="C272" s="2" t="s">
        <v>418</v>
      </c>
      <c r="D272" s="2" t="s">
        <v>117</v>
      </c>
      <c r="E272" s="2" t="n">
        <v>5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11" t="b">
        <f aca="false">FALSE()</f>
        <v>0</v>
      </c>
      <c r="M272" s="2" t="s">
        <v>406</v>
      </c>
      <c r="N272" s="2" t="n">
        <f aca="false">IF(E272&gt;0,F272/E272,"")</f>
        <v>0.2</v>
      </c>
      <c r="O272" s="2" t="str">
        <f aca="false">IF(AND(E272&gt;0,L272),J272/E272,"")</f>
        <v/>
      </c>
    </row>
    <row r="273" customFormat="false" ht="15" hidden="false" customHeight="false" outlineLevel="0" collapsed="false">
      <c r="A273" s="2" t="n">
        <v>2020</v>
      </c>
      <c r="B273" s="2" t="s">
        <v>143</v>
      </c>
      <c r="C273" s="2" t="s">
        <v>414</v>
      </c>
      <c r="D273" s="2" t="s">
        <v>117</v>
      </c>
      <c r="E273" s="2" t="n">
        <v>6</v>
      </c>
      <c r="F273" s="2" t="n">
        <v>1</v>
      </c>
      <c r="G273" s="2" t="n">
        <v>1</v>
      </c>
      <c r="H273" s="2" t="n">
        <v>1</v>
      </c>
      <c r="I273" s="2" t="n">
        <v>0</v>
      </c>
      <c r="J273" s="2" t="n">
        <v>0</v>
      </c>
      <c r="K273" s="2" t="n">
        <v>0</v>
      </c>
      <c r="L273" s="11" t="b">
        <f aca="false">FALSE()</f>
        <v>0</v>
      </c>
      <c r="M273" s="2" t="s">
        <v>406</v>
      </c>
      <c r="N273" s="2" t="n">
        <f aca="false">IF(E273&gt;0,F273/E273,"")</f>
        <v>0.166666666666667</v>
      </c>
      <c r="O273" s="2" t="str">
        <f aca="false">IF(AND(E273&gt;0,L273),J273/E273,"")</f>
        <v/>
      </c>
    </row>
    <row r="274" customFormat="false" ht="15" hidden="false" customHeight="false" outlineLevel="0" collapsed="false">
      <c r="A274" s="2" t="n">
        <v>2020</v>
      </c>
      <c r="B274" s="2" t="s">
        <v>467</v>
      </c>
      <c r="C274" s="2" t="s">
        <v>414</v>
      </c>
      <c r="D274" s="2" t="s">
        <v>413</v>
      </c>
      <c r="E274" s="2" t="n">
        <v>6</v>
      </c>
      <c r="F274" s="2" t="n">
        <v>8</v>
      </c>
      <c r="G274" s="2" t="n">
        <v>5</v>
      </c>
      <c r="H274" s="2" t="n">
        <v>3</v>
      </c>
      <c r="I274" s="2" t="n">
        <v>3</v>
      </c>
      <c r="J274" s="2" t="n">
        <v>0</v>
      </c>
      <c r="K274" s="2" t="n">
        <v>0</v>
      </c>
      <c r="L274" s="11" t="b">
        <f aca="false">FALSE()</f>
        <v>0</v>
      </c>
      <c r="M274" s="2" t="s">
        <v>410</v>
      </c>
      <c r="N274" s="2" t="n">
        <f aca="false">IF(E274&gt;0,F274/E274,"")</f>
        <v>1.33333333333333</v>
      </c>
      <c r="O274" s="2" t="str">
        <f aca="false">IF(AND(E274&gt;0,L274),J274/E274,"")</f>
        <v/>
      </c>
    </row>
    <row r="275" customFormat="false" ht="15" hidden="false" customHeight="false" outlineLevel="0" collapsed="false">
      <c r="A275" s="2" t="n">
        <v>2020</v>
      </c>
      <c r="B275" s="2" t="s">
        <v>323</v>
      </c>
      <c r="C275" s="2" t="s">
        <v>405</v>
      </c>
      <c r="D275" s="2" t="s">
        <v>29</v>
      </c>
      <c r="E275" s="2" t="n">
        <v>6</v>
      </c>
      <c r="F275" s="2" t="n">
        <v>6</v>
      </c>
      <c r="G275" s="2" t="n">
        <v>4</v>
      </c>
      <c r="H275" s="2" t="n">
        <v>1</v>
      </c>
      <c r="I275" s="2" t="n">
        <v>2</v>
      </c>
      <c r="J275" s="2" t="n">
        <v>0</v>
      </c>
      <c r="K275" s="2" t="n">
        <v>0</v>
      </c>
      <c r="L275" s="11" t="b">
        <f aca="false">FALSE()</f>
        <v>0</v>
      </c>
      <c r="M275" s="2" t="s">
        <v>406</v>
      </c>
      <c r="N275" s="2" t="n">
        <f aca="false">IF(E275&gt;0,F275/E275,"")</f>
        <v>1</v>
      </c>
      <c r="O275" s="2" t="str">
        <f aca="false">IF(AND(E275&gt;0,L275),J275/E275,"")</f>
        <v/>
      </c>
    </row>
    <row r="276" customFormat="false" ht="15" hidden="false" customHeight="false" outlineLevel="0" collapsed="false">
      <c r="A276" s="2" t="n">
        <v>2020</v>
      </c>
      <c r="B276" s="2" t="s">
        <v>146</v>
      </c>
      <c r="C276" s="2" t="s">
        <v>420</v>
      </c>
      <c r="D276" s="2" t="s">
        <v>117</v>
      </c>
      <c r="E276" s="2" t="n">
        <v>7</v>
      </c>
      <c r="F276" s="2" t="n">
        <v>4</v>
      </c>
      <c r="G276" s="2" t="n">
        <v>2</v>
      </c>
      <c r="H276" s="2" t="n">
        <v>0</v>
      </c>
      <c r="I276" s="2" t="n">
        <v>0</v>
      </c>
      <c r="J276" s="2" t="n">
        <v>0</v>
      </c>
      <c r="K276" s="2" t="n">
        <v>0</v>
      </c>
      <c r="L276" s="11" t="b">
        <f aca="false">FALSE()</f>
        <v>0</v>
      </c>
      <c r="M276" s="2" t="s">
        <v>406</v>
      </c>
      <c r="N276" s="2" t="n">
        <f aca="false">IF(E276&gt;0,F276/E276,"")</f>
        <v>0.571428571428571</v>
      </c>
      <c r="O276" s="2" t="str">
        <f aca="false">IF(AND(E276&gt;0,L276),J276/E276,"")</f>
        <v/>
      </c>
    </row>
    <row r="277" customFormat="false" ht="15" hidden="false" customHeight="false" outlineLevel="0" collapsed="false">
      <c r="A277" s="2" t="n">
        <v>2020</v>
      </c>
      <c r="B277" s="2" t="s">
        <v>532</v>
      </c>
      <c r="C277" s="2" t="s">
        <v>414</v>
      </c>
      <c r="D277" s="2" t="s">
        <v>117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11" t="b">
        <f aca="false">FALSE()</f>
        <v>0</v>
      </c>
      <c r="M277" s="2" t="s">
        <v>410</v>
      </c>
      <c r="N277" s="2" t="str">
        <f aca="false">IF(E277&gt;0,F277/E277,"")</f>
        <v/>
      </c>
      <c r="O277" s="2" t="str">
        <f aca="false">IF(AND(E277&gt;0,L277),J277/E277,"")</f>
        <v/>
      </c>
    </row>
    <row r="278" customFormat="false" ht="15" hidden="false" customHeight="false" outlineLevel="0" collapsed="false">
      <c r="A278" s="2" t="n">
        <v>2020</v>
      </c>
      <c r="B278" s="2" t="s">
        <v>533</v>
      </c>
      <c r="C278" s="2" t="s">
        <v>420</v>
      </c>
      <c r="D278" s="2" t="s">
        <v>117</v>
      </c>
      <c r="E278" s="2" t="n">
        <v>7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0</v>
      </c>
      <c r="L278" s="11" t="b">
        <f aca="false">FALSE()</f>
        <v>0</v>
      </c>
      <c r="M278" s="2" t="s">
        <v>406</v>
      </c>
      <c r="N278" s="2" t="n">
        <f aca="false">IF(E278&gt;0,F278/E278,"")</f>
        <v>0</v>
      </c>
      <c r="O278" s="2" t="str">
        <f aca="false">IF(AND(E278&gt;0,L278),J278/E278,"")</f>
        <v/>
      </c>
    </row>
    <row r="279" customFormat="false" ht="15" hidden="false" customHeight="false" outlineLevel="0" collapsed="false">
      <c r="A279" s="2" t="n">
        <v>2020</v>
      </c>
      <c r="B279" s="2" t="s">
        <v>469</v>
      </c>
      <c r="C279" s="2" t="s">
        <v>412</v>
      </c>
      <c r="D279" s="2" t="s">
        <v>29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11" t="b">
        <f aca="false">FALSE()</f>
        <v>0</v>
      </c>
      <c r="M279" s="2" t="s">
        <v>410</v>
      </c>
      <c r="N279" s="2" t="str">
        <f aca="false">IF(E279&gt;0,F279/E279,"")</f>
        <v/>
      </c>
      <c r="O279" s="2" t="str">
        <f aca="false">IF(AND(E279&gt;0,L279),J279/E279,"")</f>
        <v/>
      </c>
    </row>
    <row r="280" customFormat="false" ht="15" hidden="false" customHeight="false" outlineLevel="0" collapsed="false">
      <c r="A280" s="2" t="n">
        <v>2020</v>
      </c>
      <c r="B280" s="2" t="s">
        <v>471</v>
      </c>
      <c r="C280" s="2" t="s">
        <v>405</v>
      </c>
      <c r="D280" s="2" t="s">
        <v>29</v>
      </c>
      <c r="E280" s="2" t="n">
        <v>6</v>
      </c>
      <c r="F280" s="2" t="n">
        <v>5</v>
      </c>
      <c r="G280" s="2" t="n">
        <v>2</v>
      </c>
      <c r="H280" s="2" t="n">
        <v>0</v>
      </c>
      <c r="I280" s="2" t="n">
        <v>0</v>
      </c>
      <c r="J280" s="2" t="n">
        <v>0</v>
      </c>
      <c r="K280" s="2" t="n">
        <v>0</v>
      </c>
      <c r="L280" s="11" t="b">
        <f aca="false">FALSE()</f>
        <v>0</v>
      </c>
      <c r="M280" s="2" t="s">
        <v>406</v>
      </c>
      <c r="N280" s="2" t="n">
        <f aca="false">IF(E280&gt;0,F280/E280,"")</f>
        <v>0.833333333333333</v>
      </c>
      <c r="O280" s="2" t="str">
        <f aca="false">IF(AND(E280&gt;0,L280),J280/E280,"")</f>
        <v/>
      </c>
    </row>
    <row r="281" customFormat="false" ht="15" hidden="false" customHeight="false" outlineLevel="0" collapsed="false">
      <c r="A281" s="2" t="n">
        <v>2020</v>
      </c>
      <c r="B281" s="2" t="s">
        <v>472</v>
      </c>
      <c r="C281" s="2" t="s">
        <v>412</v>
      </c>
      <c r="D281" s="2" t="s">
        <v>24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11" t="b">
        <f aca="false">FALSE()</f>
        <v>0</v>
      </c>
      <c r="M281" s="2" t="s">
        <v>410</v>
      </c>
      <c r="N281" s="2" t="str">
        <f aca="false">IF(E281&gt;0,F281/E281,"")</f>
        <v/>
      </c>
      <c r="O281" s="2" t="str">
        <f aca="false">IF(AND(E281&gt;0,L281),J281/E281,"")</f>
        <v/>
      </c>
    </row>
    <row r="282" customFormat="false" ht="15" hidden="false" customHeight="false" outlineLevel="0" collapsed="false">
      <c r="A282" s="2" t="n">
        <v>2020</v>
      </c>
      <c r="B282" s="2" t="s">
        <v>26</v>
      </c>
      <c r="C282" s="2" t="s">
        <v>412</v>
      </c>
      <c r="D282" s="2" t="s">
        <v>24</v>
      </c>
      <c r="E282" s="2" t="n">
        <v>5</v>
      </c>
      <c r="F282" s="2" t="n">
        <v>34</v>
      </c>
      <c r="G282" s="2" t="n">
        <v>17</v>
      </c>
      <c r="H282" s="2" t="n">
        <v>6</v>
      </c>
      <c r="I282" s="2" t="n">
        <v>9</v>
      </c>
      <c r="J282" s="2" t="n">
        <v>0</v>
      </c>
      <c r="K282" s="2" t="n">
        <v>0</v>
      </c>
      <c r="L282" s="11" t="b">
        <f aca="false">FALSE()</f>
        <v>0</v>
      </c>
      <c r="M282" s="2" t="s">
        <v>406</v>
      </c>
      <c r="N282" s="2" t="n">
        <f aca="false">IF(E282&gt;0,F282/E282,"")</f>
        <v>6.8</v>
      </c>
      <c r="O282" s="2" t="str">
        <f aca="false">IF(AND(E282&gt;0,L282),J282/E282,"")</f>
        <v/>
      </c>
    </row>
    <row r="283" customFormat="false" ht="15" hidden="false" customHeight="false" outlineLevel="0" collapsed="false">
      <c r="A283" s="2" t="n">
        <v>2020</v>
      </c>
      <c r="B283" s="2" t="s">
        <v>473</v>
      </c>
      <c r="C283" s="2" t="s">
        <v>414</v>
      </c>
      <c r="D283" s="2" t="s">
        <v>115</v>
      </c>
      <c r="E283" s="2" t="n">
        <v>6</v>
      </c>
      <c r="F283" s="2" t="n">
        <v>0</v>
      </c>
      <c r="G283" s="2" t="n">
        <v>0</v>
      </c>
      <c r="H283" s="2" t="n">
        <v>0</v>
      </c>
      <c r="I283" s="2" t="n">
        <v>1</v>
      </c>
      <c r="J283" s="2" t="n">
        <v>0</v>
      </c>
      <c r="K283" s="2" t="n">
        <v>0</v>
      </c>
      <c r="L283" s="11" t="b">
        <f aca="false">FALSE()</f>
        <v>0</v>
      </c>
      <c r="M283" s="2" t="s">
        <v>406</v>
      </c>
      <c r="N283" s="2" t="n">
        <f aca="false">IF(E283&gt;0,F283/E283,"")</f>
        <v>0</v>
      </c>
      <c r="O283" s="2" t="str">
        <f aca="false">IF(AND(E283&gt;0,L283),J283/E283,"")</f>
        <v/>
      </c>
    </row>
    <row r="284" customFormat="false" ht="15" hidden="false" customHeight="false" outlineLevel="0" collapsed="false">
      <c r="A284" s="2" t="n">
        <v>2020</v>
      </c>
      <c r="B284" s="2" t="s">
        <v>86</v>
      </c>
      <c r="C284" s="2" t="s">
        <v>405</v>
      </c>
      <c r="D284" s="2" t="s">
        <v>29</v>
      </c>
      <c r="E284" s="2" t="n">
        <v>6</v>
      </c>
      <c r="F284" s="2" t="n">
        <v>35</v>
      </c>
      <c r="G284" s="2" t="n">
        <v>25</v>
      </c>
      <c r="H284" s="2" t="n">
        <v>9</v>
      </c>
      <c r="I284" s="2" t="n">
        <v>0</v>
      </c>
      <c r="J284" s="2" t="n">
        <v>0</v>
      </c>
      <c r="K284" s="2" t="n">
        <v>0</v>
      </c>
      <c r="L284" s="11" t="b">
        <f aca="false">FALSE()</f>
        <v>0</v>
      </c>
      <c r="M284" s="2" t="s">
        <v>406</v>
      </c>
      <c r="N284" s="2" t="n">
        <f aca="false">IF(E284&gt;0,F284/E284,"")</f>
        <v>5.83333333333333</v>
      </c>
      <c r="O284" s="2" t="str">
        <f aca="false">IF(AND(E284&gt;0,L284),J284/E284,"")</f>
        <v/>
      </c>
    </row>
    <row r="285" customFormat="false" ht="15" hidden="false" customHeight="false" outlineLevel="0" collapsed="false">
      <c r="A285" s="2" t="n">
        <v>2020</v>
      </c>
      <c r="B285" s="2" t="s">
        <v>357</v>
      </c>
      <c r="C285" s="2" t="s">
        <v>405</v>
      </c>
      <c r="D285" s="2" t="s">
        <v>24</v>
      </c>
      <c r="E285" s="2" t="n">
        <v>6</v>
      </c>
      <c r="F285" s="2" t="n">
        <v>22</v>
      </c>
      <c r="G285" s="2" t="n">
        <v>13</v>
      </c>
      <c r="H285" s="2" t="n">
        <v>5</v>
      </c>
      <c r="I285" s="2" t="n">
        <v>4</v>
      </c>
      <c r="J285" s="2" t="n">
        <v>0</v>
      </c>
      <c r="K285" s="2" t="n">
        <v>0</v>
      </c>
      <c r="L285" s="11" t="b">
        <f aca="false">FALSE()</f>
        <v>0</v>
      </c>
      <c r="M285" s="2" t="s">
        <v>406</v>
      </c>
      <c r="N285" s="2" t="n">
        <f aca="false">IF(E285&gt;0,F285/E285,"")</f>
        <v>3.66666666666667</v>
      </c>
      <c r="O285" s="2" t="str">
        <f aca="false">IF(AND(E285&gt;0,L285),J285/E285,"")</f>
        <v/>
      </c>
    </row>
    <row r="286" customFormat="false" ht="15" hidden="false" customHeight="false" outlineLevel="0" collapsed="false">
      <c r="A286" s="2" t="n">
        <v>2020</v>
      </c>
      <c r="B286" s="2" t="s">
        <v>474</v>
      </c>
      <c r="C286" s="2" t="s">
        <v>408</v>
      </c>
      <c r="D286" s="2" t="s">
        <v>29</v>
      </c>
      <c r="E286" s="2" t="n">
        <v>6</v>
      </c>
      <c r="F286" s="2" t="n">
        <v>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11" t="b">
        <f aca="false">FALSE()</f>
        <v>0</v>
      </c>
      <c r="M286" s="2" t="s">
        <v>406</v>
      </c>
      <c r="N286" s="2" t="n">
        <f aca="false">IF(E286&gt;0,F286/E286,"")</f>
        <v>0.166666666666667</v>
      </c>
      <c r="O286" s="2" t="str">
        <f aca="false">IF(AND(E286&gt;0,L286),J286/E286,"")</f>
        <v/>
      </c>
    </row>
    <row r="287" customFormat="false" ht="15" hidden="false" customHeight="false" outlineLevel="0" collapsed="false">
      <c r="A287" s="2" t="n">
        <v>2020</v>
      </c>
      <c r="B287" s="2" t="s">
        <v>475</v>
      </c>
      <c r="C287" s="2" t="s">
        <v>412</v>
      </c>
      <c r="D287" s="2"/>
      <c r="E287" s="2" t="n">
        <v>5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11" t="b">
        <f aca="false">FALSE()</f>
        <v>0</v>
      </c>
      <c r="M287" s="2" t="s">
        <v>410</v>
      </c>
      <c r="N287" s="2" t="n">
        <f aca="false">IF(E287&gt;0,F287/E287,"")</f>
        <v>0</v>
      </c>
      <c r="O287" s="2" t="str">
        <f aca="false">IF(AND(E287&gt;0,L287),J287/E287,"")</f>
        <v/>
      </c>
    </row>
    <row r="288" customFormat="false" ht="15" hidden="false" customHeight="false" outlineLevel="0" collapsed="false">
      <c r="A288" s="2" t="n">
        <v>2020</v>
      </c>
      <c r="B288" s="2" t="s">
        <v>534</v>
      </c>
      <c r="C288" s="2" t="s">
        <v>405</v>
      </c>
      <c r="D288" s="2" t="s">
        <v>117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11" t="b">
        <f aca="false">FALSE()</f>
        <v>0</v>
      </c>
      <c r="M288" s="2" t="s">
        <v>410</v>
      </c>
      <c r="N288" s="2" t="str">
        <f aca="false">IF(E288&gt;0,F288/E288,"")</f>
        <v/>
      </c>
      <c r="O288" s="2" t="str">
        <f aca="false">IF(AND(E288&gt;0,L288),J288/E288,"")</f>
        <v/>
      </c>
    </row>
    <row r="289" customFormat="false" ht="15" hidden="false" customHeight="false" outlineLevel="0" collapsed="false">
      <c r="A289" s="2" t="n">
        <v>2020</v>
      </c>
      <c r="B289" s="2" t="s">
        <v>270</v>
      </c>
      <c r="C289" s="2" t="s">
        <v>418</v>
      </c>
      <c r="D289" s="2" t="s">
        <v>117</v>
      </c>
      <c r="E289" s="2" t="n">
        <v>5</v>
      </c>
      <c r="F289" s="2" t="n">
        <v>1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11" t="b">
        <f aca="false">FALSE()</f>
        <v>0</v>
      </c>
      <c r="M289" s="2" t="s">
        <v>406</v>
      </c>
      <c r="N289" s="2" t="n">
        <f aca="false">IF(E289&gt;0,F289/E289,"")</f>
        <v>0.2</v>
      </c>
      <c r="O289" s="2" t="str">
        <f aca="false">IF(AND(E289&gt;0,L289),J289/E289,"")</f>
        <v/>
      </c>
    </row>
    <row r="290" customFormat="false" ht="15" hidden="false" customHeight="false" outlineLevel="0" collapsed="false">
      <c r="A290" s="2" t="n">
        <v>2020</v>
      </c>
      <c r="B290" s="2" t="s">
        <v>535</v>
      </c>
      <c r="C290" s="2" t="s">
        <v>405</v>
      </c>
      <c r="D290" s="2" t="s">
        <v>413</v>
      </c>
      <c r="E290" s="2" t="n">
        <v>6</v>
      </c>
      <c r="F290" s="2" t="n">
        <v>1</v>
      </c>
      <c r="G290" s="2" t="n">
        <v>1</v>
      </c>
      <c r="H290" s="2" t="n">
        <v>0</v>
      </c>
      <c r="I290" s="2" t="n">
        <v>1</v>
      </c>
      <c r="J290" s="2" t="n">
        <v>0</v>
      </c>
      <c r="K290" s="2" t="n">
        <v>0</v>
      </c>
      <c r="L290" s="11" t="b">
        <f aca="false">FALSE()</f>
        <v>0</v>
      </c>
      <c r="M290" s="2" t="s">
        <v>410</v>
      </c>
      <c r="N290" s="2" t="n">
        <f aca="false">IF(E290&gt;0,F290/E290,"")</f>
        <v>0.166666666666667</v>
      </c>
      <c r="O290" s="2" t="str">
        <f aca="false">IF(AND(E290&gt;0,L290),J290/E290,"")</f>
        <v/>
      </c>
    </row>
    <row r="291" customFormat="false" ht="15" hidden="false" customHeight="false" outlineLevel="0" collapsed="false">
      <c r="A291" s="2" t="n">
        <v>2020</v>
      </c>
      <c r="B291" s="2" t="s">
        <v>478</v>
      </c>
      <c r="C291" s="2" t="s">
        <v>418</v>
      </c>
      <c r="D291" s="2" t="s">
        <v>409</v>
      </c>
      <c r="E291" s="2" t="n">
        <v>5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11" t="b">
        <f aca="false">FALSE()</f>
        <v>0</v>
      </c>
      <c r="M291" s="2" t="s">
        <v>410</v>
      </c>
      <c r="N291" s="2" t="n">
        <f aca="false">IF(E291&gt;0,F291/E291,"")</f>
        <v>0</v>
      </c>
      <c r="O291" s="2" t="str">
        <f aca="false">IF(AND(E291&gt;0,L291),J291/E291,"")</f>
        <v/>
      </c>
    </row>
    <row r="292" customFormat="false" ht="15" hidden="false" customHeight="false" outlineLevel="0" collapsed="false">
      <c r="A292" s="2" t="n">
        <v>2020</v>
      </c>
      <c r="B292" s="2" t="s">
        <v>479</v>
      </c>
      <c r="C292" s="2" t="s">
        <v>412</v>
      </c>
      <c r="D292" s="2" t="s">
        <v>29</v>
      </c>
      <c r="E292" s="2" t="n">
        <v>5</v>
      </c>
      <c r="F292" s="2" t="n">
        <v>19</v>
      </c>
      <c r="G292" s="2" t="n">
        <v>8</v>
      </c>
      <c r="H292" s="2" t="n">
        <v>1</v>
      </c>
      <c r="I292" s="2" t="n">
        <v>4</v>
      </c>
      <c r="J292" s="2" t="n">
        <v>0</v>
      </c>
      <c r="K292" s="2" t="n">
        <v>0</v>
      </c>
      <c r="L292" s="11" t="b">
        <f aca="false">FALSE()</f>
        <v>0</v>
      </c>
      <c r="M292" s="2" t="s">
        <v>406</v>
      </c>
      <c r="N292" s="2" t="n">
        <f aca="false">IF(E292&gt;0,F292/E292,"")</f>
        <v>3.8</v>
      </c>
      <c r="O292" s="2" t="str">
        <f aca="false">IF(AND(E292&gt;0,L292),J292/E292,"")</f>
        <v/>
      </c>
    </row>
    <row r="293" customFormat="false" ht="15" hidden="false" customHeight="false" outlineLevel="0" collapsed="false">
      <c r="A293" s="2" t="n">
        <v>2020</v>
      </c>
      <c r="B293" s="2" t="s">
        <v>42</v>
      </c>
      <c r="C293" s="2" t="s">
        <v>414</v>
      </c>
      <c r="D293" s="2" t="s">
        <v>24</v>
      </c>
      <c r="E293" s="2" t="n">
        <v>6</v>
      </c>
      <c r="F293" s="2" t="n">
        <v>22</v>
      </c>
      <c r="G293" s="2" t="n">
        <v>14</v>
      </c>
      <c r="H293" s="2" t="n">
        <v>7</v>
      </c>
      <c r="I293" s="2" t="n">
        <v>18</v>
      </c>
      <c r="J293" s="2" t="n">
        <v>0</v>
      </c>
      <c r="K293" s="2" t="n">
        <v>0</v>
      </c>
      <c r="L293" s="11" t="b">
        <f aca="false">FALSE()</f>
        <v>0</v>
      </c>
      <c r="M293" s="2" t="s">
        <v>406</v>
      </c>
      <c r="N293" s="2" t="n">
        <f aca="false">IF(E293&gt;0,F293/E293,"")</f>
        <v>3.66666666666667</v>
      </c>
      <c r="O293" s="2" t="str">
        <f aca="false">IF(AND(E293&gt;0,L293),J293/E293,"")</f>
        <v/>
      </c>
    </row>
    <row r="294" customFormat="false" ht="15" hidden="false" customHeight="false" outlineLevel="0" collapsed="false">
      <c r="A294" s="2" t="n">
        <v>2020</v>
      </c>
      <c r="B294" s="2" t="s">
        <v>322</v>
      </c>
      <c r="C294" s="2" t="s">
        <v>418</v>
      </c>
      <c r="D294" s="2" t="s">
        <v>29</v>
      </c>
      <c r="E294" s="2" t="n">
        <v>5</v>
      </c>
      <c r="F294" s="2" t="n">
        <v>18</v>
      </c>
      <c r="G294" s="2" t="n">
        <v>9</v>
      </c>
      <c r="H294" s="2" t="n">
        <v>4</v>
      </c>
      <c r="I294" s="2" t="n">
        <v>2</v>
      </c>
      <c r="J294" s="2" t="n">
        <v>0</v>
      </c>
      <c r="K294" s="2" t="n">
        <v>0</v>
      </c>
      <c r="L294" s="11" t="b">
        <f aca="false">FALSE()</f>
        <v>0</v>
      </c>
      <c r="M294" s="2" t="s">
        <v>406</v>
      </c>
      <c r="N294" s="2" t="n">
        <f aca="false">IF(E294&gt;0,F294/E294,"")</f>
        <v>3.6</v>
      </c>
      <c r="O294" s="2" t="str">
        <f aca="false">IF(AND(E294&gt;0,L294),J294/E294,"")</f>
        <v/>
      </c>
    </row>
    <row r="295" customFormat="false" ht="15" hidden="false" customHeight="false" outlineLevel="0" collapsed="false">
      <c r="A295" s="2" t="n">
        <v>2020</v>
      </c>
      <c r="B295" s="2" t="s">
        <v>536</v>
      </c>
      <c r="C295" s="2" t="s">
        <v>408</v>
      </c>
      <c r="D295" s="2" t="s">
        <v>117</v>
      </c>
      <c r="E295" s="2" t="n">
        <v>6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11" t="b">
        <f aca="false">FALSE()</f>
        <v>0</v>
      </c>
      <c r="M295" s="2" t="s">
        <v>406</v>
      </c>
      <c r="N295" s="2" t="n">
        <f aca="false">IF(E295&gt;0,F295/E295,"")</f>
        <v>0</v>
      </c>
      <c r="O295" s="2" t="str">
        <f aca="false">IF(AND(E295&gt;0,L295),J295/E295,"")</f>
        <v/>
      </c>
    </row>
    <row r="296" customFormat="false" ht="15" hidden="false" customHeight="false" outlineLevel="0" collapsed="false">
      <c r="A296" s="2" t="n">
        <v>2020</v>
      </c>
      <c r="B296" s="2" t="s">
        <v>239</v>
      </c>
      <c r="C296" s="2" t="s">
        <v>408</v>
      </c>
      <c r="D296" s="2" t="s">
        <v>115</v>
      </c>
      <c r="E296" s="2" t="n">
        <v>6</v>
      </c>
      <c r="F296" s="2" t="n">
        <v>8</v>
      </c>
      <c r="G296" s="2" t="n">
        <v>5</v>
      </c>
      <c r="H296" s="2" t="n">
        <v>3</v>
      </c>
      <c r="I296" s="2" t="n">
        <v>3</v>
      </c>
      <c r="J296" s="2" t="n">
        <v>0</v>
      </c>
      <c r="K296" s="2" t="n">
        <v>0</v>
      </c>
      <c r="L296" s="11" t="b">
        <f aca="false">FALSE()</f>
        <v>0</v>
      </c>
      <c r="M296" s="2" t="s">
        <v>406</v>
      </c>
      <c r="N296" s="2" t="n">
        <f aca="false">IF(E296&gt;0,F296/E296,"")</f>
        <v>1.33333333333333</v>
      </c>
      <c r="O296" s="2" t="str">
        <f aca="false">IF(AND(E296&gt;0,L296),J296/E296,"")</f>
        <v/>
      </c>
    </row>
    <row r="297" customFormat="false" ht="15" hidden="false" customHeight="false" outlineLevel="0" collapsed="false">
      <c r="A297" s="2" t="n">
        <v>2020</v>
      </c>
      <c r="B297" s="2" t="s">
        <v>277</v>
      </c>
      <c r="C297" s="2" t="s">
        <v>420</v>
      </c>
      <c r="D297" s="2" t="s">
        <v>115</v>
      </c>
      <c r="E297" s="2" t="n">
        <v>7</v>
      </c>
      <c r="F297" s="2" t="n">
        <v>4</v>
      </c>
      <c r="G297" s="2" t="n">
        <v>2</v>
      </c>
      <c r="H297" s="2" t="n">
        <v>0</v>
      </c>
      <c r="I297" s="2" t="n">
        <v>0</v>
      </c>
      <c r="J297" s="2" t="n">
        <v>0</v>
      </c>
      <c r="K297" s="2" t="n">
        <v>0</v>
      </c>
      <c r="L297" s="11" t="b">
        <f aca="false">FALSE()</f>
        <v>0</v>
      </c>
      <c r="M297" s="2" t="s">
        <v>406</v>
      </c>
      <c r="N297" s="2" t="n">
        <f aca="false">IF(E297&gt;0,F297/E297,"")</f>
        <v>0.571428571428571</v>
      </c>
      <c r="O297" s="2" t="str">
        <f aca="false">IF(AND(E297&gt;0,L297),J297/E297,"")</f>
        <v/>
      </c>
    </row>
    <row r="298" customFormat="false" ht="15" hidden="false" customHeight="false" outlineLevel="0" collapsed="false">
      <c r="A298" s="2" t="n">
        <v>2020</v>
      </c>
      <c r="B298" s="2" t="s">
        <v>209</v>
      </c>
      <c r="C298" s="2" t="s">
        <v>518</v>
      </c>
      <c r="D298" s="2" t="s">
        <v>115</v>
      </c>
      <c r="E298" s="2" t="n">
        <v>5</v>
      </c>
      <c r="F298" s="2" t="n">
        <v>10</v>
      </c>
      <c r="G298" s="2" t="n">
        <v>5</v>
      </c>
      <c r="H298" s="2" t="n">
        <v>2</v>
      </c>
      <c r="I298" s="2" t="n">
        <v>0</v>
      </c>
      <c r="J298" s="2" t="n">
        <v>0</v>
      </c>
      <c r="K298" s="2" t="n">
        <v>0</v>
      </c>
      <c r="L298" s="11" t="b">
        <f aca="false">FALSE()</f>
        <v>0</v>
      </c>
      <c r="M298" s="2" t="s">
        <v>406</v>
      </c>
      <c r="N298" s="2" t="n">
        <f aca="false">IF(E298&gt;0,F298/E298,"")</f>
        <v>2</v>
      </c>
      <c r="O298" s="2" t="str">
        <f aca="false">IF(AND(E298&gt;0,L298),J298/E298,"")</f>
        <v/>
      </c>
    </row>
    <row r="299" customFormat="false" ht="15" hidden="false" customHeight="false" outlineLevel="0" collapsed="false">
      <c r="A299" s="2" t="n">
        <v>2020</v>
      </c>
      <c r="B299" s="2" t="s">
        <v>482</v>
      </c>
      <c r="C299" s="2" t="s">
        <v>518</v>
      </c>
      <c r="D299" s="2" t="s">
        <v>24</v>
      </c>
      <c r="E299" s="2" t="n">
        <v>5</v>
      </c>
      <c r="F299" s="2" t="n">
        <v>9</v>
      </c>
      <c r="G299" s="2" t="n">
        <v>6</v>
      </c>
      <c r="H299" s="2" t="n">
        <v>0</v>
      </c>
      <c r="I299" s="2" t="n">
        <v>3</v>
      </c>
      <c r="J299" s="2" t="n">
        <v>0</v>
      </c>
      <c r="K299" s="2" t="n">
        <v>0</v>
      </c>
      <c r="L299" s="11" t="b">
        <f aca="false">FALSE()</f>
        <v>0</v>
      </c>
      <c r="M299" s="2" t="s">
        <v>406</v>
      </c>
      <c r="N299" s="2" t="n">
        <f aca="false">IF(E299&gt;0,F299/E299,"")</f>
        <v>1.8</v>
      </c>
      <c r="O299" s="2" t="str">
        <f aca="false">IF(AND(E299&gt;0,L299),J299/E299,"")</f>
        <v/>
      </c>
    </row>
    <row r="300" customFormat="false" ht="15" hidden="false" customHeight="false" outlineLevel="0" collapsed="false">
      <c r="A300" s="2" t="n">
        <v>2020</v>
      </c>
      <c r="B300" s="2" t="s">
        <v>114</v>
      </c>
      <c r="C300" s="2" t="s">
        <v>420</v>
      </c>
      <c r="D300" s="2" t="s">
        <v>115</v>
      </c>
      <c r="E300" s="2" t="n">
        <v>7</v>
      </c>
      <c r="F300" s="2" t="n">
        <v>3</v>
      </c>
      <c r="G300" s="2" t="n">
        <v>2</v>
      </c>
      <c r="H300" s="2" t="n">
        <v>1</v>
      </c>
      <c r="I300" s="2" t="n">
        <v>1</v>
      </c>
      <c r="J300" s="2" t="n">
        <v>0</v>
      </c>
      <c r="K300" s="2" t="n">
        <v>0</v>
      </c>
      <c r="L300" s="11" t="b">
        <f aca="false">FALSE()</f>
        <v>0</v>
      </c>
      <c r="M300" s="2" t="s">
        <v>406</v>
      </c>
      <c r="N300" s="2" t="n">
        <f aca="false">IF(E300&gt;0,F300/E300,"")</f>
        <v>0.428571428571429</v>
      </c>
      <c r="O300" s="2" t="str">
        <f aca="false">IF(AND(E300&gt;0,L300),J300/E300,"")</f>
        <v/>
      </c>
    </row>
    <row r="301" customFormat="false" ht="15" hidden="false" customHeight="false" outlineLevel="0" collapsed="false">
      <c r="A301" s="2" t="n">
        <v>2020</v>
      </c>
      <c r="B301" s="2" t="s">
        <v>165</v>
      </c>
      <c r="C301" s="2" t="s">
        <v>420</v>
      </c>
      <c r="D301" s="2" t="s">
        <v>29</v>
      </c>
      <c r="E301" s="2" t="n">
        <v>7</v>
      </c>
      <c r="F301" s="2" t="n">
        <v>3</v>
      </c>
      <c r="G301" s="2" t="n">
        <v>3</v>
      </c>
      <c r="H301" s="2" t="n">
        <v>3</v>
      </c>
      <c r="I301" s="2" t="n">
        <v>0</v>
      </c>
      <c r="J301" s="2" t="n">
        <v>0</v>
      </c>
      <c r="K301" s="2" t="n">
        <v>0</v>
      </c>
      <c r="L301" s="11" t="b">
        <f aca="false">FALSE()</f>
        <v>0</v>
      </c>
      <c r="M301" s="2" t="s">
        <v>406</v>
      </c>
      <c r="N301" s="2" t="n">
        <f aca="false">IF(E301&gt;0,F301/E301,"")</f>
        <v>0.428571428571429</v>
      </c>
      <c r="O301" s="2" t="str">
        <f aca="false">IF(AND(E301&gt;0,L301),J301/E301,"")</f>
        <v/>
      </c>
    </row>
    <row r="302" customFormat="false" ht="15" hidden="false" customHeight="false" outlineLevel="0" collapsed="false">
      <c r="A302" s="2" t="n">
        <v>2020</v>
      </c>
      <c r="B302" s="2" t="s">
        <v>194</v>
      </c>
      <c r="C302" s="2" t="s">
        <v>412</v>
      </c>
      <c r="D302" s="2" t="s">
        <v>29</v>
      </c>
      <c r="E302" s="2" t="n">
        <v>5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11" t="b">
        <f aca="false">FALSE()</f>
        <v>0</v>
      </c>
      <c r="M302" s="2" t="s">
        <v>406</v>
      </c>
      <c r="N302" s="2" t="n">
        <f aca="false">IF(E302&gt;0,F302/E302,"")</f>
        <v>0</v>
      </c>
      <c r="O302" s="2" t="str">
        <f aca="false">IF(AND(E302&gt;0,L302),J302/E302,"")</f>
        <v/>
      </c>
    </row>
    <row r="303" customFormat="false" ht="15" hidden="false" customHeight="false" outlineLevel="0" collapsed="false">
      <c r="A303" s="2" t="n">
        <v>2020</v>
      </c>
      <c r="B303" s="2" t="s">
        <v>486</v>
      </c>
      <c r="C303" s="2" t="s">
        <v>518</v>
      </c>
      <c r="D303" s="2" t="s">
        <v>117</v>
      </c>
      <c r="E303" s="2" t="n">
        <v>5</v>
      </c>
      <c r="F303" s="2" t="n">
        <v>4</v>
      </c>
      <c r="G303" s="2" t="n">
        <v>3</v>
      </c>
      <c r="H303" s="2" t="n">
        <v>0</v>
      </c>
      <c r="I303" s="2" t="n">
        <v>0</v>
      </c>
      <c r="J303" s="2" t="n">
        <v>0</v>
      </c>
      <c r="K303" s="2" t="n">
        <v>0</v>
      </c>
      <c r="L303" s="11" t="b">
        <f aca="false">FALSE()</f>
        <v>0</v>
      </c>
      <c r="M303" s="2" t="s">
        <v>406</v>
      </c>
      <c r="N303" s="2" t="n">
        <f aca="false">IF(E303&gt;0,F303/E303,"")</f>
        <v>0.8</v>
      </c>
      <c r="O303" s="2" t="str">
        <f aca="false">IF(AND(E303&gt;0,L303),J303/E303,"")</f>
        <v/>
      </c>
    </row>
    <row r="304" customFormat="false" ht="15" hidden="false" customHeight="false" outlineLevel="0" collapsed="false">
      <c r="A304" s="2" t="n">
        <v>2020</v>
      </c>
      <c r="B304" s="2" t="s">
        <v>487</v>
      </c>
      <c r="C304" s="2" t="s">
        <v>420</v>
      </c>
      <c r="D304" s="2" t="s">
        <v>409</v>
      </c>
      <c r="E304" s="2" t="n">
        <v>7</v>
      </c>
      <c r="F304" s="2" t="n">
        <v>3</v>
      </c>
      <c r="G304" s="2" t="n">
        <v>1</v>
      </c>
      <c r="H304" s="2" t="n">
        <v>0</v>
      </c>
      <c r="I304" s="2" t="n">
        <v>0</v>
      </c>
      <c r="J304" s="2" t="n">
        <v>0</v>
      </c>
      <c r="K304" s="2" t="n">
        <v>0</v>
      </c>
      <c r="L304" s="11" t="b">
        <f aca="false">FALSE()</f>
        <v>0</v>
      </c>
      <c r="M304" s="2" t="s">
        <v>410</v>
      </c>
      <c r="N304" s="2" t="n">
        <f aca="false">IF(E304&gt;0,F304/E304,"")</f>
        <v>0.428571428571429</v>
      </c>
      <c r="O304" s="2" t="str">
        <f aca="false">IF(AND(E304&gt;0,L304),J304/E304,"")</f>
        <v/>
      </c>
    </row>
    <row r="305" customFormat="false" ht="15" hidden="false" customHeight="false" outlineLevel="0" collapsed="false">
      <c r="A305" s="2" t="n">
        <v>2020</v>
      </c>
      <c r="B305" s="2" t="s">
        <v>488</v>
      </c>
      <c r="C305" s="2" t="s">
        <v>412</v>
      </c>
      <c r="D305" s="2" t="s">
        <v>117</v>
      </c>
      <c r="E305" s="2" t="n">
        <v>5</v>
      </c>
      <c r="F305" s="2" t="n">
        <v>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11" t="b">
        <f aca="false">FALSE()</f>
        <v>0</v>
      </c>
      <c r="M305" s="2" t="s">
        <v>406</v>
      </c>
      <c r="N305" s="2" t="n">
        <f aca="false">IF(E305&gt;0,F305/E305,"")</f>
        <v>0.2</v>
      </c>
      <c r="O305" s="2" t="str">
        <f aca="false">IF(AND(E305&gt;0,L305),J305/E305,"")</f>
        <v/>
      </c>
    </row>
    <row r="306" customFormat="false" ht="15" hidden="false" customHeight="false" outlineLevel="0" collapsed="false">
      <c r="A306" s="2" t="n">
        <v>2020</v>
      </c>
      <c r="B306" s="2" t="s">
        <v>489</v>
      </c>
      <c r="C306" s="2" t="s">
        <v>412</v>
      </c>
      <c r="D306" s="2" t="s">
        <v>409</v>
      </c>
      <c r="E306" s="2" t="n">
        <v>5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11" t="b">
        <f aca="false">FALSE()</f>
        <v>0</v>
      </c>
      <c r="M306" s="2" t="s">
        <v>410</v>
      </c>
      <c r="N306" s="2" t="n">
        <f aca="false">IF(E306&gt;0,F306/E306,"")</f>
        <v>0</v>
      </c>
      <c r="O306" s="2" t="str">
        <f aca="false">IF(AND(E306&gt;0,L306),J306/E306,"")</f>
        <v/>
      </c>
    </row>
    <row r="307" customFormat="false" ht="15" hidden="false" customHeight="false" outlineLevel="0" collapsed="false">
      <c r="A307" s="2" t="n">
        <v>2020</v>
      </c>
      <c r="B307" s="2" t="s">
        <v>159</v>
      </c>
      <c r="C307" s="2" t="s">
        <v>420</v>
      </c>
      <c r="D307" s="2" t="s">
        <v>117</v>
      </c>
      <c r="E307" s="2" t="n">
        <v>6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11" t="b">
        <f aca="false">FALSE()</f>
        <v>0</v>
      </c>
      <c r="M307" s="2" t="s">
        <v>406</v>
      </c>
      <c r="N307" s="2" t="n">
        <f aca="false">IF(E307&gt;0,F307/E307,"")</f>
        <v>0.166666666666667</v>
      </c>
      <c r="O307" s="2" t="str">
        <f aca="false">IF(AND(E307&gt;0,L307),J307/E307,"")</f>
        <v/>
      </c>
    </row>
    <row r="308" customFormat="false" ht="15" hidden="false" customHeight="false" outlineLevel="0" collapsed="false">
      <c r="A308" s="2" t="n">
        <v>2020</v>
      </c>
      <c r="B308" s="2" t="s">
        <v>264</v>
      </c>
      <c r="C308" s="2" t="s">
        <v>518</v>
      </c>
      <c r="D308" s="2" t="s">
        <v>117</v>
      </c>
      <c r="E308" s="2" t="n">
        <v>5</v>
      </c>
      <c r="F308" s="2" t="n">
        <v>3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11" t="b">
        <f aca="false">FALSE()</f>
        <v>0</v>
      </c>
      <c r="M308" s="2" t="s">
        <v>406</v>
      </c>
      <c r="N308" s="2" t="n">
        <f aca="false">IF(E308&gt;0,F308/E308,"")</f>
        <v>0.6</v>
      </c>
      <c r="O308" s="2" t="str">
        <f aca="false">IF(AND(E308&gt;0,L308),J308/E308,"")</f>
        <v/>
      </c>
    </row>
    <row r="309" customFormat="false" ht="15" hidden="false" customHeight="false" outlineLevel="0" collapsed="false">
      <c r="A309" s="2" t="n">
        <v>2020</v>
      </c>
      <c r="B309" s="2" t="s">
        <v>240</v>
      </c>
      <c r="C309" s="2" t="s">
        <v>418</v>
      </c>
      <c r="D309" s="2" t="s">
        <v>115</v>
      </c>
      <c r="E309" s="2" t="n">
        <v>5</v>
      </c>
      <c r="F309" s="2" t="n">
        <v>4</v>
      </c>
      <c r="G309" s="2" t="n">
        <v>2</v>
      </c>
      <c r="H309" s="2" t="n">
        <v>1</v>
      </c>
      <c r="I309" s="2" t="n">
        <v>1</v>
      </c>
      <c r="J309" s="2" t="n">
        <v>0</v>
      </c>
      <c r="K309" s="2" t="n">
        <v>0</v>
      </c>
      <c r="L309" s="11" t="b">
        <f aca="false">FALSE()</f>
        <v>0</v>
      </c>
      <c r="M309" s="2" t="s">
        <v>406</v>
      </c>
      <c r="N309" s="2" t="n">
        <f aca="false">IF(E309&gt;0,F309/E309,"")</f>
        <v>0.8</v>
      </c>
      <c r="O309" s="2" t="str">
        <f aca="false">IF(AND(E309&gt;0,L309),J309/E309,"")</f>
        <v/>
      </c>
    </row>
    <row r="310" customFormat="false" ht="15" hidden="false" customHeight="false" outlineLevel="0" collapsed="false">
      <c r="A310" s="2" t="n">
        <v>2020</v>
      </c>
      <c r="B310" s="2" t="s">
        <v>491</v>
      </c>
      <c r="C310" s="2" t="s">
        <v>420</v>
      </c>
      <c r="D310" s="2" t="s">
        <v>29</v>
      </c>
      <c r="E310" s="2" t="n">
        <v>7</v>
      </c>
      <c r="F310" s="2" t="n">
        <v>26</v>
      </c>
      <c r="G310" s="2" t="n">
        <v>18</v>
      </c>
      <c r="H310" s="2" t="n">
        <v>7</v>
      </c>
      <c r="I310" s="2" t="n">
        <v>1</v>
      </c>
      <c r="J310" s="2" t="n">
        <v>0</v>
      </c>
      <c r="K310" s="2" t="n">
        <v>0</v>
      </c>
      <c r="L310" s="11" t="b">
        <f aca="false">FALSE()</f>
        <v>0</v>
      </c>
      <c r="M310" s="2" t="s">
        <v>406</v>
      </c>
      <c r="N310" s="2" t="n">
        <f aca="false">IF(E310&gt;0,F310/E310,"")</f>
        <v>3.71428571428571</v>
      </c>
      <c r="O310" s="2" t="str">
        <f aca="false">IF(AND(E310&gt;0,L310),J310/E310,"")</f>
        <v/>
      </c>
    </row>
    <row r="311" customFormat="false" ht="15" hidden="false" customHeight="false" outlineLevel="0" collapsed="false">
      <c r="A311" s="2" t="n">
        <v>2020</v>
      </c>
      <c r="B311" s="2" t="s">
        <v>492</v>
      </c>
      <c r="C311" s="2" t="s">
        <v>408</v>
      </c>
      <c r="D311" s="2" t="s">
        <v>29</v>
      </c>
      <c r="E311" s="2" t="n">
        <v>6</v>
      </c>
      <c r="F311" s="2" t="n">
        <v>9</v>
      </c>
      <c r="G311" s="2" t="n">
        <v>5</v>
      </c>
      <c r="H311" s="2" t="n">
        <v>3</v>
      </c>
      <c r="I311" s="2" t="n">
        <v>3</v>
      </c>
      <c r="J311" s="2" t="n">
        <v>0</v>
      </c>
      <c r="K311" s="2" t="n">
        <v>0</v>
      </c>
      <c r="L311" s="11" t="b">
        <f aca="false">FALSE()</f>
        <v>0</v>
      </c>
      <c r="M311" s="2" t="s">
        <v>406</v>
      </c>
      <c r="N311" s="2" t="n">
        <f aca="false">IF(E311&gt;0,F311/E311,"")</f>
        <v>1.5</v>
      </c>
      <c r="O311" s="2" t="str">
        <f aca="false">IF(AND(E311&gt;0,L311),J311/E311,"")</f>
        <v/>
      </c>
    </row>
    <row r="312" customFormat="false" ht="15" hidden="false" customHeight="false" outlineLevel="0" collapsed="false">
      <c r="A312" s="2" t="n">
        <v>2020</v>
      </c>
      <c r="B312" s="2" t="s">
        <v>493</v>
      </c>
      <c r="C312" s="2" t="s">
        <v>414</v>
      </c>
      <c r="D312" s="2" t="s">
        <v>117</v>
      </c>
      <c r="E312" s="2" t="n">
        <v>6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11" t="b">
        <f aca="false">FALSE()</f>
        <v>0</v>
      </c>
      <c r="M312" s="2" t="s">
        <v>406</v>
      </c>
      <c r="N312" s="2" t="n">
        <f aca="false">IF(E312&gt;0,F312/E312,"")</f>
        <v>0</v>
      </c>
      <c r="O312" s="2" t="str">
        <f aca="false">IF(AND(E312&gt;0,L312),J312/E312,"")</f>
        <v/>
      </c>
    </row>
    <row r="313" customFormat="false" ht="15" hidden="false" customHeight="false" outlineLevel="0" collapsed="false">
      <c r="A313" s="2" t="n">
        <v>2020</v>
      </c>
      <c r="B313" s="2" t="s">
        <v>34</v>
      </c>
      <c r="C313" s="2" t="s">
        <v>408</v>
      </c>
      <c r="D313" s="2" t="s">
        <v>29</v>
      </c>
      <c r="E313" s="2" t="n">
        <v>6</v>
      </c>
      <c r="F313" s="2" t="n">
        <v>29</v>
      </c>
      <c r="G313" s="2" t="n">
        <v>21</v>
      </c>
      <c r="H313" s="2" t="n">
        <v>12</v>
      </c>
      <c r="I313" s="2" t="n">
        <v>4</v>
      </c>
      <c r="J313" s="2" t="n">
        <v>0</v>
      </c>
      <c r="K313" s="2" t="n">
        <v>0</v>
      </c>
      <c r="L313" s="11" t="b">
        <f aca="false">FALSE()</f>
        <v>0</v>
      </c>
      <c r="M313" s="2" t="s">
        <v>406</v>
      </c>
      <c r="N313" s="2" t="n">
        <f aca="false">IF(E313&gt;0,F313/E313,"")</f>
        <v>4.83333333333333</v>
      </c>
      <c r="O313" s="2" t="str">
        <f aca="false">IF(AND(E313&gt;0,L313),J313/E313,"")</f>
        <v/>
      </c>
    </row>
    <row r="314" customFormat="false" ht="15" hidden="false" customHeight="false" outlineLevel="0" collapsed="false">
      <c r="A314" s="2" t="n">
        <v>2020</v>
      </c>
      <c r="B314" s="2" t="s">
        <v>494</v>
      </c>
      <c r="C314" s="2" t="s">
        <v>420</v>
      </c>
      <c r="D314" s="2" t="s">
        <v>29</v>
      </c>
      <c r="E314" s="2" t="n">
        <v>7</v>
      </c>
      <c r="F314" s="2" t="n">
        <v>16</v>
      </c>
      <c r="G314" s="2" t="n">
        <v>11</v>
      </c>
      <c r="H314" s="2" t="n">
        <v>2</v>
      </c>
      <c r="I314" s="2" t="n">
        <v>2</v>
      </c>
      <c r="J314" s="2" t="n">
        <v>0</v>
      </c>
      <c r="K314" s="2" t="n">
        <v>0</v>
      </c>
      <c r="L314" s="11" t="b">
        <f aca="false">FALSE()</f>
        <v>0</v>
      </c>
      <c r="M314" s="2" t="s">
        <v>406</v>
      </c>
      <c r="N314" s="2" t="n">
        <f aca="false">IF(E314&gt;0,F314/E314,"")</f>
        <v>2.28571428571429</v>
      </c>
      <c r="O314" s="2" t="str">
        <f aca="false">IF(AND(E314&gt;0,L314),J314/E314,"")</f>
        <v/>
      </c>
    </row>
    <row r="315" customFormat="false" ht="15" hidden="false" customHeight="false" outlineLevel="0" collapsed="false">
      <c r="A315" s="2" t="n">
        <v>2020</v>
      </c>
      <c r="B315" s="2" t="s">
        <v>285</v>
      </c>
      <c r="C315" s="2" t="s">
        <v>405</v>
      </c>
      <c r="D315" s="2" t="s">
        <v>115</v>
      </c>
      <c r="E315" s="2" t="n">
        <v>6</v>
      </c>
      <c r="F315" s="2" t="n">
        <v>4</v>
      </c>
      <c r="G315" s="2" t="n">
        <v>2</v>
      </c>
      <c r="H315" s="2" t="n">
        <v>0</v>
      </c>
      <c r="I315" s="2" t="n">
        <v>0</v>
      </c>
      <c r="J315" s="2" t="n">
        <v>0</v>
      </c>
      <c r="K315" s="2" t="n">
        <v>0</v>
      </c>
      <c r="L315" s="11" t="b">
        <f aca="false">FALSE()</f>
        <v>0</v>
      </c>
      <c r="M315" s="2" t="s">
        <v>406</v>
      </c>
      <c r="N315" s="2" t="n">
        <f aca="false">IF(E315&gt;0,F315/E315,"")</f>
        <v>0.666666666666667</v>
      </c>
      <c r="O315" s="2" t="str">
        <f aca="false">IF(AND(E315&gt;0,L315),J315/E315,"")</f>
        <v/>
      </c>
    </row>
    <row r="316" customFormat="false" ht="15" hidden="false" customHeight="false" outlineLevel="0" collapsed="false">
      <c r="A316" s="2" t="n">
        <v>2020</v>
      </c>
      <c r="B316" s="2" t="s">
        <v>496</v>
      </c>
      <c r="C316" s="2" t="s">
        <v>414</v>
      </c>
      <c r="D316" s="2" t="s">
        <v>29</v>
      </c>
      <c r="E316" s="2" t="n">
        <v>6</v>
      </c>
      <c r="F316" s="2" t="n">
        <v>4</v>
      </c>
      <c r="G316" s="2" t="n">
        <v>3</v>
      </c>
      <c r="H316" s="2" t="n">
        <v>1</v>
      </c>
      <c r="I316" s="2" t="n">
        <v>0</v>
      </c>
      <c r="J316" s="2" t="n">
        <v>0</v>
      </c>
      <c r="K316" s="2" t="n">
        <v>0</v>
      </c>
      <c r="L316" s="11" t="b">
        <f aca="false">FALSE()</f>
        <v>0</v>
      </c>
      <c r="M316" s="2" t="s">
        <v>406</v>
      </c>
      <c r="N316" s="2" t="n">
        <f aca="false">IF(E316&gt;0,F316/E316,"")</f>
        <v>0.666666666666667</v>
      </c>
      <c r="O316" s="2" t="str">
        <f aca="false">IF(AND(E316&gt;0,L316),J316/E316,"")</f>
        <v/>
      </c>
    </row>
    <row r="317" customFormat="false" ht="15" hidden="false" customHeight="false" outlineLevel="0" collapsed="false">
      <c r="A317" s="2" t="n">
        <v>2020</v>
      </c>
      <c r="B317" s="2" t="s">
        <v>497</v>
      </c>
      <c r="C317" s="2" t="s">
        <v>408</v>
      </c>
      <c r="D317" s="2" t="s">
        <v>115</v>
      </c>
      <c r="E317" s="2" t="n">
        <v>6</v>
      </c>
      <c r="F317" s="2" t="n">
        <v>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11" t="b">
        <f aca="false">FALSE()</f>
        <v>0</v>
      </c>
      <c r="M317" s="2" t="s">
        <v>406</v>
      </c>
      <c r="N317" s="2" t="n">
        <f aca="false">IF(E317&gt;0,F317/E317,"")</f>
        <v>0.166666666666667</v>
      </c>
      <c r="O317" s="2" t="str">
        <f aca="false">IF(AND(E317&gt;0,L317),J317/E317,"")</f>
        <v/>
      </c>
    </row>
    <row r="318" customFormat="false" ht="15" hidden="false" customHeight="false" outlineLevel="0" collapsed="false">
      <c r="A318" s="2" t="n">
        <v>2020</v>
      </c>
      <c r="B318" s="2" t="s">
        <v>498</v>
      </c>
      <c r="C318" s="2" t="s">
        <v>518</v>
      </c>
      <c r="D318" s="2" t="s">
        <v>413</v>
      </c>
      <c r="E318" s="2" t="n">
        <v>5</v>
      </c>
      <c r="F318" s="2" t="n">
        <v>2</v>
      </c>
      <c r="G318" s="2" t="n">
        <v>2</v>
      </c>
      <c r="H318" s="2" t="n">
        <v>2</v>
      </c>
      <c r="I318" s="2" t="n">
        <v>0</v>
      </c>
      <c r="J318" s="2" t="n">
        <v>0</v>
      </c>
      <c r="K318" s="2" t="n">
        <v>0</v>
      </c>
      <c r="L318" s="11" t="b">
        <f aca="false">FALSE()</f>
        <v>0</v>
      </c>
      <c r="M318" s="2" t="s">
        <v>410</v>
      </c>
      <c r="N318" s="2" t="n">
        <f aca="false">IF(E318&gt;0,F318/E318,"")</f>
        <v>0.4</v>
      </c>
      <c r="O318" s="2" t="str">
        <f aca="false">IF(AND(E318&gt;0,L318),J318/E318,"")</f>
        <v/>
      </c>
    </row>
    <row r="319" customFormat="false" ht="15" hidden="false" customHeight="false" outlineLevel="0" collapsed="false">
      <c r="A319" s="2" t="n">
        <v>2020</v>
      </c>
      <c r="B319" s="2" t="s">
        <v>499</v>
      </c>
      <c r="C319" s="2" t="s">
        <v>408</v>
      </c>
      <c r="D319" s="2" t="s">
        <v>29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11" t="b">
        <f aca="false">FALSE()</f>
        <v>0</v>
      </c>
      <c r="M319" s="2" t="s">
        <v>410</v>
      </c>
      <c r="N319" s="2" t="str">
        <f aca="false">IF(E319&gt;0,F319/E319,"")</f>
        <v/>
      </c>
      <c r="O319" s="2" t="str">
        <f aca="false">IF(AND(E319&gt;0,L319),J319/E319,"")</f>
        <v/>
      </c>
    </row>
    <row r="320" customFormat="false" ht="15" hidden="false" customHeight="false" outlineLevel="0" collapsed="false">
      <c r="A320" s="2" t="n">
        <v>2020</v>
      </c>
      <c r="B320" s="2" t="s">
        <v>70</v>
      </c>
      <c r="C320" s="2" t="s">
        <v>414</v>
      </c>
      <c r="D320" s="2" t="s">
        <v>24</v>
      </c>
      <c r="E320" s="2" t="n">
        <v>6</v>
      </c>
      <c r="F320" s="2" t="n">
        <v>29</v>
      </c>
      <c r="G320" s="2" t="n">
        <v>20</v>
      </c>
      <c r="H320" s="2" t="n">
        <v>8</v>
      </c>
      <c r="I320" s="2" t="n">
        <v>7</v>
      </c>
      <c r="J320" s="2" t="n">
        <v>0</v>
      </c>
      <c r="K320" s="2" t="n">
        <v>0</v>
      </c>
      <c r="L320" s="11" t="b">
        <f aca="false">FALSE()</f>
        <v>0</v>
      </c>
      <c r="M320" s="2" t="s">
        <v>406</v>
      </c>
      <c r="N320" s="2" t="n">
        <f aca="false">IF(E320&gt;0,F320/E320,"")</f>
        <v>4.83333333333333</v>
      </c>
      <c r="O320" s="2" t="str">
        <f aca="false">IF(AND(E320&gt;0,L320),J320/E320,"")</f>
        <v/>
      </c>
    </row>
    <row r="321" customFormat="false" ht="15" hidden="false" customHeight="false" outlineLevel="0" collapsed="false">
      <c r="A321" s="2" t="n">
        <v>2020</v>
      </c>
      <c r="B321" s="2" t="s">
        <v>98</v>
      </c>
      <c r="C321" s="2" t="s">
        <v>420</v>
      </c>
      <c r="D321" s="2" t="s">
        <v>29</v>
      </c>
      <c r="E321" s="2" t="n">
        <v>7</v>
      </c>
      <c r="F321" s="2" t="n">
        <v>19</v>
      </c>
      <c r="G321" s="2" t="n">
        <v>12</v>
      </c>
      <c r="H321" s="2" t="n">
        <v>6</v>
      </c>
      <c r="I321" s="2" t="n">
        <v>4</v>
      </c>
      <c r="J321" s="2" t="n">
        <v>0</v>
      </c>
      <c r="K321" s="2" t="n">
        <v>0</v>
      </c>
      <c r="L321" s="11" t="b">
        <f aca="false">FALSE()</f>
        <v>0</v>
      </c>
      <c r="M321" s="2" t="s">
        <v>406</v>
      </c>
      <c r="N321" s="2" t="n">
        <f aca="false">IF(E321&gt;0,F321/E321,"")</f>
        <v>2.71428571428571</v>
      </c>
      <c r="O321" s="2" t="str">
        <f aca="false">IF(AND(E321&gt;0,L321),J321/E321,"")</f>
        <v/>
      </c>
    </row>
    <row r="322" customFormat="false" ht="15" hidden="false" customHeight="false" outlineLevel="0" collapsed="false">
      <c r="A322" s="2" t="n">
        <v>2020</v>
      </c>
      <c r="B322" s="2" t="s">
        <v>537</v>
      </c>
      <c r="C322" s="2" t="s">
        <v>405</v>
      </c>
      <c r="D322" s="2" t="s">
        <v>413</v>
      </c>
      <c r="E322" s="2" t="n">
        <v>6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11" t="b">
        <f aca="false">FALSE()</f>
        <v>0</v>
      </c>
      <c r="M322" s="2" t="s">
        <v>410</v>
      </c>
      <c r="N322" s="2" t="n">
        <f aca="false">IF(E322&gt;0,F322/E322,"")</f>
        <v>0</v>
      </c>
      <c r="O322" s="2" t="str">
        <f aca="false">IF(AND(E322&gt;0,L322),J322/E322,"")</f>
        <v/>
      </c>
    </row>
    <row r="323" customFormat="false" ht="15" hidden="false" customHeight="false" outlineLevel="0" collapsed="false">
      <c r="A323" s="2" t="n">
        <v>2020</v>
      </c>
      <c r="B323" s="2" t="s">
        <v>500</v>
      </c>
      <c r="C323" s="2" t="s">
        <v>518</v>
      </c>
      <c r="D323" s="2" t="s">
        <v>29</v>
      </c>
      <c r="E323" s="2" t="n">
        <v>5</v>
      </c>
      <c r="F323" s="2" t="n">
        <v>26</v>
      </c>
      <c r="G323" s="2" t="n">
        <v>15</v>
      </c>
      <c r="H323" s="2" t="n">
        <v>4</v>
      </c>
      <c r="I323" s="2" t="n">
        <v>0</v>
      </c>
      <c r="J323" s="2" t="n">
        <v>0</v>
      </c>
      <c r="K323" s="2" t="n">
        <v>0</v>
      </c>
      <c r="L323" s="11" t="b">
        <f aca="false">FALSE()</f>
        <v>0</v>
      </c>
      <c r="M323" s="2" t="s">
        <v>406</v>
      </c>
      <c r="N323" s="2" t="n">
        <f aca="false">IF(E323&gt;0,F323/E323,"")</f>
        <v>5.2</v>
      </c>
      <c r="O323" s="2" t="str">
        <f aca="false">IF(AND(E323&gt;0,L323),J323/E323,"")</f>
        <v/>
      </c>
    </row>
    <row r="324" customFormat="false" ht="15" hidden="false" customHeight="false" outlineLevel="0" collapsed="false">
      <c r="A324" s="2" t="n">
        <v>2020</v>
      </c>
      <c r="B324" s="2" t="s">
        <v>260</v>
      </c>
      <c r="C324" s="2" t="s">
        <v>420</v>
      </c>
      <c r="D324" s="2" t="s">
        <v>24</v>
      </c>
      <c r="E324" s="2" t="n">
        <v>7</v>
      </c>
      <c r="F324" s="2" t="n">
        <v>12</v>
      </c>
      <c r="G324" s="2" t="n">
        <v>10</v>
      </c>
      <c r="H324" s="2" t="n">
        <v>5</v>
      </c>
      <c r="I324" s="2" t="n">
        <v>1</v>
      </c>
      <c r="J324" s="2" t="n">
        <v>0</v>
      </c>
      <c r="K324" s="2" t="n">
        <v>0</v>
      </c>
      <c r="L324" s="11" t="b">
        <f aca="false">FALSE()</f>
        <v>0</v>
      </c>
      <c r="M324" s="2" t="s">
        <v>406</v>
      </c>
      <c r="N324" s="2" t="n">
        <f aca="false">IF(E324&gt;0,F324/E324,"")</f>
        <v>1.71428571428571</v>
      </c>
      <c r="O324" s="2" t="str">
        <f aca="false">IF(AND(E324&gt;0,L324),J324/E324,"")</f>
        <v/>
      </c>
    </row>
    <row r="325" customFormat="false" ht="15" hidden="false" customHeight="false" outlineLevel="0" collapsed="false">
      <c r="A325" s="2" t="n">
        <v>2020</v>
      </c>
      <c r="B325" s="2" t="s">
        <v>501</v>
      </c>
      <c r="C325" s="2" t="s">
        <v>414</v>
      </c>
      <c r="D325" s="2" t="s">
        <v>409</v>
      </c>
      <c r="E325" s="2" t="n">
        <v>6</v>
      </c>
      <c r="F325" s="2" t="n">
        <v>1</v>
      </c>
      <c r="G325" s="2" t="n">
        <v>1</v>
      </c>
      <c r="H325" s="2" t="n">
        <v>0</v>
      </c>
      <c r="I325" s="2" t="n">
        <v>0</v>
      </c>
      <c r="J325" s="2" t="n">
        <v>0</v>
      </c>
      <c r="K325" s="2" t="n">
        <v>0</v>
      </c>
      <c r="L325" s="11" t="b">
        <f aca="false">FALSE()</f>
        <v>0</v>
      </c>
      <c r="M325" s="2" t="s">
        <v>410</v>
      </c>
      <c r="N325" s="2" t="n">
        <f aca="false">IF(E325&gt;0,F325/E325,"")</f>
        <v>0.166666666666667</v>
      </c>
      <c r="O325" s="2" t="str">
        <f aca="false">IF(AND(E325&gt;0,L325),J325/E325,"")</f>
        <v/>
      </c>
    </row>
    <row r="326" customFormat="false" ht="15" hidden="false" customHeight="false" outlineLevel="0" collapsed="false">
      <c r="A326" s="2" t="n">
        <v>2020</v>
      </c>
      <c r="B326" s="2" t="s">
        <v>344</v>
      </c>
      <c r="C326" s="2" t="s">
        <v>405</v>
      </c>
      <c r="D326" s="2" t="s">
        <v>117</v>
      </c>
      <c r="E326" s="2" t="n">
        <v>6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11" t="b">
        <f aca="false">FALSE()</f>
        <v>0</v>
      </c>
      <c r="M326" s="2" t="s">
        <v>406</v>
      </c>
      <c r="N326" s="2" t="n">
        <f aca="false">IF(E326&gt;0,F326/E326,"")</f>
        <v>0.166666666666667</v>
      </c>
      <c r="O326" s="2" t="str">
        <f aca="false">IF(AND(E326&gt;0,L326),J326/E326,"")</f>
        <v/>
      </c>
    </row>
    <row r="327" customFormat="false" ht="15" hidden="false" customHeight="false" outlineLevel="0" collapsed="false">
      <c r="A327" s="2" t="n">
        <v>2020</v>
      </c>
      <c r="B327" s="2" t="s">
        <v>380</v>
      </c>
      <c r="C327" s="2" t="s">
        <v>420</v>
      </c>
      <c r="D327" s="2" t="s">
        <v>117</v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11" t="b">
        <f aca="false">FALSE()</f>
        <v>0</v>
      </c>
      <c r="M327" s="2" t="s">
        <v>410</v>
      </c>
      <c r="N327" s="2" t="n">
        <f aca="false">IF(E327&gt;0,F327/E327,"")</f>
        <v>0</v>
      </c>
      <c r="O327" s="2" t="str">
        <f aca="false">IF(AND(E327&gt;0,L327),J327/E327,"")</f>
        <v/>
      </c>
    </row>
    <row r="328" customFormat="false" ht="15" hidden="false" customHeight="false" outlineLevel="0" collapsed="false">
      <c r="A328" s="2" t="n">
        <v>2020</v>
      </c>
      <c r="B328" s="2" t="s">
        <v>502</v>
      </c>
      <c r="C328" s="2" t="s">
        <v>412</v>
      </c>
      <c r="D328" s="2" t="s">
        <v>29</v>
      </c>
      <c r="E328" s="2" t="n">
        <v>5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11" t="b">
        <f aca="false">FALSE()</f>
        <v>0</v>
      </c>
      <c r="M328" s="2" t="s">
        <v>406</v>
      </c>
      <c r="N328" s="2" t="n">
        <f aca="false">IF(E328&gt;0,F328/E328,"")</f>
        <v>0</v>
      </c>
      <c r="O328" s="2" t="str">
        <f aca="false">IF(AND(E328&gt;0,L328),J328/E328,"")</f>
        <v/>
      </c>
    </row>
    <row r="329" customFormat="false" ht="15" hidden="false" customHeight="false" outlineLevel="0" collapsed="false">
      <c r="A329" s="2" t="n">
        <v>2020</v>
      </c>
      <c r="B329" s="2" t="s">
        <v>503</v>
      </c>
      <c r="C329" s="2" t="s">
        <v>420</v>
      </c>
      <c r="D329" s="2" t="s">
        <v>24</v>
      </c>
      <c r="E329" s="2" t="n">
        <v>7</v>
      </c>
      <c r="F329" s="2" t="n">
        <v>11</v>
      </c>
      <c r="G329" s="2" t="n">
        <v>10</v>
      </c>
      <c r="H329" s="2" t="n">
        <v>4</v>
      </c>
      <c r="I329" s="2" t="n">
        <v>1</v>
      </c>
      <c r="J329" s="2" t="n">
        <v>0</v>
      </c>
      <c r="K329" s="2" t="n">
        <v>0</v>
      </c>
      <c r="L329" s="11" t="b">
        <f aca="false">FALSE()</f>
        <v>0</v>
      </c>
      <c r="M329" s="2" t="s">
        <v>406</v>
      </c>
      <c r="N329" s="2" t="n">
        <f aca="false">IF(E329&gt;0,F329/E329,"")</f>
        <v>1.57142857142857</v>
      </c>
      <c r="O329" s="2" t="str">
        <f aca="false">IF(AND(E329&gt;0,L329),J329/E329,"")</f>
        <v/>
      </c>
    </row>
    <row r="330" customFormat="false" ht="15" hidden="false" customHeight="false" outlineLevel="0" collapsed="false">
      <c r="A330" s="2" t="n">
        <v>2020</v>
      </c>
      <c r="B330" s="2" t="s">
        <v>504</v>
      </c>
      <c r="C330" s="2" t="s">
        <v>418</v>
      </c>
      <c r="D330" s="2" t="s">
        <v>24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11" t="b">
        <f aca="false">FALSE()</f>
        <v>0</v>
      </c>
      <c r="M330" s="2" t="s">
        <v>410</v>
      </c>
      <c r="N330" s="2" t="str">
        <f aca="false">IF(E330&gt;0,F330/E330,"")</f>
        <v/>
      </c>
      <c r="O330" s="2" t="str">
        <f aca="false">IF(AND(E330&gt;0,L330),J330/E330,"")</f>
        <v/>
      </c>
    </row>
    <row r="331" customFormat="false" ht="15" hidden="false" customHeight="false" outlineLevel="0" collapsed="false">
      <c r="A331" s="2" t="n">
        <v>2020</v>
      </c>
      <c r="B331" s="2" t="s">
        <v>505</v>
      </c>
      <c r="C331" s="2" t="s">
        <v>412</v>
      </c>
      <c r="D331" s="2" t="s">
        <v>29</v>
      </c>
      <c r="E331" s="2" t="n">
        <v>5</v>
      </c>
      <c r="F331" s="2" t="n">
        <v>2</v>
      </c>
      <c r="G331" s="2" t="n">
        <v>1</v>
      </c>
      <c r="H331" s="2" t="n">
        <v>0</v>
      </c>
      <c r="I331" s="2" t="n">
        <v>1</v>
      </c>
      <c r="J331" s="2" t="n">
        <v>0</v>
      </c>
      <c r="K331" s="2" t="n">
        <v>0</v>
      </c>
      <c r="L331" s="11" t="b">
        <f aca="false">FALSE()</f>
        <v>0</v>
      </c>
      <c r="M331" s="2" t="s">
        <v>406</v>
      </c>
      <c r="N331" s="2" t="n">
        <f aca="false">IF(E331&gt;0,F331/E331,"")</f>
        <v>0.4</v>
      </c>
      <c r="O331" s="2" t="str">
        <f aca="false">IF(AND(E331&gt;0,L331),J331/E331,"")</f>
        <v/>
      </c>
    </row>
    <row r="332" customFormat="false" ht="15" hidden="false" customHeight="false" outlineLevel="0" collapsed="false">
      <c r="A332" s="2" t="n">
        <v>2020</v>
      </c>
      <c r="B332" s="2" t="s">
        <v>508</v>
      </c>
      <c r="C332" s="2" t="s">
        <v>405</v>
      </c>
      <c r="D332" s="2" t="s">
        <v>409</v>
      </c>
      <c r="E332" s="2" t="n">
        <v>6</v>
      </c>
      <c r="F332" s="2" t="n">
        <v>4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11" t="b">
        <f aca="false">FALSE()</f>
        <v>0</v>
      </c>
      <c r="M332" s="2" t="s">
        <v>410</v>
      </c>
      <c r="N332" s="2" t="n">
        <f aca="false">IF(E332&gt;0,F332/E332,"")</f>
        <v>0.666666666666667</v>
      </c>
      <c r="O332" s="2" t="str">
        <f aca="false">IF(AND(E332&gt;0,L332),J332/E332,"")</f>
        <v/>
      </c>
    </row>
    <row r="333" customFormat="false" ht="15" hidden="false" customHeight="false" outlineLevel="0" collapsed="false">
      <c r="A333" s="2" t="n">
        <v>2020</v>
      </c>
      <c r="B333" s="2" t="s">
        <v>538</v>
      </c>
      <c r="C333" s="2" t="s">
        <v>418</v>
      </c>
      <c r="D333" s="2" t="s">
        <v>29</v>
      </c>
      <c r="E333" s="2" t="n">
        <v>5</v>
      </c>
      <c r="F333" s="2" t="n">
        <v>2</v>
      </c>
      <c r="G333" s="2" t="n">
        <v>2</v>
      </c>
      <c r="H333" s="2" t="n">
        <v>0</v>
      </c>
      <c r="I333" s="2" t="n">
        <v>0</v>
      </c>
      <c r="J333" s="2" t="n">
        <v>0</v>
      </c>
      <c r="K333" s="2" t="n">
        <v>0</v>
      </c>
      <c r="L333" s="11" t="b">
        <f aca="false">FALSE()</f>
        <v>0</v>
      </c>
      <c r="M333" s="2" t="s">
        <v>406</v>
      </c>
      <c r="N333" s="2" t="n">
        <f aca="false">IF(E333&gt;0,F333/E333,"")</f>
        <v>0.4</v>
      </c>
      <c r="O333" s="2" t="str">
        <f aca="false">IF(AND(E333&gt;0,L333),J333/E333,"")</f>
        <v/>
      </c>
    </row>
    <row r="334" customFormat="false" ht="15" hidden="false" customHeight="false" outlineLevel="0" collapsed="false">
      <c r="A334" s="2" t="n">
        <v>2020</v>
      </c>
      <c r="B334" s="2" t="s">
        <v>510</v>
      </c>
      <c r="C334" s="2" t="s">
        <v>414</v>
      </c>
      <c r="D334" s="2" t="s">
        <v>29</v>
      </c>
      <c r="E334" s="2" t="n">
        <v>6</v>
      </c>
      <c r="F334" s="2" t="n">
        <v>13</v>
      </c>
      <c r="G334" s="2" t="n">
        <v>5</v>
      </c>
      <c r="H334" s="2" t="n">
        <v>3</v>
      </c>
      <c r="I334" s="2" t="n">
        <v>0</v>
      </c>
      <c r="J334" s="2" t="n">
        <v>0</v>
      </c>
      <c r="K334" s="2" t="n">
        <v>0</v>
      </c>
      <c r="L334" s="11" t="b">
        <f aca="false">FALSE()</f>
        <v>0</v>
      </c>
      <c r="M334" s="2" t="s">
        <v>406</v>
      </c>
      <c r="N334" s="2" t="n">
        <f aca="false">IF(E334&gt;0,F334/E334,"")</f>
        <v>2.16666666666667</v>
      </c>
      <c r="O334" s="2" t="str">
        <f aca="false">IF(AND(E334&gt;0,L334),J334/E334,"")</f>
        <v/>
      </c>
    </row>
    <row r="335" customFormat="false" ht="15" hidden="false" customHeight="false" outlineLevel="0" collapsed="false">
      <c r="A335" s="2" t="n">
        <v>2020</v>
      </c>
      <c r="B335" s="2" t="s">
        <v>511</v>
      </c>
      <c r="C335" s="2" t="s">
        <v>412</v>
      </c>
      <c r="D335" s="2" t="s">
        <v>29</v>
      </c>
      <c r="E335" s="2" t="n">
        <v>5</v>
      </c>
      <c r="F335" s="2" t="n">
        <v>1</v>
      </c>
      <c r="G335" s="2" t="n">
        <v>0</v>
      </c>
      <c r="H335" s="2" t="n">
        <v>0</v>
      </c>
      <c r="I335" s="2" t="n">
        <v>1</v>
      </c>
      <c r="J335" s="2" t="n">
        <v>0</v>
      </c>
      <c r="K335" s="2" t="n">
        <v>0</v>
      </c>
      <c r="L335" s="11" t="b">
        <f aca="false">FALSE()</f>
        <v>0</v>
      </c>
      <c r="M335" s="2" t="s">
        <v>406</v>
      </c>
      <c r="N335" s="2" t="n">
        <f aca="false">IF(E335&gt;0,F335/E335,"")</f>
        <v>0.2</v>
      </c>
      <c r="O335" s="2" t="str">
        <f aca="false">IF(AND(E335&gt;0,L335),J335/E335,"")</f>
        <v/>
      </c>
    </row>
    <row r="336" customFormat="false" ht="15" hidden="false" customHeight="false" outlineLevel="0" collapsed="false">
      <c r="A336" s="2" t="n">
        <v>2020</v>
      </c>
      <c r="B336" s="2" t="s">
        <v>513</v>
      </c>
      <c r="C336" s="2" t="s">
        <v>405</v>
      </c>
      <c r="D336" s="2" t="s">
        <v>409</v>
      </c>
      <c r="E336" s="2" t="n">
        <v>6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11" t="b">
        <f aca="false">FALSE()</f>
        <v>0</v>
      </c>
      <c r="M336" s="2" t="s">
        <v>410</v>
      </c>
      <c r="N336" s="2" t="n">
        <f aca="false">IF(E336&gt;0,F336/E336,"")</f>
        <v>0</v>
      </c>
      <c r="O336" s="2" t="str">
        <f aca="false">IF(AND(E336&gt;0,L336),J336/E336,"")</f>
        <v/>
      </c>
    </row>
    <row r="337" customFormat="false" ht="15" hidden="false" customHeight="false" outlineLevel="0" collapsed="false">
      <c r="A337" s="2" t="n">
        <v>2020</v>
      </c>
      <c r="B337" s="2" t="s">
        <v>514</v>
      </c>
      <c r="C337" s="2" t="s">
        <v>405</v>
      </c>
      <c r="D337" s="2" t="s">
        <v>29</v>
      </c>
      <c r="E337" s="2" t="n">
        <v>6</v>
      </c>
      <c r="F337" s="2" t="n">
        <v>13</v>
      </c>
      <c r="G337" s="2" t="n">
        <v>8</v>
      </c>
      <c r="H337" s="2" t="n">
        <v>3</v>
      </c>
      <c r="I337" s="2" t="n">
        <v>5</v>
      </c>
      <c r="J337" s="2" t="n">
        <v>0</v>
      </c>
      <c r="K337" s="2" t="n">
        <v>0</v>
      </c>
      <c r="L337" s="11" t="b">
        <f aca="false">FALSE()</f>
        <v>0</v>
      </c>
      <c r="M337" s="2" t="s">
        <v>406</v>
      </c>
      <c r="N337" s="2" t="n">
        <f aca="false">IF(E337&gt;0,F337/E337,"")</f>
        <v>2.16666666666667</v>
      </c>
      <c r="O337" s="2" t="str">
        <f aca="false">IF(AND(E337&gt;0,L337),J337/E337,"")</f>
        <v/>
      </c>
    </row>
    <row r="338" customFormat="false" ht="15" hidden="false" customHeight="false" outlineLevel="0" collapsed="false">
      <c r="A338" s="2" t="n">
        <v>2020</v>
      </c>
      <c r="B338" s="2" t="s">
        <v>539</v>
      </c>
      <c r="C338" s="2" t="s">
        <v>420</v>
      </c>
      <c r="D338" s="2" t="s">
        <v>409</v>
      </c>
      <c r="E338" s="2" t="n">
        <v>7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11" t="b">
        <f aca="false">FALSE()</f>
        <v>0</v>
      </c>
      <c r="M338" s="2" t="s">
        <v>410</v>
      </c>
      <c r="N338" s="2" t="n">
        <f aca="false">IF(E338&gt;0,F338/E338,"")</f>
        <v>0</v>
      </c>
      <c r="O338" s="2" t="str">
        <f aca="false">IF(AND(E338&gt;0,L338),J338/E338,"")</f>
        <v/>
      </c>
    </row>
    <row r="339" customFormat="false" ht="15" hidden="false" customHeight="false" outlineLevel="0" collapsed="false">
      <c r="A339" s="2" t="n">
        <v>2020</v>
      </c>
      <c r="B339" s="2" t="s">
        <v>245</v>
      </c>
      <c r="C339" s="2" t="s">
        <v>414</v>
      </c>
      <c r="D339" s="2" t="s">
        <v>29</v>
      </c>
      <c r="E339" s="2" t="n">
        <v>6</v>
      </c>
      <c r="F339" s="2" t="n">
        <v>2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11" t="b">
        <f aca="false">FALSE()</f>
        <v>0</v>
      </c>
      <c r="M339" s="2" t="s">
        <v>406</v>
      </c>
      <c r="N339" s="2" t="n">
        <f aca="false">IF(E339&gt;0,F339/E339,"")</f>
        <v>0.333333333333333</v>
      </c>
      <c r="O339" s="2" t="str">
        <f aca="false">IF(AND(E339&gt;0,L339),J339/E339,"")</f>
        <v/>
      </c>
    </row>
    <row r="340" customFormat="false" ht="15" hidden="false" customHeight="false" outlineLevel="0" collapsed="false">
      <c r="A340" s="2" t="n">
        <v>2020</v>
      </c>
      <c r="B340" s="2" t="s">
        <v>50</v>
      </c>
      <c r="C340" s="2" t="s">
        <v>414</v>
      </c>
      <c r="D340" s="2" t="s">
        <v>24</v>
      </c>
      <c r="E340" s="2" t="n">
        <v>6</v>
      </c>
      <c r="F340" s="2" t="n">
        <v>59</v>
      </c>
      <c r="G340" s="2" t="n">
        <v>37</v>
      </c>
      <c r="H340" s="2" t="n">
        <v>20</v>
      </c>
      <c r="I340" s="2" t="n">
        <v>3</v>
      </c>
      <c r="J340" s="2" t="n">
        <v>0</v>
      </c>
      <c r="K340" s="2" t="n">
        <v>0</v>
      </c>
      <c r="L340" s="11" t="b">
        <f aca="false">FALSE()</f>
        <v>0</v>
      </c>
      <c r="M340" s="2" t="s">
        <v>406</v>
      </c>
      <c r="N340" s="2" t="n">
        <f aca="false">IF(E340&gt;0,F340/E340,"")</f>
        <v>9.83333333333333</v>
      </c>
      <c r="O340" s="2" t="str">
        <f aca="false">IF(AND(E340&gt;0,L340),J340/E340,"")</f>
        <v/>
      </c>
    </row>
    <row r="341" customFormat="false" ht="15" hidden="false" customHeight="false" outlineLevel="0" collapsed="false">
      <c r="A341" s="2" t="n">
        <v>2020</v>
      </c>
      <c r="B341" s="2" t="s">
        <v>540</v>
      </c>
      <c r="C341" s="2" t="s">
        <v>518</v>
      </c>
      <c r="D341" s="2" t="s">
        <v>413</v>
      </c>
      <c r="E341" s="2" t="n">
        <v>5</v>
      </c>
      <c r="F341" s="2" t="n">
        <v>1</v>
      </c>
      <c r="G341" s="2" t="n">
        <v>1</v>
      </c>
      <c r="H341" s="2" t="n">
        <v>0</v>
      </c>
      <c r="I341" s="2" t="n">
        <v>1</v>
      </c>
      <c r="J341" s="2" t="n">
        <v>0</v>
      </c>
      <c r="K341" s="2" t="n">
        <v>0</v>
      </c>
      <c r="L341" s="11" t="b">
        <f aca="false">FALSE()</f>
        <v>0</v>
      </c>
      <c r="M341" s="2" t="s">
        <v>410</v>
      </c>
      <c r="N341" s="2" t="n">
        <f aca="false">IF(E341&gt;0,F341/E341,"")</f>
        <v>0.2</v>
      </c>
      <c r="O341" s="2" t="str">
        <f aca="false">IF(AND(E341&gt;0,L341),J341/E341,"")</f>
        <v/>
      </c>
    </row>
    <row r="342" customFormat="false" ht="15" hidden="false" customHeight="false" outlineLevel="0" collapsed="false">
      <c r="A342" s="2" t="n">
        <v>2020</v>
      </c>
      <c r="B342" s="2" t="s">
        <v>516</v>
      </c>
      <c r="C342" s="2" t="s">
        <v>418</v>
      </c>
      <c r="D342" s="2" t="s">
        <v>24</v>
      </c>
      <c r="E342" s="2" t="n">
        <v>5</v>
      </c>
      <c r="F342" s="2" t="n">
        <v>32</v>
      </c>
      <c r="G342" s="2" t="n">
        <v>20</v>
      </c>
      <c r="H342" s="2" t="n">
        <v>10</v>
      </c>
      <c r="I342" s="2" t="n">
        <v>8</v>
      </c>
      <c r="J342" s="2" t="n">
        <v>0</v>
      </c>
      <c r="K342" s="2" t="n">
        <v>0</v>
      </c>
      <c r="L342" s="11" t="b">
        <f aca="false">FALSE()</f>
        <v>0</v>
      </c>
      <c r="M342" s="2" t="s">
        <v>406</v>
      </c>
      <c r="N342" s="2" t="n">
        <f aca="false">IF(E342&gt;0,F342/E342,"")</f>
        <v>6.4</v>
      </c>
      <c r="O342" s="2" t="str">
        <f aca="false">IF(AND(E342&gt;0,L342),J342/E342,"")</f>
        <v/>
      </c>
    </row>
    <row r="343" customFormat="false" ht="15" hidden="false" customHeight="false" outlineLevel="0" collapsed="false">
      <c r="A343" s="2" t="n">
        <v>2020</v>
      </c>
      <c r="B343" s="2" t="s">
        <v>198</v>
      </c>
      <c r="C343" s="2" t="s">
        <v>414</v>
      </c>
      <c r="D343" s="2" t="s">
        <v>117</v>
      </c>
      <c r="E343" s="2" t="n">
        <v>6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11" t="b">
        <f aca="false">FALSE()</f>
        <v>0</v>
      </c>
      <c r="M343" s="2" t="s">
        <v>406</v>
      </c>
      <c r="N343" s="2" t="n">
        <f aca="false">IF(E343&gt;0,F343/E343,"")</f>
        <v>0.166666666666667</v>
      </c>
      <c r="O343" s="2" t="str">
        <f aca="false">IF(AND(E343&gt;0,L343),J343/E343,"")</f>
        <v/>
      </c>
    </row>
    <row r="344" customFormat="false" ht="15" hidden="false" customHeight="false" outlineLevel="0" collapsed="false">
      <c r="A344" s="2" t="n">
        <v>2020</v>
      </c>
      <c r="B344" s="2" t="s">
        <v>148</v>
      </c>
      <c r="C344" s="2" t="s">
        <v>412</v>
      </c>
      <c r="D344" s="2" t="s">
        <v>117</v>
      </c>
      <c r="E344" s="2" t="n">
        <v>5</v>
      </c>
      <c r="F344" s="2" t="n">
        <v>4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11" t="b">
        <f aca="false">FALSE()</f>
        <v>0</v>
      </c>
      <c r="M344" s="2" t="s">
        <v>406</v>
      </c>
      <c r="N344" s="2" t="n">
        <f aca="false">IF(E344&gt;0,F344/E344,"")</f>
        <v>0.8</v>
      </c>
      <c r="O344" s="2" t="str">
        <f aca="false">IF(AND(E344&gt;0,L344),J344/E344,"")</f>
        <v/>
      </c>
    </row>
    <row r="345" customFormat="false" ht="15" hidden="false" customHeight="false" outlineLevel="0" collapsed="false">
      <c r="A345" s="2" t="n">
        <v>2021</v>
      </c>
      <c r="B345" s="2" t="s">
        <v>284</v>
      </c>
      <c r="C345" s="2" t="s">
        <v>414</v>
      </c>
      <c r="D345" s="2" t="s">
        <v>83</v>
      </c>
      <c r="E345" s="2" t="n">
        <v>8</v>
      </c>
      <c r="F345" s="2" t="n">
        <v>6</v>
      </c>
      <c r="G345" s="2" t="n">
        <v>4</v>
      </c>
      <c r="H345" s="2" t="n">
        <v>1</v>
      </c>
      <c r="I345" s="2" t="n">
        <v>1</v>
      </c>
      <c r="J345" s="2" t="n">
        <v>0</v>
      </c>
      <c r="K345" s="2" t="n">
        <v>0</v>
      </c>
      <c r="L345" s="11" t="b">
        <f aca="false">FALSE()</f>
        <v>0</v>
      </c>
      <c r="M345" s="2" t="s">
        <v>406</v>
      </c>
      <c r="N345" s="2" t="n">
        <f aca="false">IF(E345&gt;0,F345/E345,"")</f>
        <v>0.75</v>
      </c>
      <c r="O345" s="2" t="str">
        <f aca="false">IF(AND(E345&gt;0,L345),J345/E345,"")</f>
        <v/>
      </c>
    </row>
    <row r="346" customFormat="false" ht="15" hidden="false" customHeight="false" outlineLevel="0" collapsed="false">
      <c r="A346" s="2" t="n">
        <v>2021</v>
      </c>
      <c r="B346" s="2" t="s">
        <v>349</v>
      </c>
      <c r="C346" s="2" t="s">
        <v>412</v>
      </c>
      <c r="D346" s="2" t="s">
        <v>29</v>
      </c>
      <c r="E346" s="2" t="n">
        <v>6</v>
      </c>
      <c r="F346" s="2" t="n">
        <v>11</v>
      </c>
      <c r="G346" s="2" t="n">
        <v>6</v>
      </c>
      <c r="H346" s="2" t="n">
        <v>1</v>
      </c>
      <c r="I346" s="2" t="n">
        <v>3</v>
      </c>
      <c r="J346" s="2" t="n">
        <v>0</v>
      </c>
      <c r="K346" s="2" t="n">
        <v>0</v>
      </c>
      <c r="L346" s="11" t="b">
        <f aca="false">FALSE()</f>
        <v>0</v>
      </c>
      <c r="M346" s="2" t="s">
        <v>406</v>
      </c>
      <c r="N346" s="2" t="n">
        <f aca="false">IF(E346&gt;0,F346/E346,"")</f>
        <v>1.83333333333333</v>
      </c>
      <c r="O346" s="2" t="str">
        <f aca="false">IF(AND(E346&gt;0,L346),J346/E346,"")</f>
        <v/>
      </c>
    </row>
    <row r="347" customFormat="false" ht="15" hidden="false" customHeight="false" outlineLevel="0" collapsed="false">
      <c r="A347" s="2" t="n">
        <v>2021</v>
      </c>
      <c r="B347" s="2" t="s">
        <v>407</v>
      </c>
      <c r="C347" s="2" t="s">
        <v>408</v>
      </c>
      <c r="D347" s="2" t="s">
        <v>409</v>
      </c>
      <c r="E347" s="2" t="n">
        <v>9</v>
      </c>
      <c r="F347" s="2" t="n">
        <v>1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11" t="b">
        <f aca="false">FALSE()</f>
        <v>0</v>
      </c>
      <c r="M347" s="2" t="s">
        <v>410</v>
      </c>
      <c r="N347" s="2" t="n">
        <f aca="false">IF(E347&gt;0,F347/E347,"")</f>
        <v>0.111111111111111</v>
      </c>
      <c r="O347" s="2" t="str">
        <f aca="false">IF(AND(E347&gt;0,L347),J347/E347,"")</f>
        <v/>
      </c>
    </row>
    <row r="348" customFormat="false" ht="15" hidden="false" customHeight="false" outlineLevel="0" collapsed="false">
      <c r="A348" s="2" t="n">
        <v>2021</v>
      </c>
      <c r="B348" s="2" t="s">
        <v>541</v>
      </c>
      <c r="C348" s="2" t="s">
        <v>420</v>
      </c>
      <c r="D348" s="2" t="s">
        <v>413</v>
      </c>
      <c r="E348" s="2" t="n">
        <v>7</v>
      </c>
      <c r="F348" s="2" t="n">
        <v>4</v>
      </c>
      <c r="G348" s="2" t="n">
        <v>3</v>
      </c>
      <c r="H348" s="2" t="n">
        <v>1</v>
      </c>
      <c r="I348" s="2" t="n">
        <v>2</v>
      </c>
      <c r="J348" s="2" t="n">
        <v>0</v>
      </c>
      <c r="K348" s="2" t="n">
        <v>0</v>
      </c>
      <c r="L348" s="11" t="b">
        <f aca="false">FALSE()</f>
        <v>0</v>
      </c>
      <c r="M348" s="2" t="s">
        <v>410</v>
      </c>
      <c r="N348" s="2" t="n">
        <f aca="false">IF(E348&gt;0,F348/E348,"")</f>
        <v>0.571428571428571</v>
      </c>
      <c r="O348" s="2" t="str">
        <f aca="false">IF(AND(E348&gt;0,L348),J348/E348,"")</f>
        <v/>
      </c>
    </row>
    <row r="349" customFormat="false" ht="15" hidden="false" customHeight="false" outlineLevel="0" collapsed="false">
      <c r="A349" s="2" t="n">
        <v>2021</v>
      </c>
      <c r="B349" s="2" t="s">
        <v>102</v>
      </c>
      <c r="C349" s="2" t="s">
        <v>412</v>
      </c>
      <c r="D349" s="2" t="s">
        <v>29</v>
      </c>
      <c r="E349" s="2" t="n">
        <v>5</v>
      </c>
      <c r="F349" s="2" t="n">
        <v>14</v>
      </c>
      <c r="G349" s="2" t="n">
        <v>11</v>
      </c>
      <c r="H349" s="2" t="n">
        <v>4</v>
      </c>
      <c r="I349" s="2" t="n">
        <v>2</v>
      </c>
      <c r="J349" s="2" t="n">
        <v>0</v>
      </c>
      <c r="K349" s="2" t="n">
        <v>0</v>
      </c>
      <c r="L349" s="11" t="b">
        <f aca="false">FALSE()</f>
        <v>0</v>
      </c>
      <c r="M349" s="2" t="s">
        <v>406</v>
      </c>
      <c r="N349" s="2" t="n">
        <f aca="false">IF(E349&gt;0,F349/E349,"")</f>
        <v>2.8</v>
      </c>
      <c r="O349" s="2" t="str">
        <f aca="false">IF(AND(E349&gt;0,L349),J349/E349,"")</f>
        <v/>
      </c>
    </row>
    <row r="350" customFormat="false" ht="15" hidden="false" customHeight="false" outlineLevel="0" collapsed="false">
      <c r="A350" s="2" t="n">
        <v>2021</v>
      </c>
      <c r="B350" s="2" t="s">
        <v>292</v>
      </c>
      <c r="C350" s="2" t="s">
        <v>408</v>
      </c>
      <c r="D350" s="2" t="s">
        <v>83</v>
      </c>
      <c r="E350" s="2" t="n">
        <v>9</v>
      </c>
      <c r="F350" s="2" t="n">
        <v>2</v>
      </c>
      <c r="G350" s="2" t="n">
        <v>2</v>
      </c>
      <c r="H350" s="2" t="n">
        <v>2</v>
      </c>
      <c r="I350" s="2" t="n">
        <v>1</v>
      </c>
      <c r="J350" s="2" t="n">
        <v>0</v>
      </c>
      <c r="K350" s="2" t="n">
        <v>0</v>
      </c>
      <c r="L350" s="11" t="b">
        <f aca="false">FALSE()</f>
        <v>0</v>
      </c>
      <c r="M350" s="2" t="s">
        <v>406</v>
      </c>
      <c r="N350" s="2" t="n">
        <f aca="false">IF(E350&gt;0,F350/E350,"")</f>
        <v>0.222222222222222</v>
      </c>
      <c r="O350" s="2" t="str">
        <f aca="false">IF(AND(E350&gt;0,L350),J350/E350,"")</f>
        <v/>
      </c>
    </row>
    <row r="351" customFormat="false" ht="15" hidden="false" customHeight="false" outlineLevel="0" collapsed="false">
      <c r="A351" s="2" t="n">
        <v>2021</v>
      </c>
      <c r="B351" s="2" t="s">
        <v>52</v>
      </c>
      <c r="C351" s="2" t="s">
        <v>408</v>
      </c>
      <c r="D351" s="2" t="s">
        <v>29</v>
      </c>
      <c r="E351" s="2" t="n">
        <v>9</v>
      </c>
      <c r="F351" s="2" t="n">
        <v>37</v>
      </c>
      <c r="G351" s="2" t="n">
        <v>21</v>
      </c>
      <c r="H351" s="2" t="n">
        <v>13</v>
      </c>
      <c r="I351" s="2" t="n">
        <v>2</v>
      </c>
      <c r="J351" s="2" t="n">
        <v>0</v>
      </c>
      <c r="K351" s="2" t="n">
        <v>0</v>
      </c>
      <c r="L351" s="11" t="b">
        <f aca="false">FALSE()</f>
        <v>0</v>
      </c>
      <c r="M351" s="2" t="s">
        <v>406</v>
      </c>
      <c r="N351" s="2" t="n">
        <f aca="false">IF(E351&gt;0,F351/E351,"")</f>
        <v>4.11111111111111</v>
      </c>
      <c r="O351" s="2" t="str">
        <f aca="false">IF(AND(E351&gt;0,L351),J351/E351,"")</f>
        <v/>
      </c>
    </row>
    <row r="352" customFormat="false" ht="15" hidden="false" customHeight="false" outlineLevel="0" collapsed="false">
      <c r="A352" s="2" t="n">
        <v>2021</v>
      </c>
      <c r="B352" s="2" t="s">
        <v>54</v>
      </c>
      <c r="C352" s="2" t="s">
        <v>408</v>
      </c>
      <c r="D352" s="2" t="s">
        <v>24</v>
      </c>
      <c r="E352" s="2" t="n">
        <v>9</v>
      </c>
      <c r="F352" s="2" t="n">
        <v>39</v>
      </c>
      <c r="G352" s="2" t="n">
        <v>28</v>
      </c>
      <c r="H352" s="2" t="n">
        <v>13</v>
      </c>
      <c r="I352" s="2" t="n">
        <v>22</v>
      </c>
      <c r="J352" s="2" t="n">
        <v>0</v>
      </c>
      <c r="K352" s="2" t="n">
        <v>0</v>
      </c>
      <c r="L352" s="11" t="b">
        <f aca="false">FALSE()</f>
        <v>0</v>
      </c>
      <c r="M352" s="2" t="s">
        <v>406</v>
      </c>
      <c r="N352" s="2" t="n">
        <f aca="false">IF(E352&gt;0,F352/E352,"")</f>
        <v>4.33333333333333</v>
      </c>
      <c r="O352" s="2" t="str">
        <f aca="false">IF(AND(E352&gt;0,L352),J352/E352,"")</f>
        <v/>
      </c>
    </row>
    <row r="353" customFormat="false" ht="15" hidden="false" customHeight="false" outlineLevel="0" collapsed="false">
      <c r="A353" s="2" t="n">
        <v>2021</v>
      </c>
      <c r="B353" s="2" t="s">
        <v>49</v>
      </c>
      <c r="C353" s="2" t="s">
        <v>418</v>
      </c>
      <c r="D353" s="2" t="s">
        <v>29</v>
      </c>
      <c r="E353" s="2" t="n">
        <v>9</v>
      </c>
      <c r="F353" s="2" t="n">
        <v>27</v>
      </c>
      <c r="G353" s="2" t="n">
        <v>19</v>
      </c>
      <c r="H353" s="2" t="n">
        <v>5</v>
      </c>
      <c r="I353" s="2" t="n">
        <v>4</v>
      </c>
      <c r="J353" s="2" t="n">
        <v>0</v>
      </c>
      <c r="K353" s="2" t="n">
        <v>0</v>
      </c>
      <c r="L353" s="11" t="b">
        <f aca="false">FALSE()</f>
        <v>0</v>
      </c>
      <c r="M353" s="2" t="s">
        <v>406</v>
      </c>
      <c r="N353" s="2" t="n">
        <f aca="false">IF(E353&gt;0,F353/E353,"")</f>
        <v>3</v>
      </c>
      <c r="O353" s="2" t="str">
        <f aca="false">IF(AND(E353&gt;0,L353),J353/E353,"")</f>
        <v/>
      </c>
    </row>
    <row r="354" customFormat="false" ht="15" hidden="false" customHeight="false" outlineLevel="0" collapsed="false">
      <c r="A354" s="2" t="n">
        <v>2021</v>
      </c>
      <c r="B354" s="2" t="s">
        <v>542</v>
      </c>
      <c r="C354" s="2" t="s">
        <v>543</v>
      </c>
      <c r="D354" s="2" t="s">
        <v>83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11" t="b">
        <f aca="false">FALSE()</f>
        <v>0</v>
      </c>
      <c r="M354" s="2" t="s">
        <v>410</v>
      </c>
      <c r="N354" s="2" t="str">
        <f aca="false">IF(E354&gt;0,F354/E354,"")</f>
        <v/>
      </c>
      <c r="O354" s="2" t="str">
        <f aca="false">IF(AND(E354&gt;0,L354),J354/E354,"")</f>
        <v/>
      </c>
    </row>
    <row r="355" customFormat="false" ht="15" hidden="false" customHeight="false" outlineLevel="0" collapsed="false">
      <c r="A355" s="2" t="n">
        <v>2021</v>
      </c>
      <c r="B355" s="2" t="s">
        <v>544</v>
      </c>
      <c r="C355" s="2" t="s">
        <v>412</v>
      </c>
      <c r="D355" s="2" t="s">
        <v>413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11" t="b">
        <f aca="false">FALSE()</f>
        <v>0</v>
      </c>
      <c r="M355" s="2" t="s">
        <v>410</v>
      </c>
      <c r="N355" s="2" t="str">
        <f aca="false">IF(E355&gt;0,F355/E355,"")</f>
        <v/>
      </c>
      <c r="O355" s="2" t="str">
        <f aca="false">IF(AND(E355&gt;0,L355),J355/E355,"")</f>
        <v/>
      </c>
    </row>
    <row r="356" customFormat="false" ht="15" hidden="false" customHeight="false" outlineLevel="0" collapsed="false">
      <c r="A356" s="2" t="n">
        <v>2021</v>
      </c>
      <c r="B356" s="2" t="s">
        <v>75</v>
      </c>
      <c r="C356" s="2" t="s">
        <v>414</v>
      </c>
      <c r="D356" s="2" t="s">
        <v>24</v>
      </c>
      <c r="E356" s="2" t="n">
        <v>6</v>
      </c>
      <c r="F356" s="2" t="n">
        <v>19</v>
      </c>
      <c r="G356" s="2" t="n">
        <v>12</v>
      </c>
      <c r="H356" s="2" t="n">
        <v>5</v>
      </c>
      <c r="I356" s="2" t="n">
        <v>1</v>
      </c>
      <c r="J356" s="2" t="n">
        <v>0</v>
      </c>
      <c r="K356" s="2" t="n">
        <v>0</v>
      </c>
      <c r="L356" s="11" t="b">
        <f aca="false">FALSE()</f>
        <v>0</v>
      </c>
      <c r="M356" s="2" t="s">
        <v>406</v>
      </c>
      <c r="N356" s="2" t="n">
        <f aca="false">IF(E356&gt;0,F356/E356,"")</f>
        <v>3.16666666666667</v>
      </c>
      <c r="O356" s="2" t="str">
        <f aca="false">IF(AND(E356&gt;0,L356),J356/E356,"")</f>
        <v/>
      </c>
    </row>
    <row r="357" customFormat="false" ht="15" hidden="false" customHeight="false" outlineLevel="0" collapsed="false">
      <c r="A357" s="2" t="n">
        <v>2021</v>
      </c>
      <c r="B357" s="2" t="s">
        <v>411</v>
      </c>
      <c r="C357" s="2" t="s">
        <v>412</v>
      </c>
      <c r="D357" s="2" t="s">
        <v>413</v>
      </c>
      <c r="E357" s="2" t="n">
        <v>9</v>
      </c>
      <c r="F357" s="2" t="n">
        <v>13</v>
      </c>
      <c r="G357" s="2" t="n">
        <v>9</v>
      </c>
      <c r="H357" s="2" t="n">
        <v>4</v>
      </c>
      <c r="I357" s="2" t="n">
        <v>2</v>
      </c>
      <c r="J357" s="2" t="n">
        <v>0</v>
      </c>
      <c r="K357" s="2" t="n">
        <v>0</v>
      </c>
      <c r="L357" s="11" t="b">
        <f aca="false">FALSE()</f>
        <v>0</v>
      </c>
      <c r="M357" s="2" t="s">
        <v>410</v>
      </c>
      <c r="N357" s="2" t="n">
        <f aca="false">IF(E357&gt;0,F357/E357,"")</f>
        <v>1.44444444444444</v>
      </c>
      <c r="O357" s="2" t="str">
        <f aca="false">IF(AND(E357&gt;0,L357),J357/E357,"")</f>
        <v/>
      </c>
    </row>
    <row r="358" customFormat="false" ht="15" hidden="false" customHeight="false" outlineLevel="0" collapsed="false">
      <c r="A358" s="2" t="n">
        <v>2021</v>
      </c>
      <c r="B358" s="2" t="s">
        <v>377</v>
      </c>
      <c r="C358" s="2" t="s">
        <v>418</v>
      </c>
      <c r="D358" s="2" t="s">
        <v>117</v>
      </c>
      <c r="E358" s="2" t="n">
        <v>9</v>
      </c>
      <c r="F358" s="2" t="n">
        <v>0</v>
      </c>
      <c r="G358" s="2" t="n">
        <v>0</v>
      </c>
      <c r="H358" s="2" t="n">
        <v>0</v>
      </c>
      <c r="I358" s="2" t="n">
        <v>1</v>
      </c>
      <c r="J358" s="2" t="n">
        <v>0</v>
      </c>
      <c r="K358" s="2" t="n">
        <v>0</v>
      </c>
      <c r="L358" s="11" t="b">
        <f aca="false">FALSE()</f>
        <v>0</v>
      </c>
      <c r="M358" s="2" t="s">
        <v>406</v>
      </c>
      <c r="N358" s="2" t="n">
        <f aca="false">IF(E358&gt;0,F358/E358,"")</f>
        <v>0</v>
      </c>
      <c r="O358" s="2" t="str">
        <f aca="false">IF(AND(E358&gt;0,L358),J358/E358,"")</f>
        <v/>
      </c>
    </row>
    <row r="359" customFormat="false" ht="15" hidden="false" customHeight="false" outlineLevel="0" collapsed="false">
      <c r="A359" s="2" t="n">
        <v>2021</v>
      </c>
      <c r="B359" s="2" t="s">
        <v>298</v>
      </c>
      <c r="C359" s="2" t="s">
        <v>545</v>
      </c>
      <c r="D359" s="2" t="s">
        <v>83</v>
      </c>
      <c r="E359" s="2" t="n">
        <v>9</v>
      </c>
      <c r="F359" s="2" t="n">
        <v>5</v>
      </c>
      <c r="G359" s="2" t="n">
        <v>3</v>
      </c>
      <c r="H359" s="2" t="n">
        <v>2</v>
      </c>
      <c r="I359" s="2" t="n">
        <v>4</v>
      </c>
      <c r="J359" s="2" t="n">
        <v>0</v>
      </c>
      <c r="K359" s="2" t="n">
        <v>0</v>
      </c>
      <c r="L359" s="11" t="b">
        <f aca="false">FALSE()</f>
        <v>0</v>
      </c>
      <c r="M359" s="2" t="s">
        <v>406</v>
      </c>
      <c r="N359" s="2" t="n">
        <f aca="false">IF(E359&gt;0,F359/E359,"")</f>
        <v>0.555555555555556</v>
      </c>
      <c r="O359" s="2" t="str">
        <f aca="false">IF(AND(E359&gt;0,L359),J359/E359,"")</f>
        <v/>
      </c>
    </row>
    <row r="360" customFormat="false" ht="15" hidden="false" customHeight="false" outlineLevel="0" collapsed="false">
      <c r="A360" s="2" t="n">
        <v>2021</v>
      </c>
      <c r="B360" s="2" t="s">
        <v>104</v>
      </c>
      <c r="C360" s="2" t="s">
        <v>420</v>
      </c>
      <c r="D360" s="2" t="s">
        <v>24</v>
      </c>
      <c r="E360" s="2" t="n">
        <v>5</v>
      </c>
      <c r="F360" s="2" t="n">
        <v>11</v>
      </c>
      <c r="G360" s="2" t="n">
        <v>7</v>
      </c>
      <c r="H360" s="2" t="n">
        <v>5</v>
      </c>
      <c r="I360" s="2" t="n">
        <v>2</v>
      </c>
      <c r="J360" s="2" t="n">
        <v>0</v>
      </c>
      <c r="K360" s="2" t="n">
        <v>0</v>
      </c>
      <c r="L360" s="11" t="b">
        <f aca="false">FALSE()</f>
        <v>0</v>
      </c>
      <c r="M360" s="2" t="s">
        <v>406</v>
      </c>
      <c r="N360" s="2" t="n">
        <f aca="false">IF(E360&gt;0,F360/E360,"")</f>
        <v>2.2</v>
      </c>
      <c r="O360" s="2" t="str">
        <f aca="false">IF(AND(E360&gt;0,L360),J360/E360,"")</f>
        <v/>
      </c>
    </row>
    <row r="361" customFormat="false" ht="15" hidden="false" customHeight="false" outlineLevel="0" collapsed="false">
      <c r="A361" s="2" t="n">
        <v>2021</v>
      </c>
      <c r="B361" s="2" t="s">
        <v>179</v>
      </c>
      <c r="C361" s="2" t="s">
        <v>414</v>
      </c>
      <c r="D361" s="2" t="s">
        <v>83</v>
      </c>
      <c r="E361" s="2" t="n">
        <v>9</v>
      </c>
      <c r="F361" s="2" t="n">
        <v>5</v>
      </c>
      <c r="G361" s="2" t="n">
        <v>2</v>
      </c>
      <c r="H361" s="2" t="n">
        <v>1</v>
      </c>
      <c r="I361" s="2" t="n">
        <v>0</v>
      </c>
      <c r="J361" s="2" t="n">
        <v>0</v>
      </c>
      <c r="K361" s="2" t="n">
        <v>0</v>
      </c>
      <c r="L361" s="11" t="b">
        <f aca="false">FALSE()</f>
        <v>0</v>
      </c>
      <c r="M361" s="2" t="s">
        <v>406</v>
      </c>
      <c r="N361" s="2" t="n">
        <f aca="false">IF(E361&gt;0,F361/E361,"")</f>
        <v>0.555555555555556</v>
      </c>
      <c r="O361" s="2" t="str">
        <f aca="false">IF(AND(E361&gt;0,L361),J361/E361,"")</f>
        <v/>
      </c>
    </row>
    <row r="362" customFormat="false" ht="15" hidden="false" customHeight="false" outlineLevel="0" collapsed="false">
      <c r="A362" s="2" t="n">
        <v>2021</v>
      </c>
      <c r="B362" s="2" t="s">
        <v>161</v>
      </c>
      <c r="C362" s="2" t="s">
        <v>418</v>
      </c>
      <c r="D362" s="2" t="s">
        <v>117</v>
      </c>
      <c r="E362" s="2" t="n">
        <v>3</v>
      </c>
      <c r="F362" s="2" t="n">
        <v>0</v>
      </c>
      <c r="G362" s="2" t="n">
        <v>0</v>
      </c>
      <c r="H362" s="2" t="n">
        <v>0</v>
      </c>
      <c r="I362" s="2" t="n">
        <v>1</v>
      </c>
      <c r="J362" s="2" t="n">
        <v>0</v>
      </c>
      <c r="K362" s="2" t="n">
        <v>0</v>
      </c>
      <c r="L362" s="11" t="b">
        <f aca="false">FALSE()</f>
        <v>0</v>
      </c>
      <c r="M362" s="2" t="s">
        <v>406</v>
      </c>
      <c r="N362" s="2" t="n">
        <f aca="false">IF(E362&gt;0,F362/E362,"")</f>
        <v>0</v>
      </c>
      <c r="O362" s="2" t="str">
        <f aca="false">IF(AND(E362&gt;0,L362),J362/E362,"")</f>
        <v/>
      </c>
    </row>
    <row r="363" customFormat="false" ht="15" hidden="false" customHeight="false" outlineLevel="0" collapsed="false">
      <c r="A363" s="2" t="n">
        <v>2021</v>
      </c>
      <c r="B363" s="2" t="s">
        <v>416</v>
      </c>
      <c r="C363" s="2" t="s">
        <v>414</v>
      </c>
      <c r="D363" s="2" t="s">
        <v>409</v>
      </c>
      <c r="E363" s="2" t="n">
        <v>9</v>
      </c>
      <c r="F363" s="2" t="n">
        <v>1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11" t="b">
        <f aca="false">FALSE()</f>
        <v>0</v>
      </c>
      <c r="M363" s="2" t="s">
        <v>410</v>
      </c>
      <c r="N363" s="2" t="n">
        <f aca="false">IF(E363&gt;0,F363/E363,"")</f>
        <v>0.111111111111111</v>
      </c>
      <c r="O363" s="2" t="str">
        <f aca="false">IF(AND(E363&gt;0,L363),J363/E363,"")</f>
        <v/>
      </c>
    </row>
    <row r="364" customFormat="false" ht="15" hidden="false" customHeight="false" outlineLevel="0" collapsed="false">
      <c r="A364" s="2" t="n">
        <v>2021</v>
      </c>
      <c r="B364" s="2" t="s">
        <v>59</v>
      </c>
      <c r="C364" s="2" t="s">
        <v>405</v>
      </c>
      <c r="D364" s="2" t="s">
        <v>29</v>
      </c>
      <c r="E364" s="2" t="n">
        <v>6</v>
      </c>
      <c r="F364" s="2" t="n">
        <v>13</v>
      </c>
      <c r="G364" s="2" t="n">
        <v>9</v>
      </c>
      <c r="H364" s="2" t="n">
        <v>6</v>
      </c>
      <c r="I364" s="2" t="n">
        <v>1</v>
      </c>
      <c r="J364" s="2" t="n">
        <v>0</v>
      </c>
      <c r="K364" s="2" t="n">
        <v>0</v>
      </c>
      <c r="L364" s="11" t="b">
        <f aca="false">FALSE()</f>
        <v>0</v>
      </c>
      <c r="M364" s="2" t="s">
        <v>406</v>
      </c>
      <c r="N364" s="2" t="n">
        <f aca="false">IF(E364&gt;0,F364/E364,"")</f>
        <v>2.16666666666667</v>
      </c>
      <c r="O364" s="2" t="str">
        <f aca="false">IF(AND(E364&gt;0,L364),J364/E364,"")</f>
        <v/>
      </c>
    </row>
    <row r="365" customFormat="false" ht="15" hidden="false" customHeight="false" outlineLevel="0" collapsed="false">
      <c r="A365" s="2" t="n">
        <v>2021</v>
      </c>
      <c r="B365" s="2" t="s">
        <v>546</v>
      </c>
      <c r="C365" s="2" t="s">
        <v>418</v>
      </c>
      <c r="D365" s="2" t="s">
        <v>83</v>
      </c>
      <c r="E365" s="2" t="n">
        <v>2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11" t="b">
        <f aca="false">FALSE()</f>
        <v>0</v>
      </c>
      <c r="M365" s="2" t="s">
        <v>410</v>
      </c>
      <c r="N365" s="2" t="n">
        <f aca="false">IF(E365&gt;0,F365/E365,"")</f>
        <v>0</v>
      </c>
      <c r="O365" s="2" t="str">
        <f aca="false">IF(AND(E365&gt;0,L365),J365/E365,"")</f>
        <v/>
      </c>
    </row>
    <row r="366" customFormat="false" ht="15" hidden="false" customHeight="false" outlineLevel="0" collapsed="false">
      <c r="A366" s="2" t="n">
        <v>2021</v>
      </c>
      <c r="B366" s="2" t="s">
        <v>519</v>
      </c>
      <c r="C366" s="2" t="s">
        <v>412</v>
      </c>
      <c r="D366" s="2"/>
      <c r="E366" s="2" t="n">
        <v>4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11" t="b">
        <f aca="false">FALSE()</f>
        <v>0</v>
      </c>
      <c r="M366" s="2" t="s">
        <v>410</v>
      </c>
      <c r="N366" s="2" t="n">
        <f aca="false">IF(E366&gt;0,F366/E366,"")</f>
        <v>0</v>
      </c>
      <c r="O366" s="2" t="str">
        <f aca="false">IF(AND(E366&gt;0,L366),J366/E366,"")</f>
        <v/>
      </c>
    </row>
    <row r="367" customFormat="false" ht="15" hidden="false" customHeight="false" outlineLevel="0" collapsed="false">
      <c r="A367" s="2" t="n">
        <v>2021</v>
      </c>
      <c r="B367" s="2" t="s">
        <v>547</v>
      </c>
      <c r="C367" s="2" t="s">
        <v>543</v>
      </c>
      <c r="D367" s="2" t="s">
        <v>29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11" t="b">
        <f aca="false">FALSE()</f>
        <v>0</v>
      </c>
      <c r="M367" s="2" t="s">
        <v>410</v>
      </c>
      <c r="N367" s="2" t="str">
        <f aca="false">IF(E367&gt;0,F367/E367,"")</f>
        <v/>
      </c>
      <c r="O367" s="2" t="str">
        <f aca="false">IF(AND(E367&gt;0,L367),J367/E367,"")</f>
        <v/>
      </c>
    </row>
    <row r="368" customFormat="false" ht="15" hidden="false" customHeight="false" outlineLevel="0" collapsed="false">
      <c r="A368" s="2" t="n">
        <v>2021</v>
      </c>
      <c r="B368" s="2" t="s">
        <v>548</v>
      </c>
      <c r="C368" s="2" t="s">
        <v>543</v>
      </c>
      <c r="D368" s="2" t="s">
        <v>83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11" t="b">
        <f aca="false">FALSE()</f>
        <v>0</v>
      </c>
      <c r="M368" s="2" t="s">
        <v>410</v>
      </c>
      <c r="N368" s="2" t="str">
        <f aca="false">IF(E368&gt;0,F368/E368,"")</f>
        <v/>
      </c>
      <c r="O368" s="2" t="str">
        <f aca="false">IF(AND(E368&gt;0,L368),J368/E368,"")</f>
        <v/>
      </c>
    </row>
    <row r="369" customFormat="false" ht="15" hidden="false" customHeight="false" outlineLevel="0" collapsed="false">
      <c r="A369" s="2" t="n">
        <v>2021</v>
      </c>
      <c r="B369" s="2" t="s">
        <v>201</v>
      </c>
      <c r="C369" s="2" t="s">
        <v>518</v>
      </c>
      <c r="D369" s="2" t="s">
        <v>24</v>
      </c>
      <c r="E369" s="2" t="n">
        <v>9</v>
      </c>
      <c r="F369" s="2" t="n">
        <v>70</v>
      </c>
      <c r="G369" s="2" t="n">
        <v>37</v>
      </c>
      <c r="H369" s="2" t="n">
        <v>20</v>
      </c>
      <c r="I369" s="2" t="n">
        <v>1</v>
      </c>
      <c r="J369" s="2" t="n">
        <v>0</v>
      </c>
      <c r="K369" s="2" t="n">
        <v>0</v>
      </c>
      <c r="L369" s="11" t="b">
        <f aca="false">FALSE()</f>
        <v>0</v>
      </c>
      <c r="M369" s="2" t="s">
        <v>406</v>
      </c>
      <c r="N369" s="2" t="n">
        <f aca="false">IF(E369&gt;0,F369/E369,"")</f>
        <v>7.77777777777778</v>
      </c>
      <c r="O369" s="2" t="str">
        <f aca="false">IF(AND(E369&gt;0,L369),J369/E369,"")</f>
        <v/>
      </c>
    </row>
    <row r="370" customFormat="false" ht="15" hidden="false" customHeight="false" outlineLevel="0" collapsed="false">
      <c r="A370" s="2" t="n">
        <v>2021</v>
      </c>
      <c r="B370" s="2" t="s">
        <v>208</v>
      </c>
      <c r="C370" s="2" t="s">
        <v>412</v>
      </c>
      <c r="D370" s="2" t="s">
        <v>29</v>
      </c>
      <c r="E370" s="2" t="n">
        <v>9</v>
      </c>
      <c r="F370" s="2" t="n">
        <v>45</v>
      </c>
      <c r="G370" s="2" t="n">
        <v>29</v>
      </c>
      <c r="H370" s="2" t="n">
        <v>9</v>
      </c>
      <c r="I370" s="2" t="n">
        <v>3</v>
      </c>
      <c r="J370" s="2" t="n">
        <v>0</v>
      </c>
      <c r="K370" s="2" t="n">
        <v>0</v>
      </c>
      <c r="L370" s="11" t="b">
        <f aca="false">FALSE()</f>
        <v>0</v>
      </c>
      <c r="M370" s="2" t="s">
        <v>406</v>
      </c>
      <c r="N370" s="2" t="n">
        <f aca="false">IF(E370&gt;0,F370/E370,"")</f>
        <v>5</v>
      </c>
      <c r="O370" s="2" t="str">
        <f aca="false">IF(AND(E370&gt;0,L370),J370/E370,"")</f>
        <v/>
      </c>
    </row>
    <row r="371" customFormat="false" ht="15" hidden="false" customHeight="false" outlineLevel="0" collapsed="false">
      <c r="A371" s="2" t="n">
        <v>2021</v>
      </c>
      <c r="B371" s="2" t="s">
        <v>423</v>
      </c>
      <c r="C371" s="2" t="s">
        <v>545</v>
      </c>
      <c r="D371" s="2" t="s">
        <v>29</v>
      </c>
      <c r="E371" s="2" t="n">
        <v>4</v>
      </c>
      <c r="F371" s="2" t="n">
        <v>17</v>
      </c>
      <c r="G371" s="2" t="n">
        <v>13</v>
      </c>
      <c r="H371" s="2" t="n">
        <v>4</v>
      </c>
      <c r="I371" s="2" t="n">
        <v>2</v>
      </c>
      <c r="J371" s="2" t="n">
        <v>0</v>
      </c>
      <c r="K371" s="2" t="n">
        <v>0</v>
      </c>
      <c r="L371" s="11" t="b">
        <f aca="false">FALSE()</f>
        <v>0</v>
      </c>
      <c r="M371" s="2" t="s">
        <v>406</v>
      </c>
      <c r="N371" s="2" t="n">
        <f aca="false">IF(E371&gt;0,F371/E371,"")</f>
        <v>4.25</v>
      </c>
      <c r="O371" s="2" t="str">
        <f aca="false">IF(AND(E371&gt;0,L371),J371/E371,"")</f>
        <v/>
      </c>
    </row>
    <row r="372" customFormat="false" ht="15" hidden="false" customHeight="false" outlineLevel="0" collapsed="false">
      <c r="A372" s="2" t="n">
        <v>2021</v>
      </c>
      <c r="B372" s="2" t="s">
        <v>62</v>
      </c>
      <c r="C372" s="2" t="s">
        <v>420</v>
      </c>
      <c r="D372" s="2" t="s">
        <v>24</v>
      </c>
      <c r="E372" s="2" t="n">
        <v>9</v>
      </c>
      <c r="F372" s="2" t="n">
        <v>67</v>
      </c>
      <c r="G372" s="2" t="n">
        <v>37</v>
      </c>
      <c r="H372" s="2" t="n">
        <v>17</v>
      </c>
      <c r="I372" s="2" t="n">
        <v>12</v>
      </c>
      <c r="J372" s="2" t="n">
        <v>0</v>
      </c>
      <c r="K372" s="2" t="n">
        <v>0</v>
      </c>
      <c r="L372" s="11" t="b">
        <f aca="false">FALSE()</f>
        <v>0</v>
      </c>
      <c r="M372" s="2" t="s">
        <v>406</v>
      </c>
      <c r="N372" s="2" t="n">
        <f aca="false">IF(E372&gt;0,F372/E372,"")</f>
        <v>7.44444444444445</v>
      </c>
      <c r="O372" s="2" t="str">
        <f aca="false">IF(AND(E372&gt;0,L372),J372/E372,"")</f>
        <v/>
      </c>
    </row>
    <row r="373" customFormat="false" ht="15" hidden="false" customHeight="false" outlineLevel="0" collapsed="false">
      <c r="A373" s="2" t="n">
        <v>2021</v>
      </c>
      <c r="B373" s="2" t="s">
        <v>175</v>
      </c>
      <c r="C373" s="2" t="s">
        <v>518</v>
      </c>
      <c r="D373" s="2" t="s">
        <v>117</v>
      </c>
      <c r="E373" s="2" t="n">
        <v>9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11" t="b">
        <f aca="false">FALSE()</f>
        <v>0</v>
      </c>
      <c r="M373" s="2" t="s">
        <v>406</v>
      </c>
      <c r="N373" s="2" t="n">
        <f aca="false">IF(E373&gt;0,F373/E373,"")</f>
        <v>0</v>
      </c>
      <c r="O373" s="2" t="str">
        <f aca="false">IF(AND(E373&gt;0,L373),J373/E373,"")</f>
        <v/>
      </c>
    </row>
    <row r="374" customFormat="false" ht="15" hidden="false" customHeight="false" outlineLevel="0" collapsed="false">
      <c r="A374" s="2" t="n">
        <v>2021</v>
      </c>
      <c r="B374" s="2" t="s">
        <v>226</v>
      </c>
      <c r="C374" s="2" t="s">
        <v>414</v>
      </c>
      <c r="D374" s="2" t="s">
        <v>24</v>
      </c>
      <c r="E374" s="2" t="n">
        <v>9</v>
      </c>
      <c r="F374" s="2" t="n">
        <v>47</v>
      </c>
      <c r="G374" s="2" t="n">
        <v>29</v>
      </c>
      <c r="H374" s="2" t="n">
        <v>18</v>
      </c>
      <c r="I374" s="2" t="n">
        <v>0</v>
      </c>
      <c r="J374" s="2" t="n">
        <v>0</v>
      </c>
      <c r="K374" s="2" t="n">
        <v>0</v>
      </c>
      <c r="L374" s="11" t="b">
        <f aca="false">FALSE()</f>
        <v>0</v>
      </c>
      <c r="M374" s="2" t="s">
        <v>406</v>
      </c>
      <c r="N374" s="2" t="n">
        <f aca="false">IF(E374&gt;0,F374/E374,"")</f>
        <v>5.22222222222222</v>
      </c>
      <c r="O374" s="2" t="str">
        <f aca="false">IF(AND(E374&gt;0,L374),J374/E374,"")</f>
        <v/>
      </c>
    </row>
    <row r="375" customFormat="false" ht="15" hidden="false" customHeight="false" outlineLevel="0" collapsed="false">
      <c r="A375" s="2" t="n">
        <v>2021</v>
      </c>
      <c r="B375" s="2" t="s">
        <v>108</v>
      </c>
      <c r="C375" s="2" t="s">
        <v>412</v>
      </c>
      <c r="D375" s="2" t="s">
        <v>24</v>
      </c>
      <c r="E375" s="2" t="n">
        <v>9</v>
      </c>
      <c r="F375" s="2" t="n">
        <v>54</v>
      </c>
      <c r="G375" s="2" t="n">
        <v>29</v>
      </c>
      <c r="H375" s="2" t="n">
        <v>16</v>
      </c>
      <c r="I375" s="2" t="n">
        <v>3</v>
      </c>
      <c r="J375" s="2" t="n">
        <v>0</v>
      </c>
      <c r="K375" s="2" t="n">
        <v>0</v>
      </c>
      <c r="L375" s="11" t="b">
        <f aca="false">FALSE()</f>
        <v>0</v>
      </c>
      <c r="M375" s="2" t="s">
        <v>406</v>
      </c>
      <c r="N375" s="2" t="n">
        <f aca="false">IF(E375&gt;0,F375/E375,"")</f>
        <v>6</v>
      </c>
      <c r="O375" s="2" t="str">
        <f aca="false">IF(AND(E375&gt;0,L375),J375/E375,"")</f>
        <v/>
      </c>
    </row>
    <row r="376" customFormat="false" ht="15" hidden="false" customHeight="false" outlineLevel="0" collapsed="false">
      <c r="A376" s="2" t="n">
        <v>2021</v>
      </c>
      <c r="B376" s="2" t="s">
        <v>55</v>
      </c>
      <c r="C376" s="2" t="s">
        <v>414</v>
      </c>
      <c r="D376" s="2" t="s">
        <v>29</v>
      </c>
      <c r="E376" s="2" t="n">
        <v>9</v>
      </c>
      <c r="F376" s="2" t="n">
        <v>51</v>
      </c>
      <c r="G376" s="2" t="n">
        <v>29</v>
      </c>
      <c r="H376" s="2" t="n">
        <v>8</v>
      </c>
      <c r="I376" s="2" t="n">
        <v>6</v>
      </c>
      <c r="J376" s="2" t="n">
        <v>0</v>
      </c>
      <c r="K376" s="2" t="n">
        <v>0</v>
      </c>
      <c r="L376" s="11" t="b">
        <f aca="false">FALSE()</f>
        <v>0</v>
      </c>
      <c r="M376" s="2" t="s">
        <v>406</v>
      </c>
      <c r="N376" s="2" t="n">
        <f aca="false">IF(E376&gt;0,F376/E376,"")</f>
        <v>5.66666666666667</v>
      </c>
      <c r="O376" s="2" t="str">
        <f aca="false">IF(AND(E376&gt;0,L376),J376/E376,"")</f>
        <v/>
      </c>
    </row>
    <row r="377" customFormat="false" ht="15" hidden="false" customHeight="false" outlineLevel="0" collapsed="false">
      <c r="A377" s="2" t="n">
        <v>2021</v>
      </c>
      <c r="B377" s="2" t="s">
        <v>93</v>
      </c>
      <c r="C377" s="2" t="s">
        <v>545</v>
      </c>
      <c r="D377" s="2" t="s">
        <v>24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11" t="b">
        <f aca="false">FALSE()</f>
        <v>0</v>
      </c>
      <c r="M377" s="2" t="s">
        <v>410</v>
      </c>
      <c r="N377" s="2" t="str">
        <f aca="false">IF(E377&gt;0,F377/E377,"")</f>
        <v/>
      </c>
      <c r="O377" s="2" t="str">
        <f aca="false">IF(AND(E377&gt;0,L377),J377/E377,"")</f>
        <v/>
      </c>
    </row>
    <row r="378" customFormat="false" ht="15" hidden="false" customHeight="false" outlineLevel="0" collapsed="false">
      <c r="A378" s="2" t="n">
        <v>2021</v>
      </c>
      <c r="B378" s="2" t="s">
        <v>268</v>
      </c>
      <c r="C378" s="2" t="s">
        <v>412</v>
      </c>
      <c r="D378" s="2" t="s">
        <v>115</v>
      </c>
      <c r="E378" s="2" t="n">
        <v>8</v>
      </c>
      <c r="F378" s="2" t="n">
        <v>3</v>
      </c>
      <c r="G378" s="2" t="n">
        <v>1</v>
      </c>
      <c r="H378" s="2" t="n">
        <v>1</v>
      </c>
      <c r="I378" s="2" t="n">
        <v>0</v>
      </c>
      <c r="J378" s="2" t="n">
        <v>0</v>
      </c>
      <c r="K378" s="2" t="n">
        <v>0</v>
      </c>
      <c r="L378" s="11" t="b">
        <f aca="false">FALSE()</f>
        <v>0</v>
      </c>
      <c r="M378" s="2" t="s">
        <v>406</v>
      </c>
      <c r="N378" s="2" t="n">
        <f aca="false">IF(E378&gt;0,F378/E378,"")</f>
        <v>0.375</v>
      </c>
      <c r="O378" s="2" t="str">
        <f aca="false">IF(AND(E378&gt;0,L378),J378/E378,"")</f>
        <v/>
      </c>
    </row>
    <row r="379" customFormat="false" ht="15" hidden="false" customHeight="false" outlineLevel="0" collapsed="false">
      <c r="A379" s="2" t="n">
        <v>2021</v>
      </c>
      <c r="B379" s="2" t="s">
        <v>424</v>
      </c>
      <c r="C379" s="2" t="s">
        <v>518</v>
      </c>
      <c r="D379" s="2" t="s">
        <v>409</v>
      </c>
      <c r="E379" s="2" t="n">
        <v>2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11" t="b">
        <f aca="false">FALSE()</f>
        <v>0</v>
      </c>
      <c r="M379" s="2" t="s">
        <v>410</v>
      </c>
      <c r="N379" s="2" t="n">
        <f aca="false">IF(E379&gt;0,F379/E379,"")</f>
        <v>0</v>
      </c>
      <c r="O379" s="2" t="str">
        <f aca="false">IF(AND(E379&gt;0,L379),J379/E379,"")</f>
        <v/>
      </c>
    </row>
    <row r="380" customFormat="false" ht="15" hidden="false" customHeight="false" outlineLevel="0" collapsed="false">
      <c r="A380" s="2" t="n">
        <v>2021</v>
      </c>
      <c r="B380" s="2" t="s">
        <v>425</v>
      </c>
      <c r="C380" s="2" t="s">
        <v>545</v>
      </c>
      <c r="D380" s="2"/>
      <c r="E380" s="2" t="n">
        <v>4</v>
      </c>
      <c r="F380" s="2" t="n">
        <v>10</v>
      </c>
      <c r="G380" s="2" t="n">
        <v>5</v>
      </c>
      <c r="H380" s="2" t="n">
        <v>2</v>
      </c>
      <c r="I380" s="2" t="n">
        <v>1</v>
      </c>
      <c r="J380" s="2" t="n">
        <v>0</v>
      </c>
      <c r="K380" s="2" t="n">
        <v>0</v>
      </c>
      <c r="L380" s="11" t="b">
        <f aca="false">FALSE()</f>
        <v>0</v>
      </c>
      <c r="M380" s="2" t="s">
        <v>410</v>
      </c>
      <c r="N380" s="2" t="n">
        <f aca="false">IF(E380&gt;0,F380/E380,"")</f>
        <v>2.5</v>
      </c>
      <c r="O380" s="2" t="str">
        <f aca="false">IF(AND(E380&gt;0,L380),J380/E380,"")</f>
        <v/>
      </c>
    </row>
    <row r="381" customFormat="false" ht="15" hidden="false" customHeight="false" outlineLevel="0" collapsed="false">
      <c r="A381" s="2" t="n">
        <v>2021</v>
      </c>
      <c r="B381" s="2" t="s">
        <v>129</v>
      </c>
      <c r="C381" s="2" t="s">
        <v>420</v>
      </c>
      <c r="D381" s="2" t="s">
        <v>24</v>
      </c>
      <c r="E381" s="2" t="n">
        <v>9</v>
      </c>
      <c r="F381" s="2" t="n">
        <v>33</v>
      </c>
      <c r="G381" s="2" t="n">
        <v>23</v>
      </c>
      <c r="H381" s="2" t="n">
        <v>12</v>
      </c>
      <c r="I381" s="2" t="n">
        <v>7</v>
      </c>
      <c r="J381" s="2" t="n">
        <v>0</v>
      </c>
      <c r="K381" s="2" t="n">
        <v>0</v>
      </c>
      <c r="L381" s="11" t="b">
        <f aca="false">FALSE()</f>
        <v>0</v>
      </c>
      <c r="M381" s="2" t="s">
        <v>406</v>
      </c>
      <c r="N381" s="2" t="n">
        <f aca="false">IF(E381&gt;0,F381/E381,"")</f>
        <v>3.66666666666667</v>
      </c>
      <c r="O381" s="2" t="str">
        <f aca="false">IF(AND(E381&gt;0,L381),J381/E381,"")</f>
        <v/>
      </c>
    </row>
    <row r="382" customFormat="false" ht="15" hidden="false" customHeight="false" outlineLevel="0" collapsed="false">
      <c r="A382" s="2" t="n">
        <v>2021</v>
      </c>
      <c r="B382" s="2" t="s">
        <v>426</v>
      </c>
      <c r="C382" s="2" t="s">
        <v>420</v>
      </c>
      <c r="D382" s="2" t="s">
        <v>117</v>
      </c>
      <c r="E382" s="2" t="n">
        <v>4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11" t="b">
        <f aca="false">FALSE()</f>
        <v>0</v>
      </c>
      <c r="M382" s="2" t="s">
        <v>406</v>
      </c>
      <c r="N382" s="2" t="n">
        <f aca="false">IF(E382&gt;0,F382/E382,"")</f>
        <v>0</v>
      </c>
      <c r="O382" s="2" t="str">
        <f aca="false">IF(AND(E382&gt;0,L382),J382/E382,"")</f>
        <v/>
      </c>
    </row>
    <row r="383" customFormat="false" ht="15" hidden="false" customHeight="false" outlineLevel="0" collapsed="false">
      <c r="A383" s="2" t="n">
        <v>2021</v>
      </c>
      <c r="B383" s="2" t="s">
        <v>237</v>
      </c>
      <c r="C383" s="2" t="s">
        <v>412</v>
      </c>
      <c r="D383" s="2" t="s">
        <v>24</v>
      </c>
      <c r="E383" s="2" t="n">
        <v>9</v>
      </c>
      <c r="F383" s="2" t="n">
        <v>36</v>
      </c>
      <c r="G383" s="2" t="n">
        <v>28</v>
      </c>
      <c r="H383" s="2" t="n">
        <v>9</v>
      </c>
      <c r="I383" s="2" t="n">
        <v>4</v>
      </c>
      <c r="J383" s="2" t="n">
        <v>0</v>
      </c>
      <c r="K383" s="2" t="n">
        <v>0</v>
      </c>
      <c r="L383" s="11" t="b">
        <f aca="false">FALSE()</f>
        <v>0</v>
      </c>
      <c r="M383" s="2" t="s">
        <v>406</v>
      </c>
      <c r="N383" s="2" t="n">
        <f aca="false">IF(E383&gt;0,F383/E383,"")</f>
        <v>4</v>
      </c>
      <c r="O383" s="2" t="str">
        <f aca="false">IF(AND(E383&gt;0,L383),J383/E383,"")</f>
        <v/>
      </c>
    </row>
    <row r="384" customFormat="false" ht="15" hidden="false" customHeight="false" outlineLevel="0" collapsed="false">
      <c r="A384" s="2" t="n">
        <v>2021</v>
      </c>
      <c r="B384" s="2" t="s">
        <v>549</v>
      </c>
      <c r="C384" s="2" t="s">
        <v>412</v>
      </c>
      <c r="D384" s="2" t="s">
        <v>409</v>
      </c>
      <c r="E384" s="2" t="n">
        <v>9</v>
      </c>
      <c r="F384" s="2" t="n">
        <v>2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11" t="b">
        <f aca="false">FALSE()</f>
        <v>0</v>
      </c>
      <c r="M384" s="2" t="s">
        <v>410</v>
      </c>
      <c r="N384" s="2" t="n">
        <f aca="false">IF(E384&gt;0,F384/E384,"")</f>
        <v>0.222222222222222</v>
      </c>
      <c r="O384" s="2" t="str">
        <f aca="false">IF(AND(E384&gt;0,L384),J384/E384,"")</f>
        <v/>
      </c>
    </row>
    <row r="385" customFormat="false" ht="15" hidden="false" customHeight="false" outlineLevel="0" collapsed="false">
      <c r="A385" s="2" t="n">
        <v>2021</v>
      </c>
      <c r="B385" s="2" t="s">
        <v>182</v>
      </c>
      <c r="C385" s="2" t="s">
        <v>543</v>
      </c>
      <c r="D385" s="2" t="s">
        <v>29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11" t="b">
        <f aca="false">FALSE()</f>
        <v>0</v>
      </c>
      <c r="M385" s="2" t="s">
        <v>410</v>
      </c>
      <c r="N385" s="2" t="str">
        <f aca="false">IF(E385&gt;0,F385/E385,"")</f>
        <v/>
      </c>
      <c r="O385" s="2" t="str">
        <f aca="false">IF(AND(E385&gt;0,L385),J385/E385,"")</f>
        <v/>
      </c>
    </row>
    <row r="386" customFormat="false" ht="15" hidden="false" customHeight="false" outlineLevel="0" collapsed="false">
      <c r="A386" s="2" t="n">
        <v>2021</v>
      </c>
      <c r="B386" s="2" t="s">
        <v>356</v>
      </c>
      <c r="C386" s="2" t="s">
        <v>418</v>
      </c>
      <c r="D386" s="2"/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11" t="b">
        <f aca="false">FALSE()</f>
        <v>0</v>
      </c>
      <c r="M386" s="2" t="s">
        <v>410</v>
      </c>
      <c r="N386" s="2" t="n">
        <f aca="false">IF(E386&gt;0,F386/E386,"")</f>
        <v>0</v>
      </c>
      <c r="O386" s="2" t="str">
        <f aca="false">IF(AND(E386&gt;0,L386),J386/E386,"")</f>
        <v/>
      </c>
    </row>
    <row r="387" customFormat="false" ht="15" hidden="false" customHeight="false" outlineLevel="0" collapsed="false">
      <c r="A387" s="2" t="n">
        <v>2021</v>
      </c>
      <c r="B387" s="2" t="s">
        <v>428</v>
      </c>
      <c r="C387" s="2" t="s">
        <v>412</v>
      </c>
      <c r="D387" s="2" t="s">
        <v>409</v>
      </c>
      <c r="E387" s="2" t="n">
        <v>5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11" t="b">
        <f aca="false">FALSE()</f>
        <v>0</v>
      </c>
      <c r="M387" s="2" t="s">
        <v>410</v>
      </c>
      <c r="N387" s="2" t="n">
        <f aca="false">IF(E387&gt;0,F387/E387,"")</f>
        <v>0</v>
      </c>
      <c r="O387" s="2" t="str">
        <f aca="false">IF(AND(E387&gt;0,L387),J387/E387,"")</f>
        <v/>
      </c>
    </row>
    <row r="388" customFormat="false" ht="15" hidden="false" customHeight="false" outlineLevel="0" collapsed="false">
      <c r="A388" s="2" t="n">
        <v>2021</v>
      </c>
      <c r="B388" s="2" t="s">
        <v>429</v>
      </c>
      <c r="C388" s="2" t="s">
        <v>543</v>
      </c>
      <c r="D388" s="2" t="s">
        <v>117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11" t="b">
        <f aca="false">FALSE()</f>
        <v>0</v>
      </c>
      <c r="M388" s="2" t="s">
        <v>410</v>
      </c>
      <c r="N388" s="2" t="str">
        <f aca="false">IF(E388&gt;0,F388/E388,"")</f>
        <v/>
      </c>
      <c r="O388" s="2" t="str">
        <f aca="false">IF(AND(E388&gt;0,L388),J388/E388,"")</f>
        <v/>
      </c>
    </row>
    <row r="389" customFormat="false" ht="15" hidden="false" customHeight="false" outlineLevel="0" collapsed="false">
      <c r="A389" s="2" t="n">
        <v>2021</v>
      </c>
      <c r="B389" s="2" t="s">
        <v>121</v>
      </c>
      <c r="C389" s="2" t="s">
        <v>408</v>
      </c>
      <c r="D389" s="2" t="s">
        <v>115</v>
      </c>
      <c r="E389" s="2" t="n">
        <v>8</v>
      </c>
      <c r="F389" s="2" t="n">
        <v>3</v>
      </c>
      <c r="G389" s="2" t="n">
        <v>1</v>
      </c>
      <c r="H389" s="2" t="n">
        <v>0</v>
      </c>
      <c r="I389" s="2" t="n">
        <v>0</v>
      </c>
      <c r="J389" s="2" t="n">
        <v>0</v>
      </c>
      <c r="K389" s="2" t="n">
        <v>0</v>
      </c>
      <c r="L389" s="11" t="b">
        <f aca="false">FALSE()</f>
        <v>0</v>
      </c>
      <c r="M389" s="2" t="s">
        <v>406</v>
      </c>
      <c r="N389" s="2" t="n">
        <f aca="false">IF(E389&gt;0,F389/E389,"")</f>
        <v>0.375</v>
      </c>
      <c r="O389" s="2" t="str">
        <f aca="false">IF(AND(E389&gt;0,L389),J389/E389,"")</f>
        <v/>
      </c>
    </row>
    <row r="390" customFormat="false" ht="15" hidden="false" customHeight="false" outlineLevel="0" collapsed="false">
      <c r="A390" s="2" t="n">
        <v>2021</v>
      </c>
      <c r="B390" s="2" t="s">
        <v>95</v>
      </c>
      <c r="C390" s="2" t="s">
        <v>518</v>
      </c>
      <c r="D390" s="2" t="s">
        <v>29</v>
      </c>
      <c r="E390" s="2" t="n">
        <v>9</v>
      </c>
      <c r="F390" s="2" t="n">
        <v>13</v>
      </c>
      <c r="G390" s="2" t="n">
        <v>6</v>
      </c>
      <c r="H390" s="2" t="n">
        <v>5</v>
      </c>
      <c r="I390" s="2" t="n">
        <v>1</v>
      </c>
      <c r="J390" s="2" t="n">
        <v>0</v>
      </c>
      <c r="K390" s="2" t="n">
        <v>0</v>
      </c>
      <c r="L390" s="11" t="b">
        <f aca="false">FALSE()</f>
        <v>0</v>
      </c>
      <c r="M390" s="2" t="s">
        <v>406</v>
      </c>
      <c r="N390" s="2" t="n">
        <f aca="false">IF(E390&gt;0,F390/E390,"")</f>
        <v>1.44444444444444</v>
      </c>
      <c r="O390" s="2" t="str">
        <f aca="false">IF(AND(E390&gt;0,L390),J390/E390,"")</f>
        <v/>
      </c>
    </row>
    <row r="391" customFormat="false" ht="15" hidden="false" customHeight="false" outlineLevel="0" collapsed="false">
      <c r="A391" s="2" t="n">
        <v>2021</v>
      </c>
      <c r="B391" s="2" t="s">
        <v>278</v>
      </c>
      <c r="C391" s="2" t="s">
        <v>420</v>
      </c>
      <c r="D391" s="2" t="s">
        <v>29</v>
      </c>
      <c r="E391" s="2" t="n">
        <v>3</v>
      </c>
      <c r="F391" s="2" t="n">
        <v>6</v>
      </c>
      <c r="G391" s="2" t="n">
        <v>3</v>
      </c>
      <c r="H391" s="2" t="n">
        <v>1</v>
      </c>
      <c r="I391" s="2" t="n">
        <v>1</v>
      </c>
      <c r="J391" s="2" t="n">
        <v>0</v>
      </c>
      <c r="K391" s="2" t="n">
        <v>0</v>
      </c>
      <c r="L391" s="11" t="b">
        <f aca="false">FALSE()</f>
        <v>0</v>
      </c>
      <c r="M391" s="2" t="s">
        <v>406</v>
      </c>
      <c r="N391" s="2" t="n">
        <f aca="false">IF(E391&gt;0,F391/E391,"")</f>
        <v>2</v>
      </c>
      <c r="O391" s="2" t="str">
        <f aca="false">IF(AND(E391&gt;0,L391),J391/E391,"")</f>
        <v/>
      </c>
    </row>
    <row r="392" customFormat="false" ht="15" hidden="false" customHeight="false" outlineLevel="0" collapsed="false">
      <c r="A392" s="2" t="n">
        <v>2021</v>
      </c>
      <c r="B392" s="2" t="s">
        <v>430</v>
      </c>
      <c r="C392" s="2" t="s">
        <v>543</v>
      </c>
      <c r="D392" s="2" t="s">
        <v>117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11" t="b">
        <f aca="false">FALSE()</f>
        <v>0</v>
      </c>
      <c r="M392" s="2" t="s">
        <v>410</v>
      </c>
      <c r="N392" s="2" t="str">
        <f aca="false">IF(E392&gt;0,F392/E392,"")</f>
        <v/>
      </c>
      <c r="O392" s="2" t="str">
        <f aca="false">IF(AND(E392&gt;0,L392),J392/E392,"")</f>
        <v/>
      </c>
    </row>
    <row r="393" customFormat="false" ht="15" hidden="false" customHeight="false" outlineLevel="0" collapsed="false">
      <c r="A393" s="2" t="n">
        <v>2021</v>
      </c>
      <c r="B393" s="2" t="s">
        <v>32</v>
      </c>
      <c r="C393" s="2" t="s">
        <v>412</v>
      </c>
      <c r="D393" s="2" t="s">
        <v>29</v>
      </c>
      <c r="E393" s="2" t="n">
        <v>9</v>
      </c>
      <c r="F393" s="2" t="n">
        <v>63</v>
      </c>
      <c r="G393" s="2" t="n">
        <v>33</v>
      </c>
      <c r="H393" s="2" t="n">
        <v>18</v>
      </c>
      <c r="I393" s="2" t="n">
        <v>7</v>
      </c>
      <c r="J393" s="2" t="n">
        <v>0</v>
      </c>
      <c r="K393" s="2" t="n">
        <v>0</v>
      </c>
      <c r="L393" s="11" t="b">
        <f aca="false">FALSE()</f>
        <v>0</v>
      </c>
      <c r="M393" s="2" t="s">
        <v>406</v>
      </c>
      <c r="N393" s="2" t="n">
        <f aca="false">IF(E393&gt;0,F393/E393,"")</f>
        <v>7</v>
      </c>
      <c r="O393" s="2" t="str">
        <f aca="false">IF(AND(E393&gt;0,L393),J393/E393,"")</f>
        <v/>
      </c>
    </row>
    <row r="394" customFormat="false" ht="15" hidden="false" customHeight="false" outlineLevel="0" collapsed="false">
      <c r="A394" s="2" t="n">
        <v>2021</v>
      </c>
      <c r="B394" s="2" t="s">
        <v>184</v>
      </c>
      <c r="C394" s="2" t="s">
        <v>420</v>
      </c>
      <c r="D394" s="2" t="s">
        <v>115</v>
      </c>
      <c r="E394" s="2" t="n">
        <v>5</v>
      </c>
      <c r="F394" s="2" t="n">
        <v>5</v>
      </c>
      <c r="G394" s="2" t="n">
        <v>4</v>
      </c>
      <c r="H394" s="2" t="n">
        <v>2</v>
      </c>
      <c r="I394" s="2" t="n">
        <v>1</v>
      </c>
      <c r="J394" s="2" t="n">
        <v>0</v>
      </c>
      <c r="K394" s="2" t="n">
        <v>0</v>
      </c>
      <c r="L394" s="11" t="b">
        <f aca="false">FALSE()</f>
        <v>0</v>
      </c>
      <c r="M394" s="2" t="s">
        <v>406</v>
      </c>
      <c r="N394" s="2" t="n">
        <f aca="false">IF(E394&gt;0,F394/E394,"")</f>
        <v>1</v>
      </c>
      <c r="O394" s="2" t="str">
        <f aca="false">IF(AND(E394&gt;0,L394),J394/E394,"")</f>
        <v/>
      </c>
    </row>
    <row r="395" customFormat="false" ht="15" hidden="false" customHeight="false" outlineLevel="0" collapsed="false">
      <c r="A395" s="2" t="n">
        <v>2021</v>
      </c>
      <c r="B395" s="2" t="s">
        <v>520</v>
      </c>
      <c r="C395" s="2" t="s">
        <v>405</v>
      </c>
      <c r="D395" s="2" t="s">
        <v>115</v>
      </c>
      <c r="E395" s="2" t="n">
        <v>5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11" t="b">
        <f aca="false">FALSE()</f>
        <v>0</v>
      </c>
      <c r="M395" s="2" t="s">
        <v>406</v>
      </c>
      <c r="N395" s="2" t="n">
        <f aca="false">IF(E395&gt;0,F395/E395,"")</f>
        <v>0</v>
      </c>
      <c r="O395" s="2" t="str">
        <f aca="false">IF(AND(E395&gt;0,L395),J395/E395,"")</f>
        <v/>
      </c>
    </row>
    <row r="396" customFormat="false" ht="15" hidden="false" customHeight="false" outlineLevel="0" collapsed="false">
      <c r="A396" s="2" t="n">
        <v>2021</v>
      </c>
      <c r="B396" s="2" t="s">
        <v>229</v>
      </c>
      <c r="C396" s="2" t="s">
        <v>412</v>
      </c>
      <c r="D396" s="2" t="s">
        <v>29</v>
      </c>
      <c r="E396" s="2" t="n">
        <v>6</v>
      </c>
      <c r="F396" s="2" t="n">
        <v>19</v>
      </c>
      <c r="G396" s="2" t="n">
        <v>7</v>
      </c>
      <c r="H396" s="2" t="n">
        <v>4</v>
      </c>
      <c r="I396" s="2" t="n">
        <v>1</v>
      </c>
      <c r="J396" s="2" t="n">
        <v>0</v>
      </c>
      <c r="K396" s="2" t="n">
        <v>0</v>
      </c>
      <c r="L396" s="11" t="b">
        <f aca="false">FALSE()</f>
        <v>0</v>
      </c>
      <c r="M396" s="2" t="s">
        <v>406</v>
      </c>
      <c r="N396" s="2" t="n">
        <f aca="false">IF(E396&gt;0,F396/E396,"")</f>
        <v>3.16666666666667</v>
      </c>
      <c r="O396" s="2" t="str">
        <f aca="false">IF(AND(E396&gt;0,L396),J396/E396,"")</f>
        <v/>
      </c>
    </row>
    <row r="397" customFormat="false" ht="15" hidden="false" customHeight="false" outlineLevel="0" collapsed="false">
      <c r="A397" s="2" t="n">
        <v>2021</v>
      </c>
      <c r="B397" s="2" t="s">
        <v>550</v>
      </c>
      <c r="C397" s="2" t="s">
        <v>420</v>
      </c>
      <c r="D397" s="2" t="s">
        <v>29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11" t="b">
        <f aca="false">FALSE()</f>
        <v>0</v>
      </c>
      <c r="M397" s="2" t="s">
        <v>410</v>
      </c>
      <c r="N397" s="2" t="str">
        <f aca="false">IF(E397&gt;0,F397/E397,"")</f>
        <v/>
      </c>
      <c r="O397" s="2" t="str">
        <f aca="false">IF(AND(E397&gt;0,L397),J397/E397,"")</f>
        <v/>
      </c>
    </row>
    <row r="398" customFormat="false" ht="15" hidden="false" customHeight="false" outlineLevel="0" collapsed="false">
      <c r="A398" s="2" t="n">
        <v>2021</v>
      </c>
      <c r="B398" s="2" t="s">
        <v>431</v>
      </c>
      <c r="C398" s="2" t="s">
        <v>418</v>
      </c>
      <c r="D398" s="2" t="s">
        <v>29</v>
      </c>
      <c r="E398" s="2" t="n">
        <v>9</v>
      </c>
      <c r="F398" s="2" t="n">
        <v>26</v>
      </c>
      <c r="G398" s="2" t="n">
        <v>8</v>
      </c>
      <c r="H398" s="2" t="n">
        <v>0</v>
      </c>
      <c r="I398" s="2" t="n">
        <v>9</v>
      </c>
      <c r="J398" s="2" t="n">
        <v>0</v>
      </c>
      <c r="K398" s="2" t="n">
        <v>0</v>
      </c>
      <c r="L398" s="11" t="b">
        <f aca="false">FALSE()</f>
        <v>0</v>
      </c>
      <c r="M398" s="2" t="s">
        <v>406</v>
      </c>
      <c r="N398" s="2" t="n">
        <f aca="false">IF(E398&gt;0,F398/E398,"")</f>
        <v>2.88888888888889</v>
      </c>
      <c r="O398" s="2" t="str">
        <f aca="false">IF(AND(E398&gt;0,L398),J398/E398,"")</f>
        <v/>
      </c>
    </row>
    <row r="399" customFormat="false" ht="15" hidden="false" customHeight="false" outlineLevel="0" collapsed="false">
      <c r="A399" s="2" t="n">
        <v>2021</v>
      </c>
      <c r="B399" s="2" t="s">
        <v>295</v>
      </c>
      <c r="C399" s="2" t="s">
        <v>545</v>
      </c>
      <c r="D399" s="2" t="s">
        <v>24</v>
      </c>
      <c r="E399" s="2" t="n">
        <v>3</v>
      </c>
      <c r="F399" s="2" t="n">
        <v>5</v>
      </c>
      <c r="G399" s="2" t="n">
        <v>3</v>
      </c>
      <c r="H399" s="2" t="n">
        <v>0</v>
      </c>
      <c r="I399" s="2" t="n">
        <v>1</v>
      </c>
      <c r="J399" s="2" t="n">
        <v>0</v>
      </c>
      <c r="K399" s="2" t="n">
        <v>0</v>
      </c>
      <c r="L399" s="11" t="b">
        <f aca="false">FALSE()</f>
        <v>0</v>
      </c>
      <c r="M399" s="2" t="s">
        <v>406</v>
      </c>
      <c r="N399" s="2" t="n">
        <f aca="false">IF(E399&gt;0,F399/E399,"")</f>
        <v>1.66666666666667</v>
      </c>
      <c r="O399" s="2" t="str">
        <f aca="false">IF(AND(E399&gt;0,L399),J399/E399,"")</f>
        <v/>
      </c>
    </row>
    <row r="400" customFormat="false" ht="15" hidden="false" customHeight="false" outlineLevel="0" collapsed="false">
      <c r="A400" s="2" t="n">
        <v>2021</v>
      </c>
      <c r="B400" s="2" t="s">
        <v>521</v>
      </c>
      <c r="C400" s="2" t="s">
        <v>543</v>
      </c>
      <c r="D400" s="2" t="s">
        <v>29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11" t="b">
        <f aca="false">FALSE()</f>
        <v>0</v>
      </c>
      <c r="M400" s="2" t="s">
        <v>410</v>
      </c>
      <c r="N400" s="2" t="str">
        <f aca="false">IF(E400&gt;0,F400/E400,"")</f>
        <v/>
      </c>
      <c r="O400" s="2" t="str">
        <f aca="false">IF(AND(E400&gt;0,L400),J400/E400,"")</f>
        <v/>
      </c>
    </row>
    <row r="401" customFormat="false" ht="15" hidden="false" customHeight="false" outlineLevel="0" collapsed="false">
      <c r="A401" s="2" t="n">
        <v>2021</v>
      </c>
      <c r="B401" s="2" t="s">
        <v>46</v>
      </c>
      <c r="C401" s="2" t="s">
        <v>518</v>
      </c>
      <c r="D401" s="2" t="s">
        <v>29</v>
      </c>
      <c r="E401" s="2" t="n">
        <v>9</v>
      </c>
      <c r="F401" s="2" t="n">
        <v>40</v>
      </c>
      <c r="G401" s="2" t="n">
        <v>24</v>
      </c>
      <c r="H401" s="2" t="n">
        <v>11</v>
      </c>
      <c r="I401" s="2" t="n">
        <v>11</v>
      </c>
      <c r="J401" s="2" t="n">
        <v>0</v>
      </c>
      <c r="K401" s="2" t="n">
        <v>0</v>
      </c>
      <c r="L401" s="11" t="b">
        <f aca="false">FALSE()</f>
        <v>0</v>
      </c>
      <c r="M401" s="2" t="s">
        <v>406</v>
      </c>
      <c r="N401" s="2" t="n">
        <f aca="false">IF(E401&gt;0,F401/E401,"")</f>
        <v>4.44444444444445</v>
      </c>
      <c r="O401" s="2" t="str">
        <f aca="false">IF(AND(E401&gt;0,L401),J401/E401,"")</f>
        <v/>
      </c>
    </row>
    <row r="402" customFormat="false" ht="15" hidden="false" customHeight="false" outlineLevel="0" collapsed="false">
      <c r="A402" s="2" t="n">
        <v>2021</v>
      </c>
      <c r="B402" s="2" t="s">
        <v>225</v>
      </c>
      <c r="C402" s="2" t="s">
        <v>405</v>
      </c>
      <c r="D402" s="2" t="s">
        <v>83</v>
      </c>
      <c r="E402" s="2" t="n">
        <v>9</v>
      </c>
      <c r="F402" s="2" t="n">
        <v>1</v>
      </c>
      <c r="G402" s="2" t="n">
        <v>1</v>
      </c>
      <c r="H402" s="2" t="n">
        <v>0</v>
      </c>
      <c r="I402" s="2" t="n">
        <v>0</v>
      </c>
      <c r="J402" s="2" t="n">
        <v>0</v>
      </c>
      <c r="K402" s="2" t="n">
        <v>0</v>
      </c>
      <c r="L402" s="11" t="b">
        <f aca="false">FALSE()</f>
        <v>0</v>
      </c>
      <c r="M402" s="2" t="s">
        <v>406</v>
      </c>
      <c r="N402" s="2" t="n">
        <f aca="false">IF(E402&gt;0,F402/E402,"")</f>
        <v>0.111111111111111</v>
      </c>
      <c r="O402" s="2" t="str">
        <f aca="false">IF(AND(E402&gt;0,L402),J402/E402,"")</f>
        <v/>
      </c>
    </row>
    <row r="403" customFormat="false" ht="15" hidden="false" customHeight="false" outlineLevel="0" collapsed="false">
      <c r="A403" s="2" t="n">
        <v>2021</v>
      </c>
      <c r="B403" s="2" t="s">
        <v>522</v>
      </c>
      <c r="C403" s="2" t="s">
        <v>518</v>
      </c>
      <c r="D403" s="2" t="s">
        <v>409</v>
      </c>
      <c r="E403" s="2" t="n">
        <v>7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11" t="b">
        <f aca="false">FALSE()</f>
        <v>0</v>
      </c>
      <c r="M403" s="2" t="s">
        <v>410</v>
      </c>
      <c r="N403" s="2" t="n">
        <f aca="false">IF(E403&gt;0,F403/E403,"")</f>
        <v>0</v>
      </c>
      <c r="O403" s="2" t="str">
        <f aca="false">IF(AND(E403&gt;0,L403),J403/E403,"")</f>
        <v/>
      </c>
    </row>
    <row r="404" customFormat="false" ht="15" hidden="false" customHeight="false" outlineLevel="0" collapsed="false">
      <c r="A404" s="2" t="n">
        <v>2021</v>
      </c>
      <c r="B404" s="2" t="s">
        <v>346</v>
      </c>
      <c r="C404" s="2" t="s">
        <v>518</v>
      </c>
      <c r="D404" s="2" t="s">
        <v>83</v>
      </c>
      <c r="E404" s="2" t="n">
        <v>9</v>
      </c>
      <c r="F404" s="2" t="n">
        <v>7</v>
      </c>
      <c r="G404" s="2" t="n">
        <v>4</v>
      </c>
      <c r="H404" s="2" t="n">
        <v>3</v>
      </c>
      <c r="I404" s="2" t="n">
        <v>0</v>
      </c>
      <c r="J404" s="2" t="n">
        <v>0</v>
      </c>
      <c r="K404" s="2" t="n">
        <v>0</v>
      </c>
      <c r="L404" s="11" t="b">
        <f aca="false">FALSE()</f>
        <v>0</v>
      </c>
      <c r="M404" s="2" t="s">
        <v>406</v>
      </c>
      <c r="N404" s="2" t="n">
        <f aca="false">IF(E404&gt;0,F404/E404,"")</f>
        <v>0.777777777777778</v>
      </c>
      <c r="O404" s="2" t="str">
        <f aca="false">IF(AND(E404&gt;0,L404),J404/E404,"")</f>
        <v/>
      </c>
    </row>
    <row r="405" customFormat="false" ht="15" hidden="false" customHeight="false" outlineLevel="0" collapsed="false">
      <c r="A405" s="2" t="n">
        <v>2021</v>
      </c>
      <c r="B405" s="2" t="s">
        <v>275</v>
      </c>
      <c r="C405" s="2" t="s">
        <v>412</v>
      </c>
      <c r="D405" s="2" t="s">
        <v>83</v>
      </c>
      <c r="E405" s="2" t="n">
        <v>3</v>
      </c>
      <c r="F405" s="2" t="n">
        <v>2</v>
      </c>
      <c r="G405" s="2" t="n">
        <v>1</v>
      </c>
      <c r="H405" s="2" t="n">
        <v>0</v>
      </c>
      <c r="I405" s="2" t="n">
        <v>0</v>
      </c>
      <c r="J405" s="2" t="n">
        <v>0</v>
      </c>
      <c r="K405" s="2" t="n">
        <v>0</v>
      </c>
      <c r="L405" s="11" t="b">
        <f aca="false">FALSE()</f>
        <v>0</v>
      </c>
      <c r="M405" s="2" t="s">
        <v>406</v>
      </c>
      <c r="N405" s="2" t="n">
        <f aca="false">IF(E405&gt;0,F405/E405,"")</f>
        <v>0.666666666666667</v>
      </c>
      <c r="O405" s="2" t="str">
        <f aca="false">IF(AND(E405&gt;0,L405),J405/E405,"")</f>
        <v/>
      </c>
    </row>
    <row r="406" customFormat="false" ht="15" hidden="false" customHeight="false" outlineLevel="0" collapsed="false">
      <c r="A406" s="2" t="n">
        <v>2021</v>
      </c>
      <c r="B406" s="2" t="s">
        <v>58</v>
      </c>
      <c r="C406" s="2" t="s">
        <v>412</v>
      </c>
      <c r="D406" s="2" t="s">
        <v>29</v>
      </c>
      <c r="E406" s="2" t="n">
        <v>8</v>
      </c>
      <c r="F406" s="2" t="n">
        <v>37</v>
      </c>
      <c r="G406" s="2" t="n">
        <v>22</v>
      </c>
      <c r="H406" s="2" t="n">
        <v>9</v>
      </c>
      <c r="I406" s="2" t="n">
        <v>1</v>
      </c>
      <c r="J406" s="2" t="n">
        <v>0</v>
      </c>
      <c r="K406" s="2" t="n">
        <v>0</v>
      </c>
      <c r="L406" s="11" t="b">
        <f aca="false">FALSE()</f>
        <v>0</v>
      </c>
      <c r="M406" s="2" t="s">
        <v>406</v>
      </c>
      <c r="N406" s="2" t="n">
        <f aca="false">IF(E406&gt;0,F406/E406,"")</f>
        <v>4.625</v>
      </c>
      <c r="O406" s="2" t="str">
        <f aca="false">IF(AND(E406&gt;0,L406),J406/E406,"")</f>
        <v/>
      </c>
    </row>
    <row r="407" customFormat="false" ht="15" hidden="false" customHeight="false" outlineLevel="0" collapsed="false">
      <c r="A407" s="2" t="n">
        <v>2021</v>
      </c>
      <c r="B407" s="2" t="s">
        <v>523</v>
      </c>
      <c r="C407" s="2" t="s">
        <v>543</v>
      </c>
      <c r="D407" s="2" t="s">
        <v>24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11" t="b">
        <f aca="false">FALSE()</f>
        <v>0</v>
      </c>
      <c r="M407" s="2" t="s">
        <v>410</v>
      </c>
      <c r="N407" s="2" t="str">
        <f aca="false">IF(E407&gt;0,F407/E407,"")</f>
        <v/>
      </c>
      <c r="O407" s="2" t="str">
        <f aca="false">IF(AND(E407&gt;0,L407),J407/E407,"")</f>
        <v/>
      </c>
    </row>
    <row r="408" customFormat="false" ht="15" hidden="false" customHeight="false" outlineLevel="0" collapsed="false">
      <c r="A408" s="2" t="n">
        <v>2021</v>
      </c>
      <c r="B408" s="2" t="s">
        <v>551</v>
      </c>
      <c r="C408" s="2" t="s">
        <v>543</v>
      </c>
      <c r="D408" s="2" t="s">
        <v>413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11" t="b">
        <f aca="false">FALSE()</f>
        <v>0</v>
      </c>
      <c r="M408" s="2" t="s">
        <v>410</v>
      </c>
      <c r="N408" s="2" t="str">
        <f aca="false">IF(E408&gt;0,F408/E408,"")</f>
        <v/>
      </c>
      <c r="O408" s="2" t="str">
        <f aca="false">IF(AND(E408&gt;0,L408),J408/E408,"")</f>
        <v/>
      </c>
    </row>
    <row r="409" customFormat="false" ht="15" hidden="false" customHeight="false" outlineLevel="0" collapsed="false">
      <c r="A409" s="2" t="n">
        <v>2021</v>
      </c>
      <c r="B409" s="2" t="s">
        <v>43</v>
      </c>
      <c r="C409" s="2" t="s">
        <v>545</v>
      </c>
      <c r="D409" s="2" t="s">
        <v>24</v>
      </c>
      <c r="E409" s="2" t="n">
        <v>9</v>
      </c>
      <c r="F409" s="2" t="n">
        <v>47</v>
      </c>
      <c r="G409" s="2" t="n">
        <v>33</v>
      </c>
      <c r="H409" s="2" t="n">
        <v>18</v>
      </c>
      <c r="I409" s="2" t="n">
        <v>3</v>
      </c>
      <c r="J409" s="2" t="n">
        <v>0</v>
      </c>
      <c r="K409" s="2" t="n">
        <v>0</v>
      </c>
      <c r="L409" s="11" t="b">
        <f aca="false">FALSE()</f>
        <v>0</v>
      </c>
      <c r="M409" s="2" t="s">
        <v>406</v>
      </c>
      <c r="N409" s="2" t="n">
        <f aca="false">IF(E409&gt;0,F409/E409,"")</f>
        <v>5.22222222222222</v>
      </c>
      <c r="O409" s="2" t="str">
        <f aca="false">IF(AND(E409&gt;0,L409),J409/E409,"")</f>
        <v/>
      </c>
    </row>
    <row r="410" customFormat="false" ht="15" hidden="false" customHeight="false" outlineLevel="0" collapsed="false">
      <c r="A410" s="2" t="n">
        <v>2021</v>
      </c>
      <c r="B410" s="2" t="s">
        <v>524</v>
      </c>
      <c r="C410" s="2" t="s">
        <v>545</v>
      </c>
      <c r="D410" s="2" t="s">
        <v>83</v>
      </c>
      <c r="E410" s="2" t="n">
        <v>5</v>
      </c>
      <c r="F410" s="2" t="n">
        <v>1</v>
      </c>
      <c r="G410" s="2" t="n">
        <v>1</v>
      </c>
      <c r="H410" s="2" t="n">
        <v>0</v>
      </c>
      <c r="I410" s="2" t="n">
        <v>1</v>
      </c>
      <c r="J410" s="2" t="n">
        <v>0</v>
      </c>
      <c r="K410" s="2" t="n">
        <v>0</v>
      </c>
      <c r="L410" s="11" t="b">
        <f aca="false">FALSE()</f>
        <v>0</v>
      </c>
      <c r="M410" s="2" t="s">
        <v>406</v>
      </c>
      <c r="N410" s="2" t="n">
        <f aca="false">IF(E410&gt;0,F410/E410,"")</f>
        <v>0.2</v>
      </c>
      <c r="O410" s="2" t="str">
        <f aca="false">IF(AND(E410&gt;0,L410),J410/E410,"")</f>
        <v/>
      </c>
    </row>
    <row r="411" customFormat="false" ht="15" hidden="false" customHeight="false" outlineLevel="0" collapsed="false">
      <c r="A411" s="2" t="n">
        <v>2021</v>
      </c>
      <c r="B411" s="2" t="s">
        <v>142</v>
      </c>
      <c r="C411" s="2" t="s">
        <v>414</v>
      </c>
      <c r="D411" s="2" t="s">
        <v>117</v>
      </c>
      <c r="E411" s="2" t="n">
        <v>9</v>
      </c>
      <c r="F411" s="2" t="n">
        <v>1</v>
      </c>
      <c r="G411" s="2" t="n">
        <v>1</v>
      </c>
      <c r="H411" s="2" t="n">
        <v>0</v>
      </c>
      <c r="I411" s="2" t="n">
        <v>2</v>
      </c>
      <c r="J411" s="2" t="n">
        <v>0</v>
      </c>
      <c r="K411" s="2" t="n">
        <v>0</v>
      </c>
      <c r="L411" s="11" t="b">
        <f aca="false">FALSE()</f>
        <v>0</v>
      </c>
      <c r="M411" s="2" t="s">
        <v>406</v>
      </c>
      <c r="N411" s="2" t="n">
        <f aca="false">IF(E411&gt;0,F411/E411,"")</f>
        <v>0.111111111111111</v>
      </c>
      <c r="O411" s="2" t="str">
        <f aca="false">IF(AND(E411&gt;0,L411),J411/E411,"")</f>
        <v/>
      </c>
    </row>
    <row r="412" customFormat="false" ht="15" hidden="false" customHeight="false" outlineLevel="0" collapsed="false">
      <c r="A412" s="2" t="n">
        <v>2021</v>
      </c>
      <c r="B412" s="2" t="s">
        <v>433</v>
      </c>
      <c r="C412" s="2" t="s">
        <v>543</v>
      </c>
      <c r="D412" s="2"/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11" t="b">
        <f aca="false">FALSE()</f>
        <v>0</v>
      </c>
      <c r="M412" s="2" t="s">
        <v>410</v>
      </c>
      <c r="N412" s="2" t="str">
        <f aca="false">IF(E412&gt;0,F412/E412,"")</f>
        <v/>
      </c>
      <c r="O412" s="2" t="str">
        <f aca="false">IF(AND(E412&gt;0,L412),J412/E412,"")</f>
        <v/>
      </c>
    </row>
    <row r="413" customFormat="false" ht="15" hidden="false" customHeight="false" outlineLevel="0" collapsed="false">
      <c r="A413" s="2" t="n">
        <v>2021</v>
      </c>
      <c r="B413" s="2" t="s">
        <v>304</v>
      </c>
      <c r="C413" s="2" t="s">
        <v>412</v>
      </c>
      <c r="D413" s="2" t="s">
        <v>117</v>
      </c>
      <c r="E413" s="2" t="n">
        <v>9</v>
      </c>
      <c r="F413" s="2" t="n">
        <v>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11" t="b">
        <f aca="false">FALSE()</f>
        <v>0</v>
      </c>
      <c r="M413" s="2" t="s">
        <v>406</v>
      </c>
      <c r="N413" s="2" t="n">
        <f aca="false">IF(E413&gt;0,F413/E413,"")</f>
        <v>0.111111111111111</v>
      </c>
      <c r="O413" s="2" t="str">
        <f aca="false">IF(AND(E413&gt;0,L413),J413/E413,"")</f>
        <v/>
      </c>
    </row>
    <row r="414" customFormat="false" ht="15" hidden="false" customHeight="false" outlineLevel="0" collapsed="false">
      <c r="A414" s="2" t="n">
        <v>2021</v>
      </c>
      <c r="B414" s="2" t="s">
        <v>387</v>
      </c>
      <c r="C414" s="2" t="s">
        <v>545</v>
      </c>
      <c r="D414" s="2" t="s">
        <v>115</v>
      </c>
      <c r="E414" s="2" t="n">
        <v>9</v>
      </c>
      <c r="F414" s="2" t="n">
        <v>1</v>
      </c>
      <c r="G414" s="2" t="n">
        <v>1</v>
      </c>
      <c r="H414" s="2" t="n">
        <v>1</v>
      </c>
      <c r="I414" s="2" t="n">
        <v>2</v>
      </c>
      <c r="J414" s="2" t="n">
        <v>0</v>
      </c>
      <c r="K414" s="2" t="n">
        <v>0</v>
      </c>
      <c r="L414" s="11" t="b">
        <f aca="false">FALSE()</f>
        <v>0</v>
      </c>
      <c r="M414" s="2" t="s">
        <v>406</v>
      </c>
      <c r="N414" s="2" t="n">
        <f aca="false">IF(E414&gt;0,F414/E414,"")</f>
        <v>0.111111111111111</v>
      </c>
      <c r="O414" s="2" t="str">
        <f aca="false">IF(AND(E414&gt;0,L414),J414/E414,"")</f>
        <v/>
      </c>
    </row>
    <row r="415" customFormat="false" ht="15" hidden="false" customHeight="false" outlineLevel="0" collapsed="false">
      <c r="A415" s="2" t="n">
        <v>2021</v>
      </c>
      <c r="B415" s="2" t="s">
        <v>552</v>
      </c>
      <c r="C415" s="2" t="s">
        <v>545</v>
      </c>
      <c r="D415" s="2" t="s">
        <v>29</v>
      </c>
      <c r="E415" s="2" t="n">
        <v>5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11" t="b">
        <f aca="false">FALSE()</f>
        <v>0</v>
      </c>
      <c r="M415" s="2" t="s">
        <v>406</v>
      </c>
      <c r="N415" s="2" t="n">
        <f aca="false">IF(E415&gt;0,F415/E415,"")</f>
        <v>0</v>
      </c>
      <c r="O415" s="2" t="str">
        <f aca="false">IF(AND(E415&gt;0,L415),J415/E415,"")</f>
        <v/>
      </c>
    </row>
    <row r="416" customFormat="false" ht="15" hidden="false" customHeight="false" outlineLevel="0" collapsed="false">
      <c r="A416" s="2" t="n">
        <v>2021</v>
      </c>
      <c r="B416" s="2" t="s">
        <v>178</v>
      </c>
      <c r="C416" s="2" t="s">
        <v>414</v>
      </c>
      <c r="D416" s="2" t="s">
        <v>115</v>
      </c>
      <c r="E416" s="2" t="n">
        <v>8</v>
      </c>
      <c r="F416" s="2" t="n">
        <v>13</v>
      </c>
      <c r="G416" s="2" t="n">
        <v>6</v>
      </c>
      <c r="H416" s="2" t="n">
        <v>2</v>
      </c>
      <c r="I416" s="2" t="n">
        <v>3</v>
      </c>
      <c r="J416" s="2" t="n">
        <v>0</v>
      </c>
      <c r="K416" s="2" t="n">
        <v>0</v>
      </c>
      <c r="L416" s="11" t="b">
        <f aca="false">FALSE()</f>
        <v>0</v>
      </c>
      <c r="M416" s="2" t="s">
        <v>406</v>
      </c>
      <c r="N416" s="2" t="n">
        <f aca="false">IF(E416&gt;0,F416/E416,"")</f>
        <v>1.625</v>
      </c>
      <c r="O416" s="2" t="str">
        <f aca="false">IF(AND(E416&gt;0,L416),J416/E416,"")</f>
        <v/>
      </c>
    </row>
    <row r="417" customFormat="false" ht="15" hidden="false" customHeight="false" outlineLevel="0" collapsed="false">
      <c r="A417" s="2" t="n">
        <v>2021</v>
      </c>
      <c r="B417" s="2" t="s">
        <v>435</v>
      </c>
      <c r="C417" s="2" t="s">
        <v>543</v>
      </c>
      <c r="D417" s="2" t="s">
        <v>29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11" t="b">
        <f aca="false">FALSE()</f>
        <v>0</v>
      </c>
      <c r="M417" s="2" t="s">
        <v>410</v>
      </c>
      <c r="N417" s="2" t="str">
        <f aca="false">IF(E417&gt;0,F417/E417,"")</f>
        <v/>
      </c>
      <c r="O417" s="2" t="str">
        <f aca="false">IF(AND(E417&gt;0,L417),J417/E417,"")</f>
        <v/>
      </c>
    </row>
    <row r="418" customFormat="false" ht="15" hidden="false" customHeight="false" outlineLevel="0" collapsed="false">
      <c r="A418" s="2" t="n">
        <v>2021</v>
      </c>
      <c r="B418" s="2" t="s">
        <v>155</v>
      </c>
      <c r="C418" s="2" t="s">
        <v>405</v>
      </c>
      <c r="D418" s="2" t="s">
        <v>117</v>
      </c>
      <c r="E418" s="2" t="n">
        <v>9</v>
      </c>
      <c r="F418" s="2" t="n">
        <v>7</v>
      </c>
      <c r="G418" s="2" t="n">
        <v>5</v>
      </c>
      <c r="H418" s="2" t="n">
        <v>2</v>
      </c>
      <c r="I418" s="2" t="n">
        <v>0</v>
      </c>
      <c r="J418" s="2" t="n">
        <v>0</v>
      </c>
      <c r="K418" s="2" t="n">
        <v>0</v>
      </c>
      <c r="L418" s="11" t="b">
        <f aca="false">FALSE()</f>
        <v>0</v>
      </c>
      <c r="M418" s="2" t="s">
        <v>406</v>
      </c>
      <c r="N418" s="2" t="n">
        <f aca="false">IF(E418&gt;0,F418/E418,"")</f>
        <v>0.777777777777778</v>
      </c>
      <c r="O418" s="2" t="str">
        <f aca="false">IF(AND(E418&gt;0,L418),J418/E418,"")</f>
        <v/>
      </c>
    </row>
    <row r="419" customFormat="false" ht="15" hidden="false" customHeight="false" outlineLevel="0" collapsed="false">
      <c r="A419" s="2" t="n">
        <v>2021</v>
      </c>
      <c r="B419" s="2" t="s">
        <v>437</v>
      </c>
      <c r="C419" s="2" t="s">
        <v>418</v>
      </c>
      <c r="D419" s="2" t="s">
        <v>413</v>
      </c>
      <c r="E419" s="2" t="n">
        <v>9</v>
      </c>
      <c r="F419" s="2" t="n">
        <v>2</v>
      </c>
      <c r="G419" s="2" t="n">
        <v>2</v>
      </c>
      <c r="H419" s="2" t="n">
        <v>2</v>
      </c>
      <c r="I419" s="2" t="n">
        <v>0</v>
      </c>
      <c r="J419" s="2" t="n">
        <v>0</v>
      </c>
      <c r="K419" s="2" t="n">
        <v>0</v>
      </c>
      <c r="L419" s="11" t="b">
        <f aca="false">FALSE()</f>
        <v>0</v>
      </c>
      <c r="M419" s="2" t="s">
        <v>410</v>
      </c>
      <c r="N419" s="2" t="n">
        <f aca="false">IF(E419&gt;0,F419/E419,"")</f>
        <v>0.222222222222222</v>
      </c>
      <c r="O419" s="2" t="str">
        <f aca="false">IF(AND(E419&gt;0,L419),J419/E419,"")</f>
        <v/>
      </c>
    </row>
    <row r="420" customFormat="false" ht="15" hidden="false" customHeight="false" outlineLevel="0" collapsed="false">
      <c r="A420" s="2" t="n">
        <v>2021</v>
      </c>
      <c r="B420" s="2" t="s">
        <v>28</v>
      </c>
      <c r="C420" s="2" t="s">
        <v>408</v>
      </c>
      <c r="D420" s="2" t="s">
        <v>24</v>
      </c>
      <c r="E420" s="2" t="n">
        <v>9</v>
      </c>
      <c r="F420" s="2" t="n">
        <v>40</v>
      </c>
      <c r="G420" s="2" t="n">
        <v>28</v>
      </c>
      <c r="H420" s="2" t="n">
        <v>13</v>
      </c>
      <c r="I420" s="2" t="n">
        <v>8</v>
      </c>
      <c r="J420" s="2" t="n">
        <v>0</v>
      </c>
      <c r="K420" s="2" t="n">
        <v>0</v>
      </c>
      <c r="L420" s="11" t="b">
        <f aca="false">FALSE()</f>
        <v>0</v>
      </c>
      <c r="M420" s="2" t="s">
        <v>406</v>
      </c>
      <c r="N420" s="2" t="n">
        <f aca="false">IF(E420&gt;0,F420/E420,"")</f>
        <v>4.44444444444445</v>
      </c>
      <c r="O420" s="2" t="str">
        <f aca="false">IF(AND(E420&gt;0,L420),J420/E420,"")</f>
        <v/>
      </c>
    </row>
    <row r="421" customFormat="false" ht="15" hidden="false" customHeight="false" outlineLevel="0" collapsed="false">
      <c r="A421" s="2" t="n">
        <v>2021</v>
      </c>
      <c r="B421" s="2" t="s">
        <v>525</v>
      </c>
      <c r="C421" s="2" t="s">
        <v>543</v>
      </c>
      <c r="D421" s="2" t="s">
        <v>117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11" t="b">
        <f aca="false">FALSE()</f>
        <v>0</v>
      </c>
      <c r="M421" s="2" t="s">
        <v>410</v>
      </c>
      <c r="N421" s="2" t="str">
        <f aca="false">IF(E421&gt;0,F421/E421,"")</f>
        <v/>
      </c>
      <c r="O421" s="2" t="str">
        <f aca="false">IF(AND(E421&gt;0,L421),J421/E421,"")</f>
        <v/>
      </c>
    </row>
    <row r="422" customFormat="false" ht="15" hidden="false" customHeight="false" outlineLevel="0" collapsed="false">
      <c r="A422" s="2" t="n">
        <v>2021</v>
      </c>
      <c r="B422" s="2" t="s">
        <v>440</v>
      </c>
      <c r="C422" s="2" t="s">
        <v>545</v>
      </c>
      <c r="D422" s="2" t="s">
        <v>413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11" t="b">
        <f aca="false">FALSE()</f>
        <v>0</v>
      </c>
      <c r="M422" s="2" t="s">
        <v>410</v>
      </c>
      <c r="N422" s="2" t="str">
        <f aca="false">IF(E422&gt;0,F422/E422,"")</f>
        <v/>
      </c>
      <c r="O422" s="2" t="str">
        <f aca="false">IF(AND(E422&gt;0,L422),J422/E422,"")</f>
        <v/>
      </c>
    </row>
    <row r="423" customFormat="false" ht="15" hidden="false" customHeight="false" outlineLevel="0" collapsed="false">
      <c r="A423" s="2" t="n">
        <v>2021</v>
      </c>
      <c r="B423" s="2" t="s">
        <v>133</v>
      </c>
      <c r="C423" s="2" t="s">
        <v>420</v>
      </c>
      <c r="D423" s="2" t="s">
        <v>24</v>
      </c>
      <c r="E423" s="2" t="n">
        <v>5</v>
      </c>
      <c r="F423" s="2" t="n">
        <v>35</v>
      </c>
      <c r="G423" s="2" t="n">
        <v>23</v>
      </c>
      <c r="H423" s="2" t="n">
        <v>12</v>
      </c>
      <c r="I423" s="2" t="n">
        <v>1</v>
      </c>
      <c r="J423" s="2" t="n">
        <v>0</v>
      </c>
      <c r="K423" s="2" t="n">
        <v>0</v>
      </c>
      <c r="L423" s="11" t="b">
        <f aca="false">FALSE()</f>
        <v>0</v>
      </c>
      <c r="M423" s="2" t="s">
        <v>406</v>
      </c>
      <c r="N423" s="2" t="n">
        <f aca="false">IF(E423&gt;0,F423/E423,"")</f>
        <v>7</v>
      </c>
      <c r="O423" s="2" t="str">
        <f aca="false">IF(AND(E423&gt;0,L423),J423/E423,"")</f>
        <v/>
      </c>
    </row>
    <row r="424" customFormat="false" ht="15" hidden="false" customHeight="false" outlineLevel="0" collapsed="false">
      <c r="A424" s="2" t="n">
        <v>2021</v>
      </c>
      <c r="B424" s="2" t="s">
        <v>222</v>
      </c>
      <c r="C424" s="2" t="s">
        <v>420</v>
      </c>
      <c r="D424" s="2" t="s">
        <v>29</v>
      </c>
      <c r="E424" s="2" t="n">
        <v>6</v>
      </c>
      <c r="F424" s="2" t="n">
        <v>24</v>
      </c>
      <c r="G424" s="2" t="n">
        <v>12</v>
      </c>
      <c r="H424" s="2" t="n">
        <v>3</v>
      </c>
      <c r="I424" s="2" t="n">
        <v>5</v>
      </c>
      <c r="J424" s="2" t="n">
        <v>0</v>
      </c>
      <c r="K424" s="2" t="n">
        <v>0</v>
      </c>
      <c r="L424" s="11" t="b">
        <f aca="false">FALSE()</f>
        <v>0</v>
      </c>
      <c r="M424" s="2" t="s">
        <v>406</v>
      </c>
      <c r="N424" s="2" t="n">
        <f aca="false">IF(E424&gt;0,F424/E424,"")</f>
        <v>4</v>
      </c>
      <c r="O424" s="2" t="str">
        <f aca="false">IF(AND(E424&gt;0,L424),J424/E424,"")</f>
        <v/>
      </c>
    </row>
    <row r="425" customFormat="false" ht="15" hidden="false" customHeight="false" outlineLevel="0" collapsed="false">
      <c r="A425" s="2" t="n">
        <v>2021</v>
      </c>
      <c r="B425" s="2" t="s">
        <v>553</v>
      </c>
      <c r="C425" s="2" t="s">
        <v>408</v>
      </c>
      <c r="D425" s="2" t="s">
        <v>413</v>
      </c>
      <c r="E425" s="2" t="n">
        <v>1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11" t="b">
        <f aca="false">FALSE()</f>
        <v>0</v>
      </c>
      <c r="M425" s="2" t="s">
        <v>410</v>
      </c>
      <c r="N425" s="2" t="n">
        <f aca="false">IF(E425&gt;0,F425/E425,"")</f>
        <v>0</v>
      </c>
      <c r="O425" s="2" t="str">
        <f aca="false">IF(AND(E425&gt;0,L425),J425/E425,"")</f>
        <v/>
      </c>
    </row>
    <row r="426" customFormat="false" ht="15" hidden="false" customHeight="false" outlineLevel="0" collapsed="false">
      <c r="A426" s="2" t="n">
        <v>2021</v>
      </c>
      <c r="B426" s="2" t="s">
        <v>554</v>
      </c>
      <c r="C426" s="2" t="s">
        <v>420</v>
      </c>
      <c r="D426" s="2" t="s">
        <v>413</v>
      </c>
      <c r="E426" s="2" t="n">
        <v>2</v>
      </c>
      <c r="F426" s="2" t="n">
        <v>1</v>
      </c>
      <c r="G426" s="2" t="n">
        <v>1</v>
      </c>
      <c r="H426" s="2" t="n">
        <v>0</v>
      </c>
      <c r="I426" s="2" t="n">
        <v>0</v>
      </c>
      <c r="J426" s="2" t="n">
        <v>0</v>
      </c>
      <c r="K426" s="2" t="n">
        <v>0</v>
      </c>
      <c r="L426" s="11" t="b">
        <f aca="false">FALSE()</f>
        <v>0</v>
      </c>
      <c r="M426" s="2" t="s">
        <v>410</v>
      </c>
      <c r="N426" s="2" t="n">
        <f aca="false">IF(E426&gt;0,F426/E426,"")</f>
        <v>0.5</v>
      </c>
      <c r="O426" s="2" t="str">
        <f aca="false">IF(AND(E426&gt;0,L426),J426/E426,"")</f>
        <v/>
      </c>
    </row>
    <row r="427" customFormat="false" ht="15" hidden="false" customHeight="false" outlineLevel="0" collapsed="false">
      <c r="A427" s="2" t="n">
        <v>2021</v>
      </c>
      <c r="B427" s="2" t="s">
        <v>441</v>
      </c>
      <c r="C427" s="2" t="s">
        <v>418</v>
      </c>
      <c r="D427" s="2" t="s">
        <v>409</v>
      </c>
      <c r="E427" s="2" t="n">
        <v>9</v>
      </c>
      <c r="F427" s="2" t="n">
        <v>2</v>
      </c>
      <c r="G427" s="2" t="n">
        <v>0</v>
      </c>
      <c r="H427" s="2" t="n">
        <v>0</v>
      </c>
      <c r="I427" s="2" t="n">
        <v>1</v>
      </c>
      <c r="J427" s="2" t="n">
        <v>0</v>
      </c>
      <c r="K427" s="2" t="n">
        <v>0</v>
      </c>
      <c r="L427" s="11" t="b">
        <f aca="false">FALSE()</f>
        <v>0</v>
      </c>
      <c r="M427" s="2" t="s">
        <v>410</v>
      </c>
      <c r="N427" s="2" t="n">
        <f aca="false">IF(E427&gt;0,F427/E427,"")</f>
        <v>0.222222222222222</v>
      </c>
      <c r="O427" s="2" t="str">
        <f aca="false">IF(AND(E427&gt;0,L427),J427/E427,"")</f>
        <v/>
      </c>
    </row>
    <row r="428" customFormat="false" ht="15" hidden="false" customHeight="false" outlineLevel="0" collapsed="false">
      <c r="A428" s="2" t="n">
        <v>2021</v>
      </c>
      <c r="B428" s="2" t="s">
        <v>283</v>
      </c>
      <c r="C428" s="2" t="s">
        <v>545</v>
      </c>
      <c r="D428" s="2" t="s">
        <v>117</v>
      </c>
      <c r="E428" s="2" t="n">
        <v>9</v>
      </c>
      <c r="F428" s="2" t="n">
        <v>2</v>
      </c>
      <c r="G428" s="2" t="n">
        <v>2</v>
      </c>
      <c r="H428" s="2" t="n">
        <v>1</v>
      </c>
      <c r="I428" s="2" t="n">
        <v>1</v>
      </c>
      <c r="J428" s="2" t="n">
        <v>0</v>
      </c>
      <c r="K428" s="2" t="n">
        <v>0</v>
      </c>
      <c r="L428" s="11" t="b">
        <f aca="false">FALSE()</f>
        <v>0</v>
      </c>
      <c r="M428" s="2" t="s">
        <v>406</v>
      </c>
      <c r="N428" s="2" t="n">
        <f aca="false">IF(E428&gt;0,F428/E428,"")</f>
        <v>0.222222222222222</v>
      </c>
      <c r="O428" s="2" t="str">
        <f aca="false">IF(AND(E428&gt;0,L428),J428/E428,"")</f>
        <v/>
      </c>
    </row>
    <row r="429" customFormat="false" ht="15" hidden="false" customHeight="false" outlineLevel="0" collapsed="false">
      <c r="A429" s="2" t="n">
        <v>2021</v>
      </c>
      <c r="B429" s="2" t="s">
        <v>30</v>
      </c>
      <c r="C429" s="2" t="s">
        <v>405</v>
      </c>
      <c r="D429" s="2" t="s">
        <v>24</v>
      </c>
      <c r="E429" s="2" t="n">
        <v>9</v>
      </c>
      <c r="F429" s="2" t="n">
        <v>45</v>
      </c>
      <c r="G429" s="2" t="n">
        <v>23</v>
      </c>
      <c r="H429" s="2" t="n">
        <v>14</v>
      </c>
      <c r="I429" s="2" t="n">
        <v>1</v>
      </c>
      <c r="J429" s="2" t="n">
        <v>0</v>
      </c>
      <c r="K429" s="2" t="n">
        <v>0</v>
      </c>
      <c r="L429" s="11" t="b">
        <f aca="false">FALSE()</f>
        <v>0</v>
      </c>
      <c r="M429" s="2" t="s">
        <v>406</v>
      </c>
      <c r="N429" s="2" t="n">
        <f aca="false">IF(E429&gt;0,F429/E429,"")</f>
        <v>5</v>
      </c>
      <c r="O429" s="2" t="str">
        <f aca="false">IF(AND(E429&gt;0,L429),J429/E429,"")</f>
        <v/>
      </c>
    </row>
    <row r="430" customFormat="false" ht="15" hidden="false" customHeight="false" outlineLevel="0" collapsed="false">
      <c r="A430" s="2" t="n">
        <v>2021</v>
      </c>
      <c r="B430" s="2" t="s">
        <v>527</v>
      </c>
      <c r="C430" s="2" t="s">
        <v>543</v>
      </c>
      <c r="D430" s="2" t="s">
        <v>24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11" t="b">
        <f aca="false">FALSE()</f>
        <v>0</v>
      </c>
      <c r="M430" s="2" t="s">
        <v>410</v>
      </c>
      <c r="N430" s="2" t="str">
        <f aca="false">IF(E430&gt;0,F430/E430,"")</f>
        <v/>
      </c>
      <c r="O430" s="2" t="str">
        <f aca="false">IF(AND(E430&gt;0,L430),J430/E430,"")</f>
        <v/>
      </c>
    </row>
    <row r="431" customFormat="false" ht="15" hidden="false" customHeight="false" outlineLevel="0" collapsed="false">
      <c r="A431" s="2" t="n">
        <v>2021</v>
      </c>
      <c r="B431" s="2" t="s">
        <v>442</v>
      </c>
      <c r="C431" s="2" t="s">
        <v>408</v>
      </c>
      <c r="D431" s="2" t="s">
        <v>409</v>
      </c>
      <c r="E431" s="2" t="n">
        <v>9</v>
      </c>
      <c r="F431" s="2" t="n">
        <v>6</v>
      </c>
      <c r="G431" s="2" t="n">
        <v>1</v>
      </c>
      <c r="H431" s="2" t="n">
        <v>1</v>
      </c>
      <c r="I431" s="2" t="n">
        <v>1</v>
      </c>
      <c r="J431" s="2" t="n">
        <v>0</v>
      </c>
      <c r="K431" s="2" t="n">
        <v>0</v>
      </c>
      <c r="L431" s="11" t="b">
        <f aca="false">FALSE()</f>
        <v>0</v>
      </c>
      <c r="M431" s="2" t="s">
        <v>410</v>
      </c>
      <c r="N431" s="2" t="n">
        <f aca="false">IF(E431&gt;0,F431/E431,"")</f>
        <v>0.666666666666667</v>
      </c>
      <c r="O431" s="2" t="str">
        <f aca="false">IF(AND(E431&gt;0,L431),J431/E431,"")</f>
        <v/>
      </c>
    </row>
    <row r="432" customFormat="false" ht="15" hidden="false" customHeight="false" outlineLevel="0" collapsed="false">
      <c r="A432" s="2" t="n">
        <v>2021</v>
      </c>
      <c r="B432" s="2" t="s">
        <v>144</v>
      </c>
      <c r="C432" s="2" t="s">
        <v>418</v>
      </c>
      <c r="D432" s="2" t="s">
        <v>117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11" t="b">
        <f aca="false">FALSE()</f>
        <v>0</v>
      </c>
      <c r="M432" s="2" t="s">
        <v>410</v>
      </c>
      <c r="N432" s="2" t="str">
        <f aca="false">IF(E432&gt;0,F432/E432,"")</f>
        <v/>
      </c>
      <c r="O432" s="2" t="str">
        <f aca="false">IF(AND(E432&gt;0,L432),J432/E432,"")</f>
        <v/>
      </c>
    </row>
    <row r="433" customFormat="false" ht="15" hidden="false" customHeight="false" outlineLevel="0" collapsed="false">
      <c r="A433" s="2" t="n">
        <v>2021</v>
      </c>
      <c r="B433" s="2" t="s">
        <v>217</v>
      </c>
      <c r="C433" s="2" t="s">
        <v>405</v>
      </c>
      <c r="D433" s="2" t="s">
        <v>117</v>
      </c>
      <c r="E433" s="2" t="n">
        <v>9</v>
      </c>
      <c r="F433" s="2" t="n">
        <v>3</v>
      </c>
      <c r="G433" s="2" t="n">
        <v>2</v>
      </c>
      <c r="H433" s="2" t="n">
        <v>0</v>
      </c>
      <c r="I433" s="2" t="n">
        <v>0</v>
      </c>
      <c r="J433" s="2" t="n">
        <v>0</v>
      </c>
      <c r="K433" s="2" t="n">
        <v>0</v>
      </c>
      <c r="L433" s="11" t="b">
        <f aca="false">FALSE()</f>
        <v>0</v>
      </c>
      <c r="M433" s="2" t="s">
        <v>406</v>
      </c>
      <c r="N433" s="2" t="n">
        <f aca="false">IF(E433&gt;0,F433/E433,"")</f>
        <v>0.333333333333333</v>
      </c>
      <c r="O433" s="2" t="str">
        <f aca="false">IF(AND(E433&gt;0,L433),J433/E433,"")</f>
        <v/>
      </c>
    </row>
    <row r="434" customFormat="false" ht="15" hidden="false" customHeight="false" outlineLevel="0" collapsed="false">
      <c r="A434" s="2" t="n">
        <v>2021</v>
      </c>
      <c r="B434" s="2" t="s">
        <v>528</v>
      </c>
      <c r="C434" s="2" t="s">
        <v>420</v>
      </c>
      <c r="D434" s="2" t="s">
        <v>24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11" t="b">
        <f aca="false">FALSE()</f>
        <v>0</v>
      </c>
      <c r="M434" s="2" t="s">
        <v>410</v>
      </c>
      <c r="N434" s="2" t="str">
        <f aca="false">IF(E434&gt;0,F434/E434,"")</f>
        <v/>
      </c>
      <c r="O434" s="2" t="str">
        <f aca="false">IF(AND(E434&gt;0,L434),J434/E434,"")</f>
        <v/>
      </c>
    </row>
    <row r="435" customFormat="false" ht="15" hidden="false" customHeight="false" outlineLevel="0" collapsed="false">
      <c r="A435" s="2" t="n">
        <v>2021</v>
      </c>
      <c r="B435" s="2" t="s">
        <v>215</v>
      </c>
      <c r="C435" s="2" t="s">
        <v>420</v>
      </c>
      <c r="D435" s="2" t="s">
        <v>83</v>
      </c>
      <c r="E435" s="2" t="n">
        <v>9</v>
      </c>
      <c r="F435" s="2" t="n">
        <v>2</v>
      </c>
      <c r="G435" s="2" t="n">
        <v>2</v>
      </c>
      <c r="H435" s="2" t="n">
        <v>0</v>
      </c>
      <c r="I435" s="2" t="n">
        <v>0</v>
      </c>
      <c r="J435" s="2" t="n">
        <v>0</v>
      </c>
      <c r="K435" s="2" t="n">
        <v>0</v>
      </c>
      <c r="L435" s="11" t="b">
        <f aca="false">FALSE()</f>
        <v>0</v>
      </c>
      <c r="M435" s="2" t="s">
        <v>406</v>
      </c>
      <c r="N435" s="2" t="n">
        <f aca="false">IF(E435&gt;0,F435/E435,"")</f>
        <v>0.222222222222222</v>
      </c>
      <c r="O435" s="2" t="str">
        <f aca="false">IF(AND(E435&gt;0,L435),J435/E435,"")</f>
        <v/>
      </c>
    </row>
    <row r="436" customFormat="false" ht="15" hidden="false" customHeight="false" outlineLevel="0" collapsed="false">
      <c r="A436" s="2" t="n">
        <v>2021</v>
      </c>
      <c r="B436" s="2" t="s">
        <v>190</v>
      </c>
      <c r="C436" s="2" t="s">
        <v>518</v>
      </c>
      <c r="D436" s="2" t="s">
        <v>117</v>
      </c>
      <c r="E436" s="2" t="n">
        <v>9</v>
      </c>
      <c r="F436" s="2" t="n">
        <v>1</v>
      </c>
      <c r="G436" s="2" t="n">
        <v>1</v>
      </c>
      <c r="H436" s="2" t="n">
        <v>1</v>
      </c>
      <c r="I436" s="2" t="n">
        <v>1</v>
      </c>
      <c r="J436" s="2" t="n">
        <v>0</v>
      </c>
      <c r="K436" s="2" t="n">
        <v>0</v>
      </c>
      <c r="L436" s="11" t="b">
        <f aca="false">FALSE()</f>
        <v>0</v>
      </c>
      <c r="M436" s="2" t="s">
        <v>406</v>
      </c>
      <c r="N436" s="2" t="n">
        <f aca="false">IF(E436&gt;0,F436/E436,"")</f>
        <v>0.111111111111111</v>
      </c>
      <c r="O436" s="2" t="str">
        <f aca="false">IF(AND(E436&gt;0,L436),J436/E436,"")</f>
        <v/>
      </c>
    </row>
    <row r="437" customFormat="false" ht="15" hidden="false" customHeight="false" outlineLevel="0" collapsed="false">
      <c r="A437" s="2" t="n">
        <v>2021</v>
      </c>
      <c r="B437" s="2" t="s">
        <v>164</v>
      </c>
      <c r="C437" s="2" t="s">
        <v>545</v>
      </c>
      <c r="D437" s="2" t="s">
        <v>83</v>
      </c>
      <c r="E437" s="2" t="n">
        <v>9</v>
      </c>
      <c r="F437" s="2" t="n">
        <v>3</v>
      </c>
      <c r="G437" s="2" t="n">
        <v>1</v>
      </c>
      <c r="H437" s="2" t="n">
        <v>0</v>
      </c>
      <c r="I437" s="2" t="n">
        <v>1</v>
      </c>
      <c r="J437" s="2" t="n">
        <v>0</v>
      </c>
      <c r="K437" s="2" t="n">
        <v>0</v>
      </c>
      <c r="L437" s="11" t="b">
        <f aca="false">FALSE()</f>
        <v>0</v>
      </c>
      <c r="M437" s="2" t="s">
        <v>406</v>
      </c>
      <c r="N437" s="2" t="n">
        <f aca="false">IF(E437&gt;0,F437/E437,"")</f>
        <v>0.333333333333333</v>
      </c>
      <c r="O437" s="2" t="str">
        <f aca="false">IF(AND(E437&gt;0,L437),J437/E437,"")</f>
        <v/>
      </c>
    </row>
    <row r="438" customFormat="false" ht="15" hidden="false" customHeight="false" outlineLevel="0" collapsed="false">
      <c r="A438" s="2" t="n">
        <v>2021</v>
      </c>
      <c r="B438" s="2" t="s">
        <v>443</v>
      </c>
      <c r="C438" s="2" t="s">
        <v>518</v>
      </c>
      <c r="D438" s="2"/>
      <c r="E438" s="2" t="n">
        <v>3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11" t="b">
        <f aca="false">FALSE()</f>
        <v>0</v>
      </c>
      <c r="M438" s="2" t="s">
        <v>410</v>
      </c>
      <c r="N438" s="2" t="n">
        <f aca="false">IF(E438&gt;0,F438/E438,"")</f>
        <v>0</v>
      </c>
      <c r="O438" s="2" t="str">
        <f aca="false">IF(AND(E438&gt;0,L438),J438/E438,"")</f>
        <v/>
      </c>
    </row>
    <row r="439" customFormat="false" ht="15" hidden="false" customHeight="false" outlineLevel="0" collapsed="false">
      <c r="A439" s="2" t="n">
        <v>2021</v>
      </c>
      <c r="B439" s="2" t="s">
        <v>255</v>
      </c>
      <c r="C439" s="2" t="s">
        <v>418</v>
      </c>
      <c r="D439" s="2" t="s">
        <v>117</v>
      </c>
      <c r="E439" s="2" t="n">
        <v>2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11" t="b">
        <f aca="false">FALSE()</f>
        <v>0</v>
      </c>
      <c r="M439" s="2" t="s">
        <v>410</v>
      </c>
      <c r="N439" s="2" t="n">
        <f aca="false">IF(E439&gt;0,F439/E439,"")</f>
        <v>0</v>
      </c>
      <c r="O439" s="2" t="str">
        <f aca="false">IF(AND(E439&gt;0,L439),J439/E439,"")</f>
        <v/>
      </c>
    </row>
    <row r="440" customFormat="false" ht="15" hidden="false" customHeight="false" outlineLevel="0" collapsed="false">
      <c r="A440" s="2" t="n">
        <v>2021</v>
      </c>
      <c r="B440" s="2" t="s">
        <v>157</v>
      </c>
      <c r="C440" s="2" t="s">
        <v>418</v>
      </c>
      <c r="D440" s="2" t="s">
        <v>24</v>
      </c>
      <c r="E440" s="2" t="n">
        <v>8</v>
      </c>
      <c r="F440" s="2" t="n">
        <v>34</v>
      </c>
      <c r="G440" s="2" t="n">
        <v>22</v>
      </c>
      <c r="H440" s="2" t="n">
        <v>6</v>
      </c>
      <c r="I440" s="2" t="n">
        <v>3</v>
      </c>
      <c r="J440" s="2" t="n">
        <v>0</v>
      </c>
      <c r="K440" s="2" t="n">
        <v>0</v>
      </c>
      <c r="L440" s="11" t="b">
        <f aca="false">FALSE()</f>
        <v>0</v>
      </c>
      <c r="M440" s="2" t="s">
        <v>406</v>
      </c>
      <c r="N440" s="2" t="n">
        <f aca="false">IF(E440&gt;0,F440/E440,"")</f>
        <v>4.25</v>
      </c>
      <c r="O440" s="2" t="str">
        <f aca="false">IF(AND(E440&gt;0,L440),J440/E440,"")</f>
        <v/>
      </c>
    </row>
    <row r="441" customFormat="false" ht="15" hidden="false" customHeight="false" outlineLevel="0" collapsed="false">
      <c r="A441" s="2" t="n">
        <v>2021</v>
      </c>
      <c r="B441" s="2" t="s">
        <v>347</v>
      </c>
      <c r="C441" s="2" t="s">
        <v>405</v>
      </c>
      <c r="D441" s="2" t="s">
        <v>83</v>
      </c>
      <c r="E441" s="2" t="n">
        <v>5</v>
      </c>
      <c r="F441" s="2" t="n">
        <v>1</v>
      </c>
      <c r="G441" s="2" t="n">
        <v>1</v>
      </c>
      <c r="H441" s="2" t="n">
        <v>1</v>
      </c>
      <c r="I441" s="2" t="n">
        <v>1</v>
      </c>
      <c r="J441" s="2" t="n">
        <v>0</v>
      </c>
      <c r="K441" s="2" t="n">
        <v>0</v>
      </c>
      <c r="L441" s="11" t="b">
        <f aca="false">FALSE()</f>
        <v>0</v>
      </c>
      <c r="M441" s="2" t="s">
        <v>406</v>
      </c>
      <c r="N441" s="2" t="n">
        <f aca="false">IF(E441&gt;0,F441/E441,"")</f>
        <v>0.2</v>
      </c>
      <c r="O441" s="2" t="str">
        <f aca="false">IF(AND(E441&gt;0,L441),J441/E441,"")</f>
        <v/>
      </c>
    </row>
    <row r="442" customFormat="false" ht="15" hidden="false" customHeight="false" outlineLevel="0" collapsed="false">
      <c r="A442" s="2" t="n">
        <v>2021</v>
      </c>
      <c r="B442" s="2" t="s">
        <v>224</v>
      </c>
      <c r="C442" s="2" t="s">
        <v>408</v>
      </c>
      <c r="D442" s="2" t="s">
        <v>83</v>
      </c>
      <c r="E442" s="2" t="n">
        <v>9</v>
      </c>
      <c r="F442" s="2" t="n">
        <v>6</v>
      </c>
      <c r="G442" s="2" t="n">
        <v>5</v>
      </c>
      <c r="H442" s="2" t="n">
        <v>4</v>
      </c>
      <c r="I442" s="2" t="n">
        <v>1</v>
      </c>
      <c r="J442" s="2" t="n">
        <v>0</v>
      </c>
      <c r="K442" s="2" t="n">
        <v>0</v>
      </c>
      <c r="L442" s="11" t="b">
        <f aca="false">FALSE()</f>
        <v>0</v>
      </c>
      <c r="M442" s="2" t="s">
        <v>406</v>
      </c>
      <c r="N442" s="2" t="n">
        <f aca="false">IF(E442&gt;0,F442/E442,"")</f>
        <v>0.666666666666667</v>
      </c>
      <c r="O442" s="2" t="str">
        <f aca="false">IF(AND(E442&gt;0,L442),J442/E442,"")</f>
        <v/>
      </c>
    </row>
    <row r="443" customFormat="false" ht="15" hidden="false" customHeight="false" outlineLevel="0" collapsed="false">
      <c r="A443" s="2" t="n">
        <v>2021</v>
      </c>
      <c r="B443" s="2" t="s">
        <v>445</v>
      </c>
      <c r="C443" s="2" t="s">
        <v>405</v>
      </c>
      <c r="D443" s="2" t="s">
        <v>29</v>
      </c>
      <c r="E443" s="2" t="n">
        <v>9</v>
      </c>
      <c r="F443" s="2" t="n">
        <v>17</v>
      </c>
      <c r="G443" s="2" t="n">
        <v>10</v>
      </c>
      <c r="H443" s="2" t="n">
        <v>4</v>
      </c>
      <c r="I443" s="2" t="n">
        <v>1</v>
      </c>
      <c r="J443" s="2" t="n">
        <v>0</v>
      </c>
      <c r="K443" s="2" t="n">
        <v>0</v>
      </c>
      <c r="L443" s="11" t="b">
        <f aca="false">FALSE()</f>
        <v>0</v>
      </c>
      <c r="M443" s="2" t="s">
        <v>406</v>
      </c>
      <c r="N443" s="2" t="n">
        <f aca="false">IF(E443&gt;0,F443/E443,"")</f>
        <v>1.88888888888889</v>
      </c>
      <c r="O443" s="2" t="str">
        <f aca="false">IF(AND(E443&gt;0,L443),J443/E443,"")</f>
        <v/>
      </c>
    </row>
    <row r="444" customFormat="false" ht="15" hidden="false" customHeight="false" outlineLevel="0" collapsed="false">
      <c r="A444" s="2" t="n">
        <v>2021</v>
      </c>
      <c r="B444" s="2" t="s">
        <v>269</v>
      </c>
      <c r="C444" s="2" t="s">
        <v>405</v>
      </c>
      <c r="D444" s="2" t="s">
        <v>115</v>
      </c>
      <c r="E444" s="2" t="n">
        <v>3</v>
      </c>
      <c r="F444" s="2" t="n">
        <v>1</v>
      </c>
      <c r="G444" s="2" t="n">
        <v>0</v>
      </c>
      <c r="H444" s="2" t="n">
        <v>0</v>
      </c>
      <c r="I444" s="2" t="n">
        <v>1</v>
      </c>
      <c r="J444" s="2" t="n">
        <v>0</v>
      </c>
      <c r="K444" s="2" t="n">
        <v>0</v>
      </c>
      <c r="L444" s="11" t="b">
        <f aca="false">FALSE()</f>
        <v>0</v>
      </c>
      <c r="M444" s="2" t="s">
        <v>406</v>
      </c>
      <c r="N444" s="2" t="n">
        <f aca="false">IF(E444&gt;0,F444/E444,"")</f>
        <v>0.333333333333333</v>
      </c>
      <c r="O444" s="2" t="str">
        <f aca="false">IF(AND(E444&gt;0,L444),J444/E444,"")</f>
        <v/>
      </c>
    </row>
    <row r="445" customFormat="false" ht="15" hidden="false" customHeight="false" outlineLevel="0" collapsed="false">
      <c r="A445" s="2" t="n">
        <v>2021</v>
      </c>
      <c r="B445" s="2" t="s">
        <v>446</v>
      </c>
      <c r="C445" s="2" t="s">
        <v>414</v>
      </c>
      <c r="D445" s="2" t="s">
        <v>29</v>
      </c>
      <c r="E445" s="2" t="n">
        <v>8</v>
      </c>
      <c r="F445" s="2" t="n">
        <v>48</v>
      </c>
      <c r="G445" s="2" t="n">
        <v>26</v>
      </c>
      <c r="H445" s="2" t="n">
        <v>6</v>
      </c>
      <c r="I445" s="2" t="n">
        <v>6</v>
      </c>
      <c r="J445" s="2" t="n">
        <v>0</v>
      </c>
      <c r="K445" s="2" t="n">
        <v>0</v>
      </c>
      <c r="L445" s="11" t="b">
        <f aca="false">FALSE()</f>
        <v>0</v>
      </c>
      <c r="M445" s="2" t="s">
        <v>406</v>
      </c>
      <c r="N445" s="2" t="n">
        <f aca="false">IF(E445&gt;0,F445/E445,"")</f>
        <v>6</v>
      </c>
      <c r="O445" s="2" t="str">
        <f aca="false">IF(AND(E445&gt;0,L445),J445/E445,"")</f>
        <v/>
      </c>
    </row>
    <row r="446" customFormat="false" ht="15" hidden="false" customHeight="false" outlineLevel="0" collapsed="false">
      <c r="A446" s="2" t="n">
        <v>2021</v>
      </c>
      <c r="B446" s="2" t="s">
        <v>188</v>
      </c>
      <c r="C446" s="2" t="s">
        <v>418</v>
      </c>
      <c r="D446" s="2" t="s">
        <v>83</v>
      </c>
      <c r="E446" s="2" t="n">
        <v>7</v>
      </c>
      <c r="F446" s="2" t="n">
        <v>5</v>
      </c>
      <c r="G446" s="2" t="n">
        <v>2</v>
      </c>
      <c r="H446" s="2" t="n">
        <v>0</v>
      </c>
      <c r="I446" s="2" t="n">
        <v>0</v>
      </c>
      <c r="J446" s="2" t="n">
        <v>0</v>
      </c>
      <c r="K446" s="2" t="n">
        <v>0</v>
      </c>
      <c r="L446" s="11" t="b">
        <f aca="false">FALSE()</f>
        <v>0</v>
      </c>
      <c r="M446" s="2" t="s">
        <v>406</v>
      </c>
      <c r="N446" s="2" t="n">
        <f aca="false">IF(E446&gt;0,F446/E446,"")</f>
        <v>0.714285714285714</v>
      </c>
      <c r="O446" s="2" t="str">
        <f aca="false">IF(AND(E446&gt;0,L446),J446/E446,"")</f>
        <v/>
      </c>
    </row>
    <row r="447" customFormat="false" ht="15" hidden="false" customHeight="false" outlineLevel="0" collapsed="false">
      <c r="A447" s="2" t="n">
        <v>2021</v>
      </c>
      <c r="B447" s="2" t="s">
        <v>227</v>
      </c>
      <c r="C447" s="2" t="s">
        <v>414</v>
      </c>
      <c r="D447" s="2" t="s">
        <v>83</v>
      </c>
      <c r="E447" s="2" t="n">
        <v>6</v>
      </c>
      <c r="F447" s="2" t="n">
        <v>1</v>
      </c>
      <c r="G447" s="2" t="n">
        <v>1</v>
      </c>
      <c r="H447" s="2" t="n">
        <v>0</v>
      </c>
      <c r="I447" s="2" t="n">
        <v>0</v>
      </c>
      <c r="J447" s="2" t="n">
        <v>0</v>
      </c>
      <c r="K447" s="2" t="n">
        <v>0</v>
      </c>
      <c r="L447" s="11" t="b">
        <f aca="false">FALSE()</f>
        <v>0</v>
      </c>
      <c r="M447" s="2" t="s">
        <v>406</v>
      </c>
      <c r="N447" s="2" t="n">
        <f aca="false">IF(E447&gt;0,F447/E447,"")</f>
        <v>0.166666666666667</v>
      </c>
      <c r="O447" s="2" t="str">
        <f aca="false">IF(AND(E447&gt;0,L447),J447/E447,"")</f>
        <v/>
      </c>
    </row>
    <row r="448" customFormat="false" ht="15" hidden="false" customHeight="false" outlineLevel="0" collapsed="false">
      <c r="A448" s="2" t="n">
        <v>2021</v>
      </c>
      <c r="B448" s="2" t="s">
        <v>66</v>
      </c>
      <c r="C448" s="2" t="s">
        <v>418</v>
      </c>
      <c r="D448" s="2" t="s">
        <v>24</v>
      </c>
      <c r="E448" s="2" t="n">
        <v>9</v>
      </c>
      <c r="F448" s="2" t="n">
        <v>41</v>
      </c>
      <c r="G448" s="2" t="n">
        <v>26</v>
      </c>
      <c r="H448" s="2" t="n">
        <v>16</v>
      </c>
      <c r="I448" s="2" t="n">
        <v>1</v>
      </c>
      <c r="J448" s="2" t="n">
        <v>0</v>
      </c>
      <c r="K448" s="2" t="n">
        <v>0</v>
      </c>
      <c r="L448" s="11" t="b">
        <f aca="false">FALSE()</f>
        <v>0</v>
      </c>
      <c r="M448" s="2" t="s">
        <v>406</v>
      </c>
      <c r="N448" s="2" t="n">
        <f aca="false">IF(E448&gt;0,F448/E448,"")</f>
        <v>4.55555555555556</v>
      </c>
      <c r="O448" s="2" t="str">
        <f aca="false">IF(AND(E448&gt;0,L448),J448/E448,"")</f>
        <v/>
      </c>
    </row>
    <row r="449" customFormat="false" ht="15" hidden="false" customHeight="false" outlineLevel="0" collapsed="false">
      <c r="A449" s="2" t="n">
        <v>2021</v>
      </c>
      <c r="B449" s="2" t="s">
        <v>73</v>
      </c>
      <c r="C449" s="2" t="s">
        <v>405</v>
      </c>
      <c r="D449" s="2" t="s">
        <v>29</v>
      </c>
      <c r="E449" s="2" t="n">
        <v>9</v>
      </c>
      <c r="F449" s="2" t="n">
        <v>31</v>
      </c>
      <c r="G449" s="2" t="n">
        <v>27</v>
      </c>
      <c r="H449" s="2" t="n">
        <v>15</v>
      </c>
      <c r="I449" s="2" t="n">
        <v>5</v>
      </c>
      <c r="J449" s="2" t="n">
        <v>0</v>
      </c>
      <c r="K449" s="2" t="n">
        <v>0</v>
      </c>
      <c r="L449" s="11" t="b">
        <f aca="false">FALSE()</f>
        <v>0</v>
      </c>
      <c r="M449" s="2" t="s">
        <v>406</v>
      </c>
      <c r="N449" s="2" t="n">
        <f aca="false">IF(E449&gt;0,F449/E449,"")</f>
        <v>3.44444444444444</v>
      </c>
      <c r="O449" s="2" t="str">
        <f aca="false">IF(AND(E449&gt;0,L449),J449/E449,"")</f>
        <v/>
      </c>
    </row>
    <row r="450" customFormat="false" ht="15" hidden="false" customHeight="false" outlineLevel="0" collapsed="false">
      <c r="A450" s="2" t="n">
        <v>2021</v>
      </c>
      <c r="B450" s="2" t="s">
        <v>447</v>
      </c>
      <c r="C450" s="2" t="s">
        <v>543</v>
      </c>
      <c r="D450" s="2" t="s">
        <v>413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11" t="b">
        <f aca="false">FALSE()</f>
        <v>0</v>
      </c>
      <c r="M450" s="2" t="s">
        <v>410</v>
      </c>
      <c r="N450" s="2" t="str">
        <f aca="false">IF(E450&gt;0,F450/E450,"")</f>
        <v/>
      </c>
      <c r="O450" s="2" t="str">
        <f aca="false">IF(AND(E450&gt;0,L450),J450/E450,"")</f>
        <v/>
      </c>
    </row>
    <row r="451" customFormat="false" ht="15" hidden="false" customHeight="false" outlineLevel="0" collapsed="false">
      <c r="A451" s="2" t="n">
        <v>2021</v>
      </c>
      <c r="B451" s="2" t="s">
        <v>555</v>
      </c>
      <c r="C451" s="2" t="s">
        <v>414</v>
      </c>
      <c r="D451" s="2" t="s">
        <v>29</v>
      </c>
      <c r="E451" s="2" t="n">
        <v>1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11" t="b">
        <f aca="false">FALSE()</f>
        <v>0</v>
      </c>
      <c r="M451" s="2" t="s">
        <v>410</v>
      </c>
      <c r="N451" s="2" t="n">
        <f aca="false">IF(E451&gt;0,F451/E451,"")</f>
        <v>0</v>
      </c>
      <c r="O451" s="2" t="str">
        <f aca="false">IF(AND(E451&gt;0,L451),J451/E451,"")</f>
        <v/>
      </c>
    </row>
    <row r="452" customFormat="false" ht="15" hidden="false" customHeight="false" outlineLevel="0" collapsed="false">
      <c r="A452" s="2" t="n">
        <v>2021</v>
      </c>
      <c r="B452" s="2" t="s">
        <v>23</v>
      </c>
      <c r="C452" s="2" t="s">
        <v>408</v>
      </c>
      <c r="D452" s="2" t="s">
        <v>24</v>
      </c>
      <c r="E452" s="2" t="n">
        <v>9</v>
      </c>
      <c r="F452" s="2" t="n">
        <v>50</v>
      </c>
      <c r="G452" s="2" t="n">
        <v>35</v>
      </c>
      <c r="H452" s="2" t="n">
        <v>16</v>
      </c>
      <c r="I452" s="2" t="n">
        <v>8</v>
      </c>
      <c r="J452" s="2" t="n">
        <v>0</v>
      </c>
      <c r="K452" s="2" t="n">
        <v>0</v>
      </c>
      <c r="L452" s="11" t="b">
        <f aca="false">FALSE()</f>
        <v>0</v>
      </c>
      <c r="M452" s="2" t="s">
        <v>406</v>
      </c>
      <c r="N452" s="2" t="n">
        <f aca="false">IF(E452&gt;0,F452/E452,"")</f>
        <v>5.55555555555556</v>
      </c>
      <c r="O452" s="2" t="str">
        <f aca="false">IF(AND(E452&gt;0,L452),J452/E452,"")</f>
        <v/>
      </c>
    </row>
    <row r="453" customFormat="false" ht="15" hidden="false" customHeight="false" outlineLevel="0" collapsed="false">
      <c r="A453" s="2" t="n">
        <v>2021</v>
      </c>
      <c r="B453" s="2" t="s">
        <v>386</v>
      </c>
      <c r="C453" s="2" t="s">
        <v>545</v>
      </c>
      <c r="D453" s="2" t="s">
        <v>117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11" t="b">
        <f aca="false">FALSE()</f>
        <v>0</v>
      </c>
      <c r="M453" s="2" t="s">
        <v>410</v>
      </c>
      <c r="N453" s="2" t="str">
        <f aca="false">IF(E453&gt;0,F453/E453,"")</f>
        <v/>
      </c>
      <c r="O453" s="2" t="str">
        <f aca="false">IF(AND(E453&gt;0,L453),J453/E453,"")</f>
        <v/>
      </c>
    </row>
    <row r="454" customFormat="false" ht="15" hidden="false" customHeight="false" outlineLevel="0" collapsed="false">
      <c r="A454" s="2" t="n">
        <v>2021</v>
      </c>
      <c r="B454" s="2" t="s">
        <v>153</v>
      </c>
      <c r="C454" s="2" t="s">
        <v>408</v>
      </c>
      <c r="D454" s="2" t="s">
        <v>117</v>
      </c>
      <c r="E454" s="2" t="n">
        <v>9</v>
      </c>
      <c r="F454" s="2" t="n">
        <v>5</v>
      </c>
      <c r="G454" s="2" t="n">
        <v>3</v>
      </c>
      <c r="H454" s="2" t="n">
        <v>0</v>
      </c>
      <c r="I454" s="2" t="n">
        <v>0</v>
      </c>
      <c r="J454" s="2" t="n">
        <v>0</v>
      </c>
      <c r="K454" s="2" t="n">
        <v>0</v>
      </c>
      <c r="L454" s="11" t="b">
        <f aca="false">FALSE()</f>
        <v>0</v>
      </c>
      <c r="M454" s="2" t="s">
        <v>406</v>
      </c>
      <c r="N454" s="2" t="n">
        <f aca="false">IF(E454&gt;0,F454/E454,"")</f>
        <v>0.555555555555556</v>
      </c>
      <c r="O454" s="2" t="str">
        <f aca="false">IF(AND(E454&gt;0,L454),J454/E454,"")</f>
        <v/>
      </c>
    </row>
    <row r="455" customFormat="false" ht="15" hidden="false" customHeight="false" outlineLevel="0" collapsed="false">
      <c r="A455" s="2" t="n">
        <v>2021</v>
      </c>
      <c r="B455" s="2" t="s">
        <v>529</v>
      </c>
      <c r="C455" s="2" t="s">
        <v>543</v>
      </c>
      <c r="D455" s="2" t="s">
        <v>83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11" t="b">
        <f aca="false">FALSE()</f>
        <v>0</v>
      </c>
      <c r="M455" s="2" t="s">
        <v>410</v>
      </c>
      <c r="N455" s="2" t="str">
        <f aca="false">IF(E455&gt;0,F455/E455,"")</f>
        <v/>
      </c>
      <c r="O455" s="2" t="str">
        <f aca="false">IF(AND(E455&gt;0,L455),J455/E455,"")</f>
        <v/>
      </c>
    </row>
    <row r="456" customFormat="false" ht="15" hidden="false" customHeight="false" outlineLevel="0" collapsed="false">
      <c r="A456" s="2" t="n">
        <v>2021</v>
      </c>
      <c r="B456" s="2" t="s">
        <v>556</v>
      </c>
      <c r="C456" s="2" t="s">
        <v>543</v>
      </c>
      <c r="D456" s="2" t="s">
        <v>117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11" t="b">
        <f aca="false">FALSE()</f>
        <v>0</v>
      </c>
      <c r="M456" s="2" t="s">
        <v>410</v>
      </c>
      <c r="N456" s="2" t="str">
        <f aca="false">IF(E456&gt;0,F456/E456,"")</f>
        <v/>
      </c>
      <c r="O456" s="2" t="str">
        <f aca="false">IF(AND(E456&gt;0,L456),J456/E456,"")</f>
        <v/>
      </c>
    </row>
    <row r="457" customFormat="false" ht="15" hidden="false" customHeight="false" outlineLevel="0" collapsed="false">
      <c r="A457" s="2" t="n">
        <v>2021</v>
      </c>
      <c r="B457" s="2" t="s">
        <v>557</v>
      </c>
      <c r="C457" s="2" t="s">
        <v>543</v>
      </c>
      <c r="D457" s="2" t="s">
        <v>117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11" t="b">
        <f aca="false">FALSE()</f>
        <v>0</v>
      </c>
      <c r="M457" s="2" t="s">
        <v>410</v>
      </c>
      <c r="N457" s="2" t="str">
        <f aca="false">IF(E457&gt;0,F457/E457,"")</f>
        <v/>
      </c>
      <c r="O457" s="2" t="str">
        <f aca="false">IF(AND(E457&gt;0,L457),J457/E457,"")</f>
        <v/>
      </c>
    </row>
    <row r="458" customFormat="false" ht="15" hidden="false" customHeight="false" outlineLevel="0" collapsed="false">
      <c r="A458" s="2" t="n">
        <v>2021</v>
      </c>
      <c r="B458" s="2" t="s">
        <v>558</v>
      </c>
      <c r="C458" s="2" t="s">
        <v>405</v>
      </c>
      <c r="D458" s="2" t="s">
        <v>413</v>
      </c>
      <c r="E458" s="2" t="n">
        <v>8</v>
      </c>
      <c r="F458" s="2" t="n">
        <v>7</v>
      </c>
      <c r="G458" s="2" t="n">
        <v>2</v>
      </c>
      <c r="H458" s="2" t="n">
        <v>0</v>
      </c>
      <c r="I458" s="2" t="n">
        <v>0</v>
      </c>
      <c r="J458" s="2" t="n">
        <v>0</v>
      </c>
      <c r="K458" s="2" t="n">
        <v>0</v>
      </c>
      <c r="L458" s="11" t="b">
        <f aca="false">FALSE()</f>
        <v>0</v>
      </c>
      <c r="M458" s="2" t="s">
        <v>410</v>
      </c>
      <c r="N458" s="2" t="n">
        <f aca="false">IF(E458&gt;0,F458/E458,"")</f>
        <v>0.875</v>
      </c>
      <c r="O458" s="2" t="str">
        <f aca="false">IF(AND(E458&gt;0,L458),J458/E458,"")</f>
        <v/>
      </c>
    </row>
    <row r="459" customFormat="false" ht="15" hidden="false" customHeight="false" outlineLevel="0" collapsed="false">
      <c r="A459" s="2" t="n">
        <v>2021</v>
      </c>
      <c r="B459" s="2" t="s">
        <v>78</v>
      </c>
      <c r="C459" s="2" t="s">
        <v>420</v>
      </c>
      <c r="D459" s="2" t="s">
        <v>29</v>
      </c>
      <c r="E459" s="2" t="n">
        <v>5</v>
      </c>
      <c r="F459" s="2" t="n">
        <v>13</v>
      </c>
      <c r="G459" s="2" t="n">
        <v>8</v>
      </c>
      <c r="H459" s="2" t="n">
        <v>3</v>
      </c>
      <c r="I459" s="2" t="n">
        <v>1</v>
      </c>
      <c r="J459" s="2" t="n">
        <v>0</v>
      </c>
      <c r="K459" s="2" t="n">
        <v>0</v>
      </c>
      <c r="L459" s="11" t="b">
        <f aca="false">FALSE()</f>
        <v>0</v>
      </c>
      <c r="M459" s="2" t="s">
        <v>406</v>
      </c>
      <c r="N459" s="2" t="n">
        <f aca="false">IF(E459&gt;0,F459/E459,"")</f>
        <v>2.6</v>
      </c>
      <c r="O459" s="2" t="str">
        <f aca="false">IF(AND(E459&gt;0,L459),J459/E459,"")</f>
        <v/>
      </c>
    </row>
    <row r="460" customFormat="false" ht="15" hidden="false" customHeight="false" outlineLevel="0" collapsed="false">
      <c r="A460" s="2" t="n">
        <v>2021</v>
      </c>
      <c r="B460" s="2" t="s">
        <v>210</v>
      </c>
      <c r="C460" s="2" t="s">
        <v>545</v>
      </c>
      <c r="D460" s="2" t="s">
        <v>24</v>
      </c>
      <c r="E460" s="2" t="n">
        <v>5</v>
      </c>
      <c r="F460" s="2" t="n">
        <v>27</v>
      </c>
      <c r="G460" s="2" t="n">
        <v>23</v>
      </c>
      <c r="H460" s="2" t="n">
        <v>10</v>
      </c>
      <c r="I460" s="2" t="n">
        <v>3</v>
      </c>
      <c r="J460" s="2" t="n">
        <v>0</v>
      </c>
      <c r="K460" s="2" t="n">
        <v>0</v>
      </c>
      <c r="L460" s="11" t="b">
        <f aca="false">FALSE()</f>
        <v>0</v>
      </c>
      <c r="M460" s="2" t="s">
        <v>406</v>
      </c>
      <c r="N460" s="2" t="n">
        <f aca="false">IF(E460&gt;0,F460/E460,"")</f>
        <v>5.4</v>
      </c>
      <c r="O460" s="2" t="str">
        <f aca="false">IF(AND(E460&gt;0,L460),J460/E460,"")</f>
        <v/>
      </c>
    </row>
    <row r="461" customFormat="false" ht="15" hidden="false" customHeight="false" outlineLevel="0" collapsed="false">
      <c r="A461" s="2" t="n">
        <v>2021</v>
      </c>
      <c r="B461" s="2" t="s">
        <v>313</v>
      </c>
      <c r="C461" s="2" t="s">
        <v>543</v>
      </c>
      <c r="D461" s="2" t="s">
        <v>29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11" t="b">
        <f aca="false">FALSE()</f>
        <v>0</v>
      </c>
      <c r="M461" s="2" t="s">
        <v>410</v>
      </c>
      <c r="N461" s="2" t="str">
        <f aca="false">IF(E461&gt;0,F461/E461,"")</f>
        <v/>
      </c>
      <c r="O461" s="2" t="str">
        <f aca="false">IF(AND(E461&gt;0,L461),J461/E461,"")</f>
        <v/>
      </c>
    </row>
    <row r="462" customFormat="false" ht="15" hidden="false" customHeight="false" outlineLevel="0" collapsed="false">
      <c r="A462" s="2" t="n">
        <v>2021</v>
      </c>
      <c r="B462" s="2" t="s">
        <v>221</v>
      </c>
      <c r="C462" s="2" t="s">
        <v>408</v>
      </c>
      <c r="D462" s="2" t="s">
        <v>117</v>
      </c>
      <c r="E462" s="2" t="n">
        <v>9</v>
      </c>
      <c r="F462" s="2" t="n">
        <v>0</v>
      </c>
      <c r="G462" s="2" t="n">
        <v>0</v>
      </c>
      <c r="H462" s="2" t="n">
        <v>0</v>
      </c>
      <c r="I462" s="2" t="n">
        <v>1</v>
      </c>
      <c r="J462" s="2" t="n">
        <v>0</v>
      </c>
      <c r="K462" s="2" t="n">
        <v>0</v>
      </c>
      <c r="L462" s="11" t="b">
        <f aca="false">FALSE()</f>
        <v>0</v>
      </c>
      <c r="M462" s="2" t="s">
        <v>406</v>
      </c>
      <c r="N462" s="2" t="n">
        <f aca="false">IF(E462&gt;0,F462/E462,"")</f>
        <v>0</v>
      </c>
      <c r="O462" s="2" t="str">
        <f aca="false">IF(AND(E462&gt;0,L462),J462/E462,"")</f>
        <v/>
      </c>
    </row>
    <row r="463" customFormat="false" ht="15" hidden="false" customHeight="false" outlineLevel="0" collapsed="false">
      <c r="A463" s="2" t="n">
        <v>2021</v>
      </c>
      <c r="B463" s="2" t="s">
        <v>74</v>
      </c>
      <c r="C463" s="2" t="s">
        <v>405</v>
      </c>
      <c r="D463" s="2" t="s">
        <v>29</v>
      </c>
      <c r="E463" s="2" t="n">
        <v>9</v>
      </c>
      <c r="F463" s="2" t="n">
        <v>39</v>
      </c>
      <c r="G463" s="2" t="n">
        <v>26</v>
      </c>
      <c r="H463" s="2" t="n">
        <v>14</v>
      </c>
      <c r="I463" s="2" t="n">
        <v>17</v>
      </c>
      <c r="J463" s="2" t="n">
        <v>0</v>
      </c>
      <c r="K463" s="2" t="n">
        <v>0</v>
      </c>
      <c r="L463" s="11" t="b">
        <f aca="false">FALSE()</f>
        <v>0</v>
      </c>
      <c r="M463" s="2" t="s">
        <v>406</v>
      </c>
      <c r="N463" s="2" t="n">
        <f aca="false">IF(E463&gt;0,F463/E463,"")</f>
        <v>4.33333333333333</v>
      </c>
      <c r="O463" s="2" t="str">
        <f aca="false">IF(AND(E463&gt;0,L463),J463/E463,"")</f>
        <v/>
      </c>
    </row>
    <row r="464" customFormat="false" ht="15" hidden="false" customHeight="false" outlineLevel="0" collapsed="false">
      <c r="A464" s="2" t="n">
        <v>2021</v>
      </c>
      <c r="B464" s="2" t="s">
        <v>559</v>
      </c>
      <c r="C464" s="2" t="s">
        <v>414</v>
      </c>
      <c r="D464" s="2"/>
      <c r="E464" s="2" t="n">
        <v>5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11" t="b">
        <f aca="false">FALSE()</f>
        <v>0</v>
      </c>
      <c r="M464" s="2" t="s">
        <v>410</v>
      </c>
      <c r="N464" s="2" t="n">
        <f aca="false">IF(E464&gt;0,F464/E464,"")</f>
        <v>0</v>
      </c>
      <c r="O464" s="2" t="str">
        <f aca="false">IF(AND(E464&gt;0,L464),J464/E464,"")</f>
        <v/>
      </c>
    </row>
    <row r="465" customFormat="false" ht="15" hidden="false" customHeight="false" outlineLevel="0" collapsed="false">
      <c r="A465" s="2" t="n">
        <v>2021</v>
      </c>
      <c r="B465" s="2" t="s">
        <v>450</v>
      </c>
      <c r="C465" s="2" t="s">
        <v>543</v>
      </c>
      <c r="D465" s="2" t="s">
        <v>115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11" t="b">
        <f aca="false">FALSE()</f>
        <v>0</v>
      </c>
      <c r="M465" s="2" t="s">
        <v>410</v>
      </c>
      <c r="N465" s="2" t="str">
        <f aca="false">IF(E465&gt;0,F465/E465,"")</f>
        <v/>
      </c>
      <c r="O465" s="2" t="str">
        <f aca="false">IF(AND(E465&gt;0,L465),J465/E465,"")</f>
        <v/>
      </c>
    </row>
    <row r="466" customFormat="false" ht="15" hidden="false" customHeight="false" outlineLevel="0" collapsed="false">
      <c r="A466" s="2" t="n">
        <v>2021</v>
      </c>
      <c r="B466" s="2" t="s">
        <v>560</v>
      </c>
      <c r="C466" s="2" t="s">
        <v>420</v>
      </c>
      <c r="D466" s="2" t="s">
        <v>409</v>
      </c>
      <c r="E466" s="2" t="n">
        <v>9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11" t="b">
        <f aca="false">FALSE()</f>
        <v>0</v>
      </c>
      <c r="M466" s="2" t="s">
        <v>410</v>
      </c>
      <c r="N466" s="2" t="n">
        <f aca="false">IF(E466&gt;0,F466/E466,"")</f>
        <v>0</v>
      </c>
      <c r="O466" s="2" t="str">
        <f aca="false">IF(AND(E466&gt;0,L466),J466/E466,"")</f>
        <v/>
      </c>
    </row>
    <row r="467" customFormat="false" ht="15" hidden="false" customHeight="false" outlineLevel="0" collapsed="false">
      <c r="A467" s="2" t="n">
        <v>2021</v>
      </c>
      <c r="B467" s="2" t="s">
        <v>530</v>
      </c>
      <c r="C467" s="2" t="s">
        <v>418</v>
      </c>
      <c r="D467" s="2" t="s">
        <v>24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11" t="b">
        <f aca="false">FALSE()</f>
        <v>0</v>
      </c>
      <c r="M467" s="2" t="s">
        <v>410</v>
      </c>
      <c r="N467" s="2" t="str">
        <f aca="false">IF(E467&gt;0,F467/E467,"")</f>
        <v/>
      </c>
      <c r="O467" s="2" t="str">
        <f aca="false">IF(AND(E467&gt;0,L467),J467/E467,"")</f>
        <v/>
      </c>
    </row>
    <row r="468" customFormat="false" ht="15" hidden="false" customHeight="false" outlineLevel="0" collapsed="false">
      <c r="A468" s="2" t="n">
        <v>2021</v>
      </c>
      <c r="B468" s="2" t="s">
        <v>69</v>
      </c>
      <c r="C468" s="2" t="s">
        <v>405</v>
      </c>
      <c r="D468" s="2" t="s">
        <v>24</v>
      </c>
      <c r="E468" s="2" t="n">
        <v>9</v>
      </c>
      <c r="F468" s="2" t="n">
        <v>53</v>
      </c>
      <c r="G468" s="2" t="n">
        <v>31</v>
      </c>
      <c r="H468" s="2" t="n">
        <v>15</v>
      </c>
      <c r="I468" s="2" t="n">
        <v>5</v>
      </c>
      <c r="J468" s="2" t="n">
        <v>0</v>
      </c>
      <c r="K468" s="2" t="n">
        <v>0</v>
      </c>
      <c r="L468" s="11" t="b">
        <f aca="false">FALSE()</f>
        <v>0</v>
      </c>
      <c r="M468" s="2" t="s">
        <v>406</v>
      </c>
      <c r="N468" s="2" t="n">
        <f aca="false">IF(E468&gt;0,F468/E468,"")</f>
        <v>5.88888888888889</v>
      </c>
      <c r="O468" s="2" t="str">
        <f aca="false">IF(AND(E468&gt;0,L468),J468/E468,"")</f>
        <v/>
      </c>
    </row>
    <row r="469" customFormat="false" ht="15" hidden="false" customHeight="false" outlineLevel="0" collapsed="false">
      <c r="A469" s="2" t="n">
        <v>2021</v>
      </c>
      <c r="B469" s="2" t="s">
        <v>39</v>
      </c>
      <c r="C469" s="2" t="s">
        <v>518</v>
      </c>
      <c r="D469" s="2" t="s">
        <v>29</v>
      </c>
      <c r="E469" s="2" t="n">
        <v>8</v>
      </c>
      <c r="F469" s="2" t="n">
        <v>59</v>
      </c>
      <c r="G469" s="2" t="n">
        <v>30</v>
      </c>
      <c r="H469" s="2" t="n">
        <v>11</v>
      </c>
      <c r="I469" s="2" t="n">
        <v>8</v>
      </c>
      <c r="J469" s="2" t="n">
        <v>0</v>
      </c>
      <c r="K469" s="2" t="n">
        <v>0</v>
      </c>
      <c r="L469" s="11" t="b">
        <f aca="false">FALSE()</f>
        <v>0</v>
      </c>
      <c r="M469" s="2" t="s">
        <v>406</v>
      </c>
      <c r="N469" s="2" t="n">
        <f aca="false">IF(E469&gt;0,F469/E469,"")</f>
        <v>7.375</v>
      </c>
      <c r="O469" s="2" t="str">
        <f aca="false">IF(AND(E469&gt;0,L469),J469/E469,"")</f>
        <v/>
      </c>
    </row>
    <row r="470" customFormat="false" ht="15" hidden="false" customHeight="false" outlineLevel="0" collapsed="false">
      <c r="A470" s="2" t="n">
        <v>2021</v>
      </c>
      <c r="B470" s="2" t="s">
        <v>451</v>
      </c>
      <c r="C470" s="2" t="s">
        <v>405</v>
      </c>
      <c r="D470" s="2" t="s">
        <v>409</v>
      </c>
      <c r="E470" s="2" t="n">
        <v>9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11" t="b">
        <f aca="false">FALSE()</f>
        <v>0</v>
      </c>
      <c r="M470" s="2" t="s">
        <v>410</v>
      </c>
      <c r="N470" s="2" t="n">
        <f aca="false">IF(E470&gt;0,F470/E470,"")</f>
        <v>0</v>
      </c>
      <c r="O470" s="2" t="str">
        <f aca="false">IF(AND(E470&gt;0,L470),J470/E470,"")</f>
        <v/>
      </c>
    </row>
    <row r="471" customFormat="false" ht="15" hidden="false" customHeight="false" outlineLevel="0" collapsed="false">
      <c r="A471" s="2" t="n">
        <v>2021</v>
      </c>
      <c r="B471" s="2" t="s">
        <v>452</v>
      </c>
      <c r="C471" s="2" t="s">
        <v>408</v>
      </c>
      <c r="D471" s="2" t="s">
        <v>413</v>
      </c>
      <c r="E471" s="2" t="n">
        <v>8</v>
      </c>
      <c r="F471" s="2" t="n">
        <v>8</v>
      </c>
      <c r="G471" s="2" t="n">
        <v>6</v>
      </c>
      <c r="H471" s="2" t="n">
        <v>3</v>
      </c>
      <c r="I471" s="2" t="n">
        <v>1</v>
      </c>
      <c r="J471" s="2" t="n">
        <v>0</v>
      </c>
      <c r="K471" s="2" t="n">
        <v>0</v>
      </c>
      <c r="L471" s="11" t="b">
        <f aca="false">FALSE()</f>
        <v>0</v>
      </c>
      <c r="M471" s="2" t="s">
        <v>410</v>
      </c>
      <c r="N471" s="2" t="n">
        <f aca="false">IF(E471&gt;0,F471/E471,"")</f>
        <v>1</v>
      </c>
      <c r="O471" s="2" t="str">
        <f aca="false">IF(AND(E471&gt;0,L471),J471/E471,"")</f>
        <v/>
      </c>
    </row>
    <row r="472" customFormat="false" ht="15" hidden="false" customHeight="false" outlineLevel="0" collapsed="false">
      <c r="A472" s="2" t="n">
        <v>2021</v>
      </c>
      <c r="B472" s="2" t="s">
        <v>453</v>
      </c>
      <c r="C472" s="2" t="s">
        <v>545</v>
      </c>
      <c r="D472" s="2"/>
      <c r="E472" s="2" t="n">
        <v>2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11" t="b">
        <f aca="false">FALSE()</f>
        <v>0</v>
      </c>
      <c r="M472" s="2" t="s">
        <v>410</v>
      </c>
      <c r="N472" s="2" t="n">
        <f aca="false">IF(E472&gt;0,F472/E472,"")</f>
        <v>0</v>
      </c>
      <c r="O472" s="2" t="str">
        <f aca="false">IF(AND(E472&gt;0,L472),J472/E472,"")</f>
        <v/>
      </c>
    </row>
    <row r="473" customFormat="false" ht="15" hidden="false" customHeight="false" outlineLevel="0" collapsed="false">
      <c r="A473" s="2" t="n">
        <v>2021</v>
      </c>
      <c r="B473" s="2" t="s">
        <v>454</v>
      </c>
      <c r="C473" s="2" t="s">
        <v>543</v>
      </c>
      <c r="D473" s="2" t="s">
        <v>115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11" t="b">
        <f aca="false">FALSE()</f>
        <v>0</v>
      </c>
      <c r="M473" s="2" t="s">
        <v>410</v>
      </c>
      <c r="N473" s="2" t="str">
        <f aca="false">IF(E473&gt;0,F473/E473,"")</f>
        <v/>
      </c>
      <c r="O473" s="2" t="str">
        <f aca="false">IF(AND(E473&gt;0,L473),J473/E473,"")</f>
        <v/>
      </c>
    </row>
    <row r="474" customFormat="false" ht="15" hidden="false" customHeight="false" outlineLevel="0" collapsed="false">
      <c r="A474" s="2" t="n">
        <v>2021</v>
      </c>
      <c r="B474" s="2" t="s">
        <v>314</v>
      </c>
      <c r="C474" s="2" t="s">
        <v>545</v>
      </c>
      <c r="D474" s="2" t="s">
        <v>24</v>
      </c>
      <c r="E474" s="2" t="n">
        <v>6</v>
      </c>
      <c r="F474" s="2" t="n">
        <v>23</v>
      </c>
      <c r="G474" s="2" t="n">
        <v>17</v>
      </c>
      <c r="H474" s="2" t="n">
        <v>10</v>
      </c>
      <c r="I474" s="2" t="n">
        <v>3</v>
      </c>
      <c r="J474" s="2" t="n">
        <v>0</v>
      </c>
      <c r="K474" s="2" t="n">
        <v>0</v>
      </c>
      <c r="L474" s="11" t="b">
        <f aca="false">FALSE()</f>
        <v>0</v>
      </c>
      <c r="M474" s="2" t="s">
        <v>406</v>
      </c>
      <c r="N474" s="2" t="n">
        <f aca="false">IF(E474&gt;0,F474/E474,"")</f>
        <v>3.83333333333333</v>
      </c>
      <c r="O474" s="2" t="str">
        <f aca="false">IF(AND(E474&gt;0,L474),J474/E474,"")</f>
        <v/>
      </c>
    </row>
    <row r="475" customFormat="false" ht="15" hidden="false" customHeight="false" outlineLevel="0" collapsed="false">
      <c r="A475" s="2" t="n">
        <v>2021</v>
      </c>
      <c r="B475" s="2" t="s">
        <v>169</v>
      </c>
      <c r="C475" s="2" t="s">
        <v>545</v>
      </c>
      <c r="D475" s="2" t="s">
        <v>117</v>
      </c>
      <c r="E475" s="2" t="n">
        <v>9</v>
      </c>
      <c r="F475" s="2" t="n">
        <v>1</v>
      </c>
      <c r="G475" s="2" t="n">
        <v>1</v>
      </c>
      <c r="H475" s="2" t="n">
        <v>0</v>
      </c>
      <c r="I475" s="2" t="n">
        <v>0</v>
      </c>
      <c r="J475" s="2" t="n">
        <v>0</v>
      </c>
      <c r="K475" s="2" t="n">
        <v>0</v>
      </c>
      <c r="L475" s="11" t="b">
        <f aca="false">FALSE()</f>
        <v>0</v>
      </c>
      <c r="M475" s="2" t="s">
        <v>406</v>
      </c>
      <c r="N475" s="2" t="n">
        <f aca="false">IF(E475&gt;0,F475/E475,"")</f>
        <v>0.111111111111111</v>
      </c>
      <c r="O475" s="2" t="str">
        <f aca="false">IF(AND(E475&gt;0,L475),J475/E475,"")</f>
        <v/>
      </c>
    </row>
    <row r="476" customFormat="false" ht="15" hidden="false" customHeight="false" outlineLevel="0" collapsed="false">
      <c r="A476" s="2" t="n">
        <v>2021</v>
      </c>
      <c r="B476" s="2" t="s">
        <v>250</v>
      </c>
      <c r="C476" s="2" t="s">
        <v>543</v>
      </c>
      <c r="D476" s="2" t="s">
        <v>29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11" t="b">
        <f aca="false">FALSE()</f>
        <v>0</v>
      </c>
      <c r="M476" s="2" t="s">
        <v>410</v>
      </c>
      <c r="N476" s="2" t="str">
        <f aca="false">IF(E476&gt;0,F476/E476,"")</f>
        <v/>
      </c>
      <c r="O476" s="2" t="str">
        <f aca="false">IF(AND(E476&gt;0,L476),J476/E476,"")</f>
        <v/>
      </c>
    </row>
    <row r="477" customFormat="false" ht="15" hidden="false" customHeight="false" outlineLevel="0" collapsed="false">
      <c r="A477" s="2" t="n">
        <v>2021</v>
      </c>
      <c r="B477" s="2" t="s">
        <v>82</v>
      </c>
      <c r="C477" s="2" t="s">
        <v>414</v>
      </c>
      <c r="D477" s="2" t="s">
        <v>29</v>
      </c>
      <c r="E477" s="2" t="n">
        <v>5</v>
      </c>
      <c r="F477" s="2" t="n">
        <v>19</v>
      </c>
      <c r="G477" s="2" t="n">
        <v>12</v>
      </c>
      <c r="H477" s="2" t="n">
        <v>3</v>
      </c>
      <c r="I477" s="2" t="n">
        <v>0</v>
      </c>
      <c r="J477" s="2" t="n">
        <v>0</v>
      </c>
      <c r="K477" s="2" t="n">
        <v>0</v>
      </c>
      <c r="L477" s="11" t="b">
        <f aca="false">FALSE()</f>
        <v>0</v>
      </c>
      <c r="M477" s="2" t="s">
        <v>406</v>
      </c>
      <c r="N477" s="2" t="n">
        <f aca="false">IF(E477&gt;0,F477/E477,"")</f>
        <v>3.8</v>
      </c>
      <c r="O477" s="2" t="str">
        <f aca="false">IF(AND(E477&gt;0,L477),J477/E477,"")</f>
        <v/>
      </c>
    </row>
    <row r="478" customFormat="false" ht="15" hidden="false" customHeight="false" outlineLevel="0" collapsed="false">
      <c r="A478" s="2" t="n">
        <v>2021</v>
      </c>
      <c r="B478" s="2" t="s">
        <v>561</v>
      </c>
      <c r="C478" s="2" t="s">
        <v>518</v>
      </c>
      <c r="D478" s="2" t="s">
        <v>24</v>
      </c>
      <c r="E478" s="2" t="n">
        <v>4</v>
      </c>
      <c r="F478" s="2" t="n">
        <v>11</v>
      </c>
      <c r="G478" s="2" t="n">
        <v>6</v>
      </c>
      <c r="H478" s="2" t="n">
        <v>1</v>
      </c>
      <c r="I478" s="2" t="n">
        <v>3</v>
      </c>
      <c r="J478" s="2" t="n">
        <v>0</v>
      </c>
      <c r="K478" s="2" t="n">
        <v>0</v>
      </c>
      <c r="L478" s="11" t="b">
        <f aca="false">FALSE()</f>
        <v>0</v>
      </c>
      <c r="M478" s="2" t="s">
        <v>406</v>
      </c>
      <c r="N478" s="2" t="n">
        <f aca="false">IF(E478&gt;0,F478/E478,"")</f>
        <v>2.75</v>
      </c>
      <c r="O478" s="2" t="str">
        <f aca="false">IF(AND(E478&gt;0,L478),J478/E478,"")</f>
        <v/>
      </c>
    </row>
    <row r="479" customFormat="false" ht="15" hidden="false" customHeight="false" outlineLevel="0" collapsed="false">
      <c r="A479" s="2" t="n">
        <v>2021</v>
      </c>
      <c r="B479" s="2" t="s">
        <v>455</v>
      </c>
      <c r="C479" s="2" t="s">
        <v>543</v>
      </c>
      <c r="D479" s="2" t="s">
        <v>117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11" t="b">
        <f aca="false">FALSE()</f>
        <v>0</v>
      </c>
      <c r="M479" s="2" t="s">
        <v>410</v>
      </c>
      <c r="N479" s="2" t="str">
        <f aca="false">IF(E479&gt;0,F479/E479,"")</f>
        <v/>
      </c>
      <c r="O479" s="2" t="str">
        <f aca="false">IF(AND(E479&gt;0,L479),J479/E479,"")</f>
        <v/>
      </c>
    </row>
    <row r="480" customFormat="false" ht="15" hidden="false" customHeight="false" outlineLevel="0" collapsed="false">
      <c r="A480" s="2" t="n">
        <v>2021</v>
      </c>
      <c r="B480" s="2" t="s">
        <v>68</v>
      </c>
      <c r="C480" s="2" t="s">
        <v>412</v>
      </c>
      <c r="D480" s="2" t="s">
        <v>24</v>
      </c>
      <c r="E480" s="2" t="n">
        <v>9</v>
      </c>
      <c r="F480" s="2" t="n">
        <v>38</v>
      </c>
      <c r="G480" s="2" t="n">
        <v>32</v>
      </c>
      <c r="H480" s="2" t="n">
        <v>15</v>
      </c>
      <c r="I480" s="2" t="n">
        <v>9</v>
      </c>
      <c r="J480" s="2" t="n">
        <v>0</v>
      </c>
      <c r="K480" s="2" t="n">
        <v>0</v>
      </c>
      <c r="L480" s="11" t="b">
        <f aca="false">FALSE()</f>
        <v>0</v>
      </c>
      <c r="M480" s="2" t="s">
        <v>406</v>
      </c>
      <c r="N480" s="2" t="n">
        <f aca="false">IF(E480&gt;0,F480/E480,"")</f>
        <v>4.22222222222222</v>
      </c>
      <c r="O480" s="2" t="str">
        <f aca="false">IF(AND(E480&gt;0,L480),J480/E480,"")</f>
        <v/>
      </c>
    </row>
    <row r="481" customFormat="false" ht="15" hidden="false" customHeight="false" outlineLevel="0" collapsed="false">
      <c r="A481" s="2" t="n">
        <v>2021</v>
      </c>
      <c r="B481" s="2" t="s">
        <v>48</v>
      </c>
      <c r="C481" s="2" t="s">
        <v>408</v>
      </c>
      <c r="D481" s="2" t="s">
        <v>24</v>
      </c>
      <c r="E481" s="2" t="n">
        <v>6</v>
      </c>
      <c r="F481" s="2" t="n">
        <v>16</v>
      </c>
      <c r="G481" s="2" t="n">
        <v>9</v>
      </c>
      <c r="H481" s="2" t="n">
        <v>7</v>
      </c>
      <c r="I481" s="2" t="n">
        <v>0</v>
      </c>
      <c r="J481" s="2" t="n">
        <v>0</v>
      </c>
      <c r="K481" s="2" t="n">
        <v>0</v>
      </c>
      <c r="L481" s="11" t="b">
        <f aca="false">FALSE()</f>
        <v>0</v>
      </c>
      <c r="M481" s="2" t="s">
        <v>406</v>
      </c>
      <c r="N481" s="2" t="n">
        <f aca="false">IF(E481&gt;0,F481/E481,"")</f>
        <v>2.66666666666667</v>
      </c>
      <c r="O481" s="2" t="str">
        <f aca="false">IF(AND(E481&gt;0,L481),J481/E481,"")</f>
        <v/>
      </c>
    </row>
    <row r="482" customFormat="false" ht="15" hidden="false" customHeight="false" outlineLevel="0" collapsed="false">
      <c r="A482" s="2" t="n">
        <v>2021</v>
      </c>
      <c r="B482" s="2" t="s">
        <v>562</v>
      </c>
      <c r="C482" s="2" t="s">
        <v>405</v>
      </c>
      <c r="D482" s="2" t="s">
        <v>24</v>
      </c>
      <c r="E482" s="2" t="n">
        <v>3</v>
      </c>
      <c r="F482" s="2" t="n">
        <v>14</v>
      </c>
      <c r="G482" s="2" t="n">
        <v>11</v>
      </c>
      <c r="H482" s="2" t="n">
        <v>4</v>
      </c>
      <c r="I482" s="2" t="n">
        <v>1</v>
      </c>
      <c r="J482" s="2" t="n">
        <v>0</v>
      </c>
      <c r="K482" s="2" t="n">
        <v>0</v>
      </c>
      <c r="L482" s="11" t="b">
        <f aca="false">FALSE()</f>
        <v>0</v>
      </c>
      <c r="M482" s="2" t="s">
        <v>406</v>
      </c>
      <c r="N482" s="2" t="n">
        <f aca="false">IF(E482&gt;0,F482/E482,"")</f>
        <v>4.66666666666667</v>
      </c>
      <c r="O482" s="2" t="str">
        <f aca="false">IF(AND(E482&gt;0,L482),J482/E482,"")</f>
        <v/>
      </c>
    </row>
    <row r="483" customFormat="false" ht="15" hidden="false" customHeight="false" outlineLevel="0" collapsed="false">
      <c r="A483" s="2" t="n">
        <v>2021</v>
      </c>
      <c r="B483" s="2" t="s">
        <v>563</v>
      </c>
      <c r="C483" s="2" t="s">
        <v>405</v>
      </c>
      <c r="D483" s="2" t="s">
        <v>413</v>
      </c>
      <c r="E483" s="2" t="n">
        <v>1</v>
      </c>
      <c r="F483" s="2" t="n">
        <v>1</v>
      </c>
      <c r="G483" s="2" t="n">
        <v>1</v>
      </c>
      <c r="H483" s="2" t="n">
        <v>0</v>
      </c>
      <c r="I483" s="2" t="n">
        <v>0</v>
      </c>
      <c r="J483" s="2" t="n">
        <v>0</v>
      </c>
      <c r="K483" s="2" t="n">
        <v>0</v>
      </c>
      <c r="L483" s="11" t="b">
        <f aca="false">FALSE()</f>
        <v>0</v>
      </c>
      <c r="M483" s="2" t="s">
        <v>410</v>
      </c>
      <c r="N483" s="2" t="n">
        <f aca="false">IF(E483&gt;0,F483/E483,"")</f>
        <v>1</v>
      </c>
      <c r="O483" s="2" t="str">
        <f aca="false">IF(AND(E483&gt;0,L483),J483/E483,"")</f>
        <v/>
      </c>
    </row>
    <row r="484" customFormat="false" ht="15" hidden="false" customHeight="false" outlineLevel="0" collapsed="false">
      <c r="A484" s="2" t="n">
        <v>2021</v>
      </c>
      <c r="B484" s="2" t="s">
        <v>564</v>
      </c>
      <c r="C484" s="2" t="s">
        <v>543</v>
      </c>
      <c r="D484" s="2" t="s">
        <v>115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11" t="b">
        <f aca="false">FALSE()</f>
        <v>0</v>
      </c>
      <c r="M484" s="2" t="s">
        <v>410</v>
      </c>
      <c r="N484" s="2" t="str">
        <f aca="false">IF(E484&gt;0,F484/E484,"")</f>
        <v/>
      </c>
      <c r="O484" s="2" t="str">
        <f aca="false">IF(AND(E484&gt;0,L484),J484/E484,"")</f>
        <v/>
      </c>
    </row>
    <row r="485" customFormat="false" ht="15" hidden="false" customHeight="false" outlineLevel="0" collapsed="false">
      <c r="A485" s="2" t="n">
        <v>2021</v>
      </c>
      <c r="B485" s="2" t="s">
        <v>123</v>
      </c>
      <c r="C485" s="2" t="s">
        <v>412</v>
      </c>
      <c r="D485" s="2" t="s">
        <v>83</v>
      </c>
      <c r="E485" s="2" t="n">
        <v>9</v>
      </c>
      <c r="F485" s="2" t="n">
        <v>5</v>
      </c>
      <c r="G485" s="2" t="n">
        <v>5</v>
      </c>
      <c r="H485" s="2" t="n">
        <v>3</v>
      </c>
      <c r="I485" s="2" t="n">
        <v>3</v>
      </c>
      <c r="J485" s="2" t="n">
        <v>0</v>
      </c>
      <c r="K485" s="2" t="n">
        <v>0</v>
      </c>
      <c r="L485" s="11" t="b">
        <f aca="false">FALSE()</f>
        <v>0</v>
      </c>
      <c r="M485" s="2" t="s">
        <v>406</v>
      </c>
      <c r="N485" s="2" t="n">
        <f aca="false">IF(E485&gt;0,F485/E485,"")</f>
        <v>0.555555555555556</v>
      </c>
      <c r="O485" s="2" t="str">
        <f aca="false">IF(AND(E485&gt;0,L485),J485/E485,"")</f>
        <v/>
      </c>
    </row>
    <row r="486" customFormat="false" ht="15" hidden="false" customHeight="false" outlineLevel="0" collapsed="false">
      <c r="A486" s="2" t="n">
        <v>2021</v>
      </c>
      <c r="B486" s="2" t="s">
        <v>565</v>
      </c>
      <c r="C486" s="2" t="s">
        <v>543</v>
      </c>
      <c r="D486" s="2" t="s">
        <v>409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11" t="b">
        <f aca="false">FALSE()</f>
        <v>0</v>
      </c>
      <c r="M486" s="2" t="s">
        <v>410</v>
      </c>
      <c r="N486" s="2" t="str">
        <f aca="false">IF(E486&gt;0,F486/E486,"")</f>
        <v/>
      </c>
      <c r="O486" s="2" t="str">
        <f aca="false">IF(AND(E486&gt;0,L486),J486/E486,"")</f>
        <v/>
      </c>
    </row>
    <row r="487" customFormat="false" ht="15" hidden="false" customHeight="false" outlineLevel="0" collapsed="false">
      <c r="A487" s="2" t="n">
        <v>2021</v>
      </c>
      <c r="B487" s="2" t="s">
        <v>126</v>
      </c>
      <c r="C487" s="2" t="s">
        <v>418</v>
      </c>
      <c r="D487" s="2" t="s">
        <v>29</v>
      </c>
      <c r="E487" s="2" t="n">
        <v>9</v>
      </c>
      <c r="F487" s="2" t="n">
        <v>50</v>
      </c>
      <c r="G487" s="2" t="n">
        <v>33</v>
      </c>
      <c r="H487" s="2" t="n">
        <v>16</v>
      </c>
      <c r="I487" s="2" t="n">
        <v>3</v>
      </c>
      <c r="J487" s="2" t="n">
        <v>0</v>
      </c>
      <c r="K487" s="2" t="n">
        <v>0</v>
      </c>
      <c r="L487" s="11" t="b">
        <f aca="false">FALSE()</f>
        <v>0</v>
      </c>
      <c r="M487" s="2" t="s">
        <v>406</v>
      </c>
      <c r="N487" s="2" t="n">
        <f aca="false">IF(E487&gt;0,F487/E487,"")</f>
        <v>5.55555555555556</v>
      </c>
      <c r="O487" s="2" t="str">
        <f aca="false">IF(AND(E487&gt;0,L487),J487/E487,"")</f>
        <v/>
      </c>
    </row>
    <row r="488" customFormat="false" ht="15" hidden="false" customHeight="false" outlineLevel="0" collapsed="false">
      <c r="A488" s="2" t="n">
        <v>2021</v>
      </c>
      <c r="B488" s="2" t="s">
        <v>150</v>
      </c>
      <c r="C488" s="2" t="s">
        <v>420</v>
      </c>
      <c r="D488" s="2" t="s">
        <v>115</v>
      </c>
      <c r="E488" s="2" t="n">
        <v>9</v>
      </c>
      <c r="F488" s="2" t="n">
        <v>13</v>
      </c>
      <c r="G488" s="2" t="n">
        <v>7</v>
      </c>
      <c r="H488" s="2" t="n">
        <v>6</v>
      </c>
      <c r="I488" s="2" t="n">
        <v>0</v>
      </c>
      <c r="J488" s="2" t="n">
        <v>0</v>
      </c>
      <c r="K488" s="2" t="n">
        <v>0</v>
      </c>
      <c r="L488" s="11" t="b">
        <f aca="false">FALSE()</f>
        <v>0</v>
      </c>
      <c r="M488" s="2" t="s">
        <v>406</v>
      </c>
      <c r="N488" s="2" t="n">
        <f aca="false">IF(E488&gt;0,F488/E488,"")</f>
        <v>1.44444444444444</v>
      </c>
      <c r="O488" s="2" t="str">
        <f aca="false">IF(AND(E488&gt;0,L488),J488/E488,"")</f>
        <v/>
      </c>
    </row>
    <row r="489" customFormat="false" ht="15" hidden="false" customHeight="false" outlineLevel="0" collapsed="false">
      <c r="A489" s="2" t="n">
        <v>2021</v>
      </c>
      <c r="B489" s="2" t="s">
        <v>457</v>
      </c>
      <c r="C489" s="2" t="s">
        <v>543</v>
      </c>
      <c r="D489" s="2" t="s">
        <v>24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11" t="b">
        <f aca="false">FALSE()</f>
        <v>0</v>
      </c>
      <c r="M489" s="2" t="s">
        <v>410</v>
      </c>
      <c r="N489" s="2" t="str">
        <f aca="false">IF(E489&gt;0,F489/E489,"")</f>
        <v/>
      </c>
      <c r="O489" s="2" t="str">
        <f aca="false">IF(AND(E489&gt;0,L489),J489/E489,"")</f>
        <v/>
      </c>
    </row>
    <row r="490" customFormat="false" ht="15" hidden="false" customHeight="false" outlineLevel="0" collapsed="false">
      <c r="A490" s="2" t="n">
        <v>2021</v>
      </c>
      <c r="B490" s="2" t="s">
        <v>566</v>
      </c>
      <c r="C490" s="2" t="s">
        <v>414</v>
      </c>
      <c r="D490" s="2" t="s">
        <v>29</v>
      </c>
      <c r="E490" s="2" t="n">
        <v>1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11" t="b">
        <f aca="false">FALSE()</f>
        <v>0</v>
      </c>
      <c r="M490" s="2" t="s">
        <v>410</v>
      </c>
      <c r="N490" s="2" t="n">
        <f aca="false">IF(E490&gt;0,F490/E490,"")</f>
        <v>0</v>
      </c>
      <c r="O490" s="2" t="str">
        <f aca="false">IF(AND(E490&gt;0,L490),J490/E490,"")</f>
        <v/>
      </c>
    </row>
    <row r="491" customFormat="false" ht="15" hidden="false" customHeight="false" outlineLevel="0" collapsed="false">
      <c r="A491" s="2" t="n">
        <v>2021</v>
      </c>
      <c r="B491" s="2" t="s">
        <v>116</v>
      </c>
      <c r="C491" s="2" t="s">
        <v>418</v>
      </c>
      <c r="D491" s="2" t="s">
        <v>117</v>
      </c>
      <c r="E491" s="2" t="n">
        <v>9</v>
      </c>
      <c r="F491" s="2" t="n">
        <v>8</v>
      </c>
      <c r="G491" s="2" t="n">
        <v>6</v>
      </c>
      <c r="H491" s="2" t="n">
        <v>2</v>
      </c>
      <c r="I491" s="2" t="n">
        <v>1</v>
      </c>
      <c r="J491" s="2" t="n">
        <v>0</v>
      </c>
      <c r="K491" s="2" t="n">
        <v>0</v>
      </c>
      <c r="L491" s="11" t="b">
        <f aca="false">FALSE()</f>
        <v>0</v>
      </c>
      <c r="M491" s="2" t="s">
        <v>406</v>
      </c>
      <c r="N491" s="2" t="n">
        <f aca="false">IF(E491&gt;0,F491/E491,"")</f>
        <v>0.888888888888889</v>
      </c>
      <c r="O491" s="2" t="str">
        <f aca="false">IF(AND(E491&gt;0,L491),J491/E491,"")</f>
        <v/>
      </c>
    </row>
    <row r="492" customFormat="false" ht="15" hidden="false" customHeight="false" outlineLevel="0" collapsed="false">
      <c r="A492" s="2" t="n">
        <v>2021</v>
      </c>
      <c r="B492" s="2" t="s">
        <v>64</v>
      </c>
      <c r="C492" s="2" t="s">
        <v>408</v>
      </c>
      <c r="D492" s="2" t="s">
        <v>24</v>
      </c>
      <c r="E492" s="2" t="n">
        <v>9</v>
      </c>
      <c r="F492" s="2" t="n">
        <v>50</v>
      </c>
      <c r="G492" s="2" t="n">
        <v>37</v>
      </c>
      <c r="H492" s="2" t="n">
        <v>19</v>
      </c>
      <c r="I492" s="2" t="n">
        <v>7</v>
      </c>
      <c r="J492" s="2" t="n">
        <v>0</v>
      </c>
      <c r="K492" s="2" t="n">
        <v>0</v>
      </c>
      <c r="L492" s="11" t="b">
        <f aca="false">FALSE()</f>
        <v>0</v>
      </c>
      <c r="M492" s="2" t="s">
        <v>406</v>
      </c>
      <c r="N492" s="2" t="n">
        <f aca="false">IF(E492&gt;0,F492/E492,"")</f>
        <v>5.55555555555556</v>
      </c>
      <c r="O492" s="2" t="str">
        <f aca="false">IF(AND(E492&gt;0,L492),J492/E492,"")</f>
        <v/>
      </c>
    </row>
    <row r="493" customFormat="false" ht="15" hidden="false" customHeight="false" outlineLevel="0" collapsed="false">
      <c r="A493" s="2" t="n">
        <v>2021</v>
      </c>
      <c r="B493" s="2" t="s">
        <v>567</v>
      </c>
      <c r="C493" s="2" t="s">
        <v>545</v>
      </c>
      <c r="D493" s="2" t="s">
        <v>409</v>
      </c>
      <c r="E493" s="2" t="n">
        <v>9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11" t="b">
        <f aca="false">FALSE()</f>
        <v>0</v>
      </c>
      <c r="M493" s="2" t="s">
        <v>410</v>
      </c>
      <c r="N493" s="2" t="n">
        <f aca="false">IF(E493&gt;0,F493/E493,"")</f>
        <v>0</v>
      </c>
      <c r="O493" s="2" t="str">
        <f aca="false">IF(AND(E493&gt;0,L493),J493/E493,"")</f>
        <v/>
      </c>
    </row>
    <row r="494" customFormat="false" ht="15" hidden="false" customHeight="false" outlineLevel="0" collapsed="false">
      <c r="A494" s="2" t="n">
        <v>2021</v>
      </c>
      <c r="B494" s="2" t="s">
        <v>459</v>
      </c>
      <c r="C494" s="2" t="s">
        <v>414</v>
      </c>
      <c r="D494" s="2" t="s">
        <v>24</v>
      </c>
      <c r="E494" s="2" t="n">
        <v>2</v>
      </c>
      <c r="F494" s="2" t="n">
        <v>12</v>
      </c>
      <c r="G494" s="2" t="n">
        <v>6</v>
      </c>
      <c r="H494" s="2" t="n">
        <v>3</v>
      </c>
      <c r="I494" s="2" t="n">
        <v>0</v>
      </c>
      <c r="J494" s="2" t="n">
        <v>0</v>
      </c>
      <c r="K494" s="2" t="n">
        <v>0</v>
      </c>
      <c r="L494" s="11" t="b">
        <f aca="false">FALSE()</f>
        <v>0</v>
      </c>
      <c r="M494" s="2" t="s">
        <v>410</v>
      </c>
      <c r="N494" s="2" t="n">
        <f aca="false">IF(E494&gt;0,F494/E494,"")</f>
        <v>6</v>
      </c>
      <c r="O494" s="2" t="str">
        <f aca="false">IF(AND(E494&gt;0,L494),J494/E494,"")</f>
        <v/>
      </c>
    </row>
    <row r="495" customFormat="false" ht="15" hidden="false" customHeight="false" outlineLevel="0" collapsed="false">
      <c r="A495" s="2" t="n">
        <v>2021</v>
      </c>
      <c r="B495" s="2" t="s">
        <v>568</v>
      </c>
      <c r="C495" s="2" t="s">
        <v>543</v>
      </c>
      <c r="D495" s="2" t="s">
        <v>413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11" t="b">
        <f aca="false">FALSE()</f>
        <v>0</v>
      </c>
      <c r="M495" s="2" t="s">
        <v>410</v>
      </c>
      <c r="N495" s="2" t="str">
        <f aca="false">IF(E495&gt;0,F495/E495,"")</f>
        <v/>
      </c>
      <c r="O495" s="2" t="str">
        <f aca="false">IF(AND(E495&gt;0,L495),J495/E495,"")</f>
        <v/>
      </c>
    </row>
    <row r="496" customFormat="false" ht="15" hidden="false" customHeight="false" outlineLevel="0" collapsed="false">
      <c r="A496" s="2" t="n">
        <v>2021</v>
      </c>
      <c r="B496" s="2" t="s">
        <v>369</v>
      </c>
      <c r="C496" s="2" t="s">
        <v>518</v>
      </c>
      <c r="D496" s="2" t="s">
        <v>29</v>
      </c>
      <c r="E496" s="2" t="n">
        <v>4</v>
      </c>
      <c r="F496" s="2" t="n">
        <v>9</v>
      </c>
      <c r="G496" s="2" t="n">
        <v>5</v>
      </c>
      <c r="H496" s="2" t="n">
        <v>3</v>
      </c>
      <c r="I496" s="2" t="n">
        <v>2</v>
      </c>
      <c r="J496" s="2" t="n">
        <v>0</v>
      </c>
      <c r="K496" s="2" t="n">
        <v>0</v>
      </c>
      <c r="L496" s="11" t="b">
        <f aca="false">FALSE()</f>
        <v>0</v>
      </c>
      <c r="M496" s="2" t="s">
        <v>406</v>
      </c>
      <c r="N496" s="2" t="n">
        <f aca="false">IF(E496&gt;0,F496/E496,"")</f>
        <v>2.25</v>
      </c>
      <c r="O496" s="2" t="str">
        <f aca="false">IF(AND(E496&gt;0,L496),J496/E496,"")</f>
        <v/>
      </c>
    </row>
    <row r="497" customFormat="false" ht="15" hidden="false" customHeight="false" outlineLevel="0" collapsed="false">
      <c r="A497" s="2" t="n">
        <v>2021</v>
      </c>
      <c r="B497" s="2" t="s">
        <v>27</v>
      </c>
      <c r="C497" s="2" t="s">
        <v>518</v>
      </c>
      <c r="D497" s="2" t="s">
        <v>24</v>
      </c>
      <c r="E497" s="2" t="n">
        <v>8</v>
      </c>
      <c r="F497" s="2" t="n">
        <v>45</v>
      </c>
      <c r="G497" s="2" t="n">
        <v>30</v>
      </c>
      <c r="H497" s="2" t="n">
        <v>12</v>
      </c>
      <c r="I497" s="2" t="n">
        <v>12</v>
      </c>
      <c r="J497" s="2" t="n">
        <v>0</v>
      </c>
      <c r="K497" s="2" t="n">
        <v>0</v>
      </c>
      <c r="L497" s="11" t="b">
        <f aca="false">FALSE()</f>
        <v>0</v>
      </c>
      <c r="M497" s="2" t="s">
        <v>406</v>
      </c>
      <c r="N497" s="2" t="n">
        <f aca="false">IF(E497&gt;0,F497/E497,"")</f>
        <v>5.625</v>
      </c>
      <c r="O497" s="2" t="str">
        <f aca="false">IF(AND(E497&gt;0,L497),J497/E497,"")</f>
        <v/>
      </c>
    </row>
    <row r="498" customFormat="false" ht="15" hidden="false" customHeight="false" outlineLevel="0" collapsed="false">
      <c r="A498" s="2" t="n">
        <v>2021</v>
      </c>
      <c r="B498" s="2" t="s">
        <v>461</v>
      </c>
      <c r="C498" s="2" t="s">
        <v>543</v>
      </c>
      <c r="D498" s="2" t="s">
        <v>29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11" t="b">
        <f aca="false">FALSE()</f>
        <v>0</v>
      </c>
      <c r="M498" s="2" t="s">
        <v>410</v>
      </c>
      <c r="N498" s="2" t="str">
        <f aca="false">IF(E498&gt;0,F498/E498,"")</f>
        <v/>
      </c>
      <c r="O498" s="2" t="str">
        <f aca="false">IF(AND(E498&gt;0,L498),J498/E498,"")</f>
        <v/>
      </c>
    </row>
    <row r="499" customFormat="false" ht="15" hidden="false" customHeight="false" outlineLevel="0" collapsed="false">
      <c r="A499" s="2" t="n">
        <v>2021</v>
      </c>
      <c r="B499" s="2" t="s">
        <v>462</v>
      </c>
      <c r="C499" s="2" t="s">
        <v>518</v>
      </c>
      <c r="D499" s="2" t="s">
        <v>29</v>
      </c>
      <c r="E499" s="2" t="n">
        <v>4</v>
      </c>
      <c r="F499" s="2" t="n">
        <v>11</v>
      </c>
      <c r="G499" s="2" t="n">
        <v>8</v>
      </c>
      <c r="H499" s="2" t="n">
        <v>3</v>
      </c>
      <c r="I499" s="2" t="n">
        <v>0</v>
      </c>
      <c r="J499" s="2" t="n">
        <v>0</v>
      </c>
      <c r="K499" s="2" t="n">
        <v>0</v>
      </c>
      <c r="L499" s="11" t="b">
        <f aca="false">FALSE()</f>
        <v>0</v>
      </c>
      <c r="M499" s="2" t="s">
        <v>406</v>
      </c>
      <c r="N499" s="2" t="n">
        <f aca="false">IF(E499&gt;0,F499/E499,"")</f>
        <v>2.75</v>
      </c>
      <c r="O499" s="2" t="str">
        <f aca="false">IF(AND(E499&gt;0,L499),J499/E499,"")</f>
        <v/>
      </c>
    </row>
    <row r="500" customFormat="false" ht="15" hidden="false" customHeight="false" outlineLevel="0" collapsed="false">
      <c r="A500" s="2" t="n">
        <v>2021</v>
      </c>
      <c r="B500" s="2" t="s">
        <v>309</v>
      </c>
      <c r="C500" s="2" t="s">
        <v>408</v>
      </c>
      <c r="D500" s="2" t="s">
        <v>117</v>
      </c>
      <c r="E500" s="2" t="n">
        <v>9</v>
      </c>
      <c r="F500" s="2" t="n">
        <v>1</v>
      </c>
      <c r="G500" s="2" t="n">
        <v>1</v>
      </c>
      <c r="H500" s="2" t="n">
        <v>0</v>
      </c>
      <c r="I500" s="2" t="n">
        <v>0</v>
      </c>
      <c r="J500" s="2" t="n">
        <v>0</v>
      </c>
      <c r="K500" s="2" t="n">
        <v>0</v>
      </c>
      <c r="L500" s="11" t="b">
        <f aca="false">FALSE()</f>
        <v>0</v>
      </c>
      <c r="M500" s="2" t="s">
        <v>406</v>
      </c>
      <c r="N500" s="2" t="n">
        <f aca="false">IF(E500&gt;0,F500/E500,"")</f>
        <v>0.111111111111111</v>
      </c>
      <c r="O500" s="2" t="str">
        <f aca="false">IF(AND(E500&gt;0,L500),J500/E500,"")</f>
        <v/>
      </c>
    </row>
    <row r="501" customFormat="false" ht="15" hidden="false" customHeight="false" outlineLevel="0" collapsed="false">
      <c r="A501" s="2" t="n">
        <v>2021</v>
      </c>
      <c r="B501" s="2" t="s">
        <v>569</v>
      </c>
      <c r="C501" s="2" t="s">
        <v>408</v>
      </c>
      <c r="D501" s="2" t="s">
        <v>29</v>
      </c>
      <c r="E501" s="2" t="n">
        <v>5</v>
      </c>
      <c r="F501" s="2" t="n">
        <v>17</v>
      </c>
      <c r="G501" s="2" t="n">
        <v>8</v>
      </c>
      <c r="H501" s="2" t="n">
        <v>5</v>
      </c>
      <c r="I501" s="2" t="n">
        <v>0</v>
      </c>
      <c r="J501" s="2" t="n">
        <v>0</v>
      </c>
      <c r="K501" s="2" t="n">
        <v>0</v>
      </c>
      <c r="L501" s="11" t="b">
        <f aca="false">FALSE()</f>
        <v>0</v>
      </c>
      <c r="M501" s="2" t="s">
        <v>406</v>
      </c>
      <c r="N501" s="2" t="n">
        <f aca="false">IF(E501&gt;0,F501/E501,"")</f>
        <v>3.4</v>
      </c>
      <c r="O501" s="2" t="str">
        <f aca="false">IF(AND(E501&gt;0,L501),J501/E501,"")</f>
        <v/>
      </c>
    </row>
    <row r="502" customFormat="false" ht="15" hidden="false" customHeight="false" outlineLevel="0" collapsed="false">
      <c r="A502" s="2" t="n">
        <v>2021</v>
      </c>
      <c r="B502" s="2" t="s">
        <v>337</v>
      </c>
      <c r="C502" s="2" t="s">
        <v>408</v>
      </c>
      <c r="D502" s="2" t="s">
        <v>83</v>
      </c>
      <c r="E502" s="2" t="n">
        <v>9</v>
      </c>
      <c r="F502" s="2" t="n">
        <v>2</v>
      </c>
      <c r="G502" s="2" t="n">
        <v>2</v>
      </c>
      <c r="H502" s="2" t="n">
        <v>0</v>
      </c>
      <c r="I502" s="2" t="n">
        <v>0</v>
      </c>
      <c r="J502" s="2" t="n">
        <v>0</v>
      </c>
      <c r="K502" s="2" t="n">
        <v>0</v>
      </c>
      <c r="L502" s="11" t="b">
        <f aca="false">FALSE()</f>
        <v>0</v>
      </c>
      <c r="M502" s="2" t="s">
        <v>406</v>
      </c>
      <c r="N502" s="2" t="n">
        <f aca="false">IF(E502&gt;0,F502/E502,"")</f>
        <v>0.222222222222222</v>
      </c>
      <c r="O502" s="2" t="str">
        <f aca="false">IF(AND(E502&gt;0,L502),J502/E502,"")</f>
        <v/>
      </c>
    </row>
    <row r="503" customFormat="false" ht="15" hidden="false" customHeight="false" outlineLevel="0" collapsed="false">
      <c r="A503" s="2" t="n">
        <v>2021</v>
      </c>
      <c r="B503" s="2" t="s">
        <v>340</v>
      </c>
      <c r="C503" s="2" t="s">
        <v>545</v>
      </c>
      <c r="D503" s="2" t="s">
        <v>117</v>
      </c>
      <c r="E503" s="2" t="n">
        <v>9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11" t="b">
        <f aca="false">FALSE()</f>
        <v>0</v>
      </c>
      <c r="M503" s="2" t="s">
        <v>406</v>
      </c>
      <c r="N503" s="2" t="n">
        <f aca="false">IF(E503&gt;0,F503/E503,"")</f>
        <v>0</v>
      </c>
      <c r="O503" s="2" t="str">
        <f aca="false">IF(AND(E503&gt;0,L503),J503/E503,"")</f>
        <v/>
      </c>
    </row>
    <row r="504" customFormat="false" ht="15" hidden="false" customHeight="false" outlineLevel="0" collapsed="false">
      <c r="A504" s="2" t="n">
        <v>2021</v>
      </c>
      <c r="B504" s="2" t="s">
        <v>463</v>
      </c>
      <c r="C504" s="2" t="s">
        <v>418</v>
      </c>
      <c r="D504" s="2" t="s">
        <v>117</v>
      </c>
      <c r="E504" s="2" t="n">
        <v>9</v>
      </c>
      <c r="F504" s="2" t="n">
        <v>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11" t="b">
        <f aca="false">FALSE()</f>
        <v>0</v>
      </c>
      <c r="M504" s="2" t="s">
        <v>406</v>
      </c>
      <c r="N504" s="2" t="n">
        <f aca="false">IF(E504&gt;0,F504/E504,"")</f>
        <v>0.111111111111111</v>
      </c>
      <c r="O504" s="2" t="str">
        <f aca="false">IF(AND(E504&gt;0,L504),J504/E504,"")</f>
        <v/>
      </c>
    </row>
    <row r="505" customFormat="false" ht="15" hidden="false" customHeight="false" outlineLevel="0" collapsed="false">
      <c r="A505" s="2" t="n">
        <v>2021</v>
      </c>
      <c r="B505" s="2" t="s">
        <v>38</v>
      </c>
      <c r="C505" s="2" t="s">
        <v>418</v>
      </c>
      <c r="D505" s="2" t="s">
        <v>24</v>
      </c>
      <c r="E505" s="2" t="n">
        <v>3</v>
      </c>
      <c r="F505" s="2" t="n">
        <v>20</v>
      </c>
      <c r="G505" s="2" t="n">
        <v>10</v>
      </c>
      <c r="H505" s="2" t="n">
        <v>6</v>
      </c>
      <c r="I505" s="2" t="n">
        <v>4</v>
      </c>
      <c r="J505" s="2" t="n">
        <v>0</v>
      </c>
      <c r="K505" s="2" t="n">
        <v>0</v>
      </c>
      <c r="L505" s="11" t="b">
        <f aca="false">FALSE()</f>
        <v>0</v>
      </c>
      <c r="M505" s="2" t="s">
        <v>406</v>
      </c>
      <c r="N505" s="2" t="n">
        <f aca="false">IF(E505&gt;0,F505/E505,"")</f>
        <v>6.66666666666667</v>
      </c>
      <c r="O505" s="2" t="str">
        <f aca="false">IF(AND(E505&gt;0,L505),J505/E505,"")</f>
        <v/>
      </c>
    </row>
    <row r="506" customFormat="false" ht="15" hidden="false" customHeight="false" outlineLevel="0" collapsed="false">
      <c r="A506" s="2" t="n">
        <v>2021</v>
      </c>
      <c r="B506" s="2" t="s">
        <v>96</v>
      </c>
      <c r="C506" s="2" t="s">
        <v>418</v>
      </c>
      <c r="D506" s="2" t="s">
        <v>24</v>
      </c>
      <c r="E506" s="2" t="n">
        <v>9</v>
      </c>
      <c r="F506" s="2" t="n">
        <v>40</v>
      </c>
      <c r="G506" s="2" t="n">
        <v>26</v>
      </c>
      <c r="H506" s="2" t="n">
        <v>16</v>
      </c>
      <c r="I506" s="2" t="n">
        <v>6</v>
      </c>
      <c r="J506" s="2" t="n">
        <v>0</v>
      </c>
      <c r="K506" s="2" t="n">
        <v>0</v>
      </c>
      <c r="L506" s="11" t="b">
        <f aca="false">FALSE()</f>
        <v>0</v>
      </c>
      <c r="M506" s="2" t="s">
        <v>406</v>
      </c>
      <c r="N506" s="2" t="n">
        <f aca="false">IF(E506&gt;0,F506/E506,"")</f>
        <v>4.44444444444445</v>
      </c>
      <c r="O506" s="2" t="str">
        <f aca="false">IF(AND(E506&gt;0,L506),J506/E506,"")</f>
        <v/>
      </c>
    </row>
    <row r="507" customFormat="false" ht="15" hidden="false" customHeight="false" outlineLevel="0" collapsed="false">
      <c r="A507" s="2" t="n">
        <v>2021</v>
      </c>
      <c r="B507" s="2" t="s">
        <v>531</v>
      </c>
      <c r="C507" s="2" t="s">
        <v>418</v>
      </c>
      <c r="D507" s="2" t="s">
        <v>117</v>
      </c>
      <c r="E507" s="2" t="n">
        <v>2</v>
      </c>
      <c r="F507" s="2" t="n">
        <v>1</v>
      </c>
      <c r="G507" s="2" t="n">
        <v>0</v>
      </c>
      <c r="H507" s="2" t="n">
        <v>0</v>
      </c>
      <c r="I507" s="2" t="n">
        <v>1</v>
      </c>
      <c r="J507" s="2" t="n">
        <v>0</v>
      </c>
      <c r="K507" s="2" t="n">
        <v>0</v>
      </c>
      <c r="L507" s="11" t="b">
        <f aca="false">FALSE()</f>
        <v>0</v>
      </c>
      <c r="M507" s="2" t="s">
        <v>410</v>
      </c>
      <c r="N507" s="2" t="n">
        <f aca="false">IF(E507&gt;0,F507/E507,"")</f>
        <v>0.5</v>
      </c>
      <c r="O507" s="2" t="str">
        <f aca="false">IF(AND(E507&gt;0,L507),J507/E507,"")</f>
        <v/>
      </c>
    </row>
    <row r="508" customFormat="false" ht="15" hidden="false" customHeight="false" outlineLevel="0" collapsed="false">
      <c r="A508" s="2" t="n">
        <v>2021</v>
      </c>
      <c r="B508" s="2" t="s">
        <v>143</v>
      </c>
      <c r="C508" s="2" t="s">
        <v>414</v>
      </c>
      <c r="D508" s="2" t="s">
        <v>117</v>
      </c>
      <c r="E508" s="2" t="n">
        <v>9</v>
      </c>
      <c r="F508" s="2" t="n">
        <v>0</v>
      </c>
      <c r="G508" s="2" t="n">
        <v>0</v>
      </c>
      <c r="H508" s="2" t="n">
        <v>0</v>
      </c>
      <c r="I508" s="2" t="n">
        <v>2</v>
      </c>
      <c r="J508" s="2" t="n">
        <v>0</v>
      </c>
      <c r="K508" s="2" t="n">
        <v>0</v>
      </c>
      <c r="L508" s="11" t="b">
        <f aca="false">FALSE()</f>
        <v>0</v>
      </c>
      <c r="M508" s="2" t="s">
        <v>406</v>
      </c>
      <c r="N508" s="2" t="n">
        <f aca="false">IF(E508&gt;0,F508/E508,"")</f>
        <v>0</v>
      </c>
      <c r="O508" s="2" t="str">
        <f aca="false">IF(AND(E508&gt;0,L508),J508/E508,"")</f>
        <v/>
      </c>
    </row>
    <row r="509" customFormat="false" ht="15" hidden="false" customHeight="false" outlineLevel="0" collapsed="false">
      <c r="A509" s="2" t="n">
        <v>2021</v>
      </c>
      <c r="B509" s="2" t="s">
        <v>467</v>
      </c>
      <c r="C509" s="2" t="s">
        <v>414</v>
      </c>
      <c r="D509" s="2" t="s">
        <v>413</v>
      </c>
      <c r="E509" s="2" t="n">
        <v>9</v>
      </c>
      <c r="F509" s="2" t="n">
        <v>10</v>
      </c>
      <c r="G509" s="2" t="n">
        <v>7</v>
      </c>
      <c r="H509" s="2" t="n">
        <v>2</v>
      </c>
      <c r="I509" s="2" t="n">
        <v>5</v>
      </c>
      <c r="J509" s="2" t="n">
        <v>0</v>
      </c>
      <c r="K509" s="2" t="n">
        <v>0</v>
      </c>
      <c r="L509" s="11" t="b">
        <f aca="false">FALSE()</f>
        <v>0</v>
      </c>
      <c r="M509" s="2" t="s">
        <v>410</v>
      </c>
      <c r="N509" s="2" t="n">
        <f aca="false">IF(E509&gt;0,F509/E509,"")</f>
        <v>1.11111111111111</v>
      </c>
      <c r="O509" s="2" t="str">
        <f aca="false">IF(AND(E509&gt;0,L509),J509/E509,"")</f>
        <v/>
      </c>
    </row>
    <row r="510" customFormat="false" ht="15" hidden="false" customHeight="false" outlineLevel="0" collapsed="false">
      <c r="A510" s="2" t="n">
        <v>2021</v>
      </c>
      <c r="B510" s="2" t="s">
        <v>323</v>
      </c>
      <c r="C510" s="2" t="s">
        <v>405</v>
      </c>
      <c r="D510" s="2" t="s">
        <v>83</v>
      </c>
      <c r="E510" s="2" t="n">
        <v>7</v>
      </c>
      <c r="F510" s="2" t="n">
        <v>5</v>
      </c>
      <c r="G510" s="2" t="n">
        <v>3</v>
      </c>
      <c r="H510" s="2" t="n">
        <v>0</v>
      </c>
      <c r="I510" s="2" t="n">
        <v>0</v>
      </c>
      <c r="J510" s="2" t="n">
        <v>0</v>
      </c>
      <c r="K510" s="2" t="n">
        <v>0</v>
      </c>
      <c r="L510" s="11" t="b">
        <f aca="false">FALSE()</f>
        <v>0</v>
      </c>
      <c r="M510" s="2" t="s">
        <v>406</v>
      </c>
      <c r="N510" s="2" t="n">
        <f aca="false">IF(E510&gt;0,F510/E510,"")</f>
        <v>0.714285714285714</v>
      </c>
      <c r="O510" s="2" t="str">
        <f aca="false">IF(AND(E510&gt;0,L510),J510/E510,"")</f>
        <v/>
      </c>
    </row>
    <row r="511" customFormat="false" ht="15" hidden="false" customHeight="false" outlineLevel="0" collapsed="false">
      <c r="A511" s="2" t="n">
        <v>2021</v>
      </c>
      <c r="B511" s="2" t="s">
        <v>146</v>
      </c>
      <c r="C511" s="2" t="s">
        <v>420</v>
      </c>
      <c r="D511" s="2" t="s">
        <v>117</v>
      </c>
      <c r="E511" s="2" t="n">
        <v>9</v>
      </c>
      <c r="F511" s="2" t="n">
        <v>5</v>
      </c>
      <c r="G511" s="2" t="n">
        <v>3</v>
      </c>
      <c r="H511" s="2" t="n">
        <v>0</v>
      </c>
      <c r="I511" s="2" t="n">
        <v>2</v>
      </c>
      <c r="J511" s="2" t="n">
        <v>0</v>
      </c>
      <c r="K511" s="2" t="n">
        <v>0</v>
      </c>
      <c r="L511" s="11" t="b">
        <f aca="false">FALSE()</f>
        <v>0</v>
      </c>
      <c r="M511" s="2" t="s">
        <v>406</v>
      </c>
      <c r="N511" s="2" t="n">
        <f aca="false">IF(E511&gt;0,F511/E511,"")</f>
        <v>0.555555555555556</v>
      </c>
      <c r="O511" s="2" t="str">
        <f aca="false">IF(AND(E511&gt;0,L511),J511/E511,"")</f>
        <v/>
      </c>
    </row>
    <row r="512" customFormat="false" ht="15" hidden="false" customHeight="false" outlineLevel="0" collapsed="false">
      <c r="A512" s="2" t="n">
        <v>2021</v>
      </c>
      <c r="B512" s="2" t="s">
        <v>532</v>
      </c>
      <c r="C512" s="2" t="s">
        <v>543</v>
      </c>
      <c r="D512" s="2" t="s">
        <v>115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11" t="b">
        <f aca="false">FALSE()</f>
        <v>0</v>
      </c>
      <c r="M512" s="2" t="s">
        <v>410</v>
      </c>
      <c r="N512" s="2" t="str">
        <f aca="false">IF(E512&gt;0,F512/E512,"")</f>
        <v/>
      </c>
      <c r="O512" s="2" t="str">
        <f aca="false">IF(AND(E512&gt;0,L512),J512/E512,"")</f>
        <v/>
      </c>
    </row>
    <row r="513" customFormat="false" ht="15" hidden="false" customHeight="false" outlineLevel="0" collapsed="false">
      <c r="A513" s="2" t="n">
        <v>2021</v>
      </c>
      <c r="B513" s="2" t="s">
        <v>358</v>
      </c>
      <c r="C513" s="2" t="s">
        <v>412</v>
      </c>
      <c r="D513" s="2" t="s">
        <v>117</v>
      </c>
      <c r="E513" s="2" t="n">
        <v>4</v>
      </c>
      <c r="F513" s="2" t="n">
        <v>1</v>
      </c>
      <c r="G513" s="2" t="n">
        <v>1</v>
      </c>
      <c r="H513" s="2" t="n">
        <v>0</v>
      </c>
      <c r="I513" s="2" t="n">
        <v>0</v>
      </c>
      <c r="J513" s="2" t="n">
        <v>0</v>
      </c>
      <c r="K513" s="2" t="n">
        <v>0</v>
      </c>
      <c r="L513" s="11" t="b">
        <f aca="false">FALSE()</f>
        <v>0</v>
      </c>
      <c r="M513" s="2" t="s">
        <v>406</v>
      </c>
      <c r="N513" s="2" t="n">
        <f aca="false">IF(E513&gt;0,F513/E513,"")</f>
        <v>0.25</v>
      </c>
      <c r="O513" s="2" t="str">
        <f aca="false">IF(AND(E513&gt;0,L513),J513/E513,"")</f>
        <v/>
      </c>
    </row>
    <row r="514" customFormat="false" ht="15" hidden="false" customHeight="false" outlineLevel="0" collapsed="false">
      <c r="A514" s="2" t="n">
        <v>2021</v>
      </c>
      <c r="B514" s="2" t="s">
        <v>33</v>
      </c>
      <c r="C514" s="2" t="s">
        <v>420</v>
      </c>
      <c r="D514" s="2" t="s">
        <v>24</v>
      </c>
      <c r="E514" s="2" t="n">
        <v>9</v>
      </c>
      <c r="F514" s="2" t="n">
        <v>29</v>
      </c>
      <c r="G514" s="2" t="n">
        <v>18</v>
      </c>
      <c r="H514" s="2" t="n">
        <v>9</v>
      </c>
      <c r="I514" s="2" t="n">
        <v>2</v>
      </c>
      <c r="J514" s="2" t="n">
        <v>0</v>
      </c>
      <c r="K514" s="2" t="n">
        <v>0</v>
      </c>
      <c r="L514" s="11" t="b">
        <f aca="false">FALSE()</f>
        <v>0</v>
      </c>
      <c r="M514" s="2" t="s">
        <v>406</v>
      </c>
      <c r="N514" s="2" t="n">
        <f aca="false">IF(E514&gt;0,F514/E514,"")</f>
        <v>3.22222222222222</v>
      </c>
      <c r="O514" s="2" t="str">
        <f aca="false">IF(AND(E514&gt;0,L514),J514/E514,"")</f>
        <v/>
      </c>
    </row>
    <row r="515" customFormat="false" ht="15" hidden="false" customHeight="false" outlineLevel="0" collapsed="false">
      <c r="A515" s="2" t="n">
        <v>2021</v>
      </c>
      <c r="B515" s="2" t="s">
        <v>471</v>
      </c>
      <c r="C515" s="2" t="s">
        <v>543</v>
      </c>
      <c r="D515" s="2" t="s">
        <v>83</v>
      </c>
      <c r="E515" s="2" t="n">
        <v>1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11" t="b">
        <f aca="false">FALSE()</f>
        <v>0</v>
      </c>
      <c r="M515" s="2" t="s">
        <v>410</v>
      </c>
      <c r="N515" s="2" t="n">
        <f aca="false">IF(E515&gt;0,F515/E515,"")</f>
        <v>0</v>
      </c>
      <c r="O515" s="2" t="str">
        <f aca="false">IF(AND(E515&gt;0,L515),J515/E515,"")</f>
        <v/>
      </c>
    </row>
    <row r="516" customFormat="false" ht="15" hidden="false" customHeight="false" outlineLevel="0" collapsed="false">
      <c r="A516" s="2" t="n">
        <v>2021</v>
      </c>
      <c r="B516" s="2" t="s">
        <v>258</v>
      </c>
      <c r="C516" s="2" t="s">
        <v>418</v>
      </c>
      <c r="D516" s="2" t="s">
        <v>24</v>
      </c>
      <c r="E516" s="2" t="n">
        <v>4</v>
      </c>
      <c r="F516" s="2" t="n">
        <v>9</v>
      </c>
      <c r="G516" s="2" t="n">
        <v>5</v>
      </c>
      <c r="H516" s="2" t="n">
        <v>2</v>
      </c>
      <c r="I516" s="2" t="n">
        <v>4</v>
      </c>
      <c r="J516" s="2" t="n">
        <v>0</v>
      </c>
      <c r="K516" s="2" t="n">
        <v>0</v>
      </c>
      <c r="L516" s="11" t="b">
        <f aca="false">FALSE()</f>
        <v>0</v>
      </c>
      <c r="M516" s="2" t="s">
        <v>406</v>
      </c>
      <c r="N516" s="2" t="n">
        <f aca="false">IF(E516&gt;0,F516/E516,"")</f>
        <v>2.25</v>
      </c>
      <c r="O516" s="2" t="str">
        <f aca="false">IF(AND(E516&gt;0,L516),J516/E516,"")</f>
        <v/>
      </c>
    </row>
    <row r="517" customFormat="false" ht="15" hidden="false" customHeight="false" outlineLevel="0" collapsed="false">
      <c r="A517" s="2" t="n">
        <v>2021</v>
      </c>
      <c r="B517" s="2" t="s">
        <v>472</v>
      </c>
      <c r="C517" s="2" t="s">
        <v>543</v>
      </c>
      <c r="D517" s="2" t="s">
        <v>24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11" t="b">
        <f aca="false">FALSE()</f>
        <v>0</v>
      </c>
      <c r="M517" s="2" t="s">
        <v>410</v>
      </c>
      <c r="N517" s="2" t="str">
        <f aca="false">IF(E517&gt;0,F517/E517,"")</f>
        <v/>
      </c>
      <c r="O517" s="2" t="str">
        <f aca="false">IF(AND(E517&gt;0,L517),J517/E517,"")</f>
        <v/>
      </c>
    </row>
    <row r="518" customFormat="false" ht="15" hidden="false" customHeight="false" outlineLevel="0" collapsed="false">
      <c r="A518" s="2" t="n">
        <v>2021</v>
      </c>
      <c r="B518" s="2" t="s">
        <v>26</v>
      </c>
      <c r="C518" s="2" t="s">
        <v>405</v>
      </c>
      <c r="D518" s="2" t="s">
        <v>24</v>
      </c>
      <c r="E518" s="2" t="n">
        <v>9</v>
      </c>
      <c r="F518" s="2" t="n">
        <v>68</v>
      </c>
      <c r="G518" s="2" t="n">
        <v>37</v>
      </c>
      <c r="H518" s="2" t="n">
        <v>13</v>
      </c>
      <c r="I518" s="2" t="n">
        <v>16</v>
      </c>
      <c r="J518" s="2" t="n">
        <v>0</v>
      </c>
      <c r="K518" s="2" t="n">
        <v>0</v>
      </c>
      <c r="L518" s="11" t="b">
        <f aca="false">FALSE()</f>
        <v>0</v>
      </c>
      <c r="M518" s="2" t="s">
        <v>406</v>
      </c>
      <c r="N518" s="2" t="n">
        <f aca="false">IF(E518&gt;0,F518/E518,"")</f>
        <v>7.55555555555556</v>
      </c>
      <c r="O518" s="2" t="str">
        <f aca="false">IF(AND(E518&gt;0,L518),J518/E518,"")</f>
        <v/>
      </c>
    </row>
    <row r="519" customFormat="false" ht="15" hidden="false" customHeight="false" outlineLevel="0" collapsed="false">
      <c r="A519" s="2" t="n">
        <v>2021</v>
      </c>
      <c r="B519" s="2" t="s">
        <v>86</v>
      </c>
      <c r="C519" s="2" t="s">
        <v>405</v>
      </c>
      <c r="D519" s="2" t="s">
        <v>29</v>
      </c>
      <c r="E519" s="2" t="n">
        <v>9</v>
      </c>
      <c r="F519" s="2" t="n">
        <v>43</v>
      </c>
      <c r="G519" s="2" t="n">
        <v>27</v>
      </c>
      <c r="H519" s="2" t="n">
        <v>14</v>
      </c>
      <c r="I519" s="2" t="n">
        <v>5</v>
      </c>
      <c r="J519" s="2" t="n">
        <v>0</v>
      </c>
      <c r="K519" s="2" t="n">
        <v>0</v>
      </c>
      <c r="L519" s="11" t="b">
        <f aca="false">FALSE()</f>
        <v>0</v>
      </c>
      <c r="M519" s="2" t="s">
        <v>406</v>
      </c>
      <c r="N519" s="2" t="n">
        <f aca="false">IF(E519&gt;0,F519/E519,"")</f>
        <v>4.77777777777778</v>
      </c>
      <c r="O519" s="2" t="str">
        <f aca="false">IF(AND(E519&gt;0,L519),J519/E519,"")</f>
        <v/>
      </c>
    </row>
    <row r="520" customFormat="false" ht="15" hidden="false" customHeight="false" outlineLevel="0" collapsed="false">
      <c r="A520" s="2" t="n">
        <v>2021</v>
      </c>
      <c r="B520" s="2" t="s">
        <v>193</v>
      </c>
      <c r="C520" s="2" t="s">
        <v>414</v>
      </c>
      <c r="D520" s="2" t="s">
        <v>29</v>
      </c>
      <c r="E520" s="2" t="n">
        <v>2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11" t="b">
        <f aca="false">FALSE()</f>
        <v>0</v>
      </c>
      <c r="M520" s="2" t="s">
        <v>410</v>
      </c>
      <c r="N520" s="2" t="n">
        <f aca="false">IF(E520&gt;0,F520/E520,"")</f>
        <v>0</v>
      </c>
      <c r="O520" s="2" t="str">
        <f aca="false">IF(AND(E520&gt;0,L520),J520/E520,"")</f>
        <v/>
      </c>
    </row>
    <row r="521" customFormat="false" ht="15" hidden="false" customHeight="false" outlineLevel="0" collapsed="false">
      <c r="A521" s="2" t="n">
        <v>2021</v>
      </c>
      <c r="B521" s="2" t="s">
        <v>357</v>
      </c>
      <c r="C521" s="2" t="s">
        <v>543</v>
      </c>
      <c r="D521" s="2" t="s">
        <v>24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11" t="b">
        <f aca="false">FALSE()</f>
        <v>0</v>
      </c>
      <c r="M521" s="2" t="s">
        <v>410</v>
      </c>
      <c r="N521" s="2" t="str">
        <f aca="false">IF(E521&gt;0,F521/E521,"")</f>
        <v/>
      </c>
      <c r="O521" s="2" t="str">
        <f aca="false">IF(AND(E521&gt;0,L521),J521/E521,"")</f>
        <v/>
      </c>
    </row>
    <row r="522" customFormat="false" ht="15" hidden="false" customHeight="false" outlineLevel="0" collapsed="false">
      <c r="A522" s="2" t="n">
        <v>2021</v>
      </c>
      <c r="B522" s="2" t="s">
        <v>570</v>
      </c>
      <c r="C522" s="2" t="s">
        <v>414</v>
      </c>
      <c r="D522" s="2" t="s">
        <v>409</v>
      </c>
      <c r="E522" s="2" t="n">
        <v>4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11" t="b">
        <f aca="false">FALSE()</f>
        <v>0</v>
      </c>
      <c r="M522" s="2" t="s">
        <v>410</v>
      </c>
      <c r="N522" s="2" t="n">
        <f aca="false">IF(E522&gt;0,F522/E522,"")</f>
        <v>0</v>
      </c>
      <c r="O522" s="2" t="str">
        <f aca="false">IF(AND(E522&gt;0,L522),J522/E522,"")</f>
        <v/>
      </c>
    </row>
    <row r="523" customFormat="false" ht="15" hidden="false" customHeight="false" outlineLevel="0" collapsed="false">
      <c r="A523" s="2" t="n">
        <v>2021</v>
      </c>
      <c r="B523" s="2" t="s">
        <v>475</v>
      </c>
      <c r="C523" s="2" t="s">
        <v>412</v>
      </c>
      <c r="D523" s="2" t="s">
        <v>117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11" t="b">
        <f aca="false">FALSE()</f>
        <v>0</v>
      </c>
      <c r="M523" s="2" t="s">
        <v>410</v>
      </c>
      <c r="N523" s="2" t="str">
        <f aca="false">IF(E523&gt;0,F523/E523,"")</f>
        <v/>
      </c>
      <c r="O523" s="2" t="str">
        <f aca="false">IF(AND(E523&gt;0,L523),J523/E523,"")</f>
        <v/>
      </c>
    </row>
    <row r="524" customFormat="false" ht="15" hidden="false" customHeight="false" outlineLevel="0" collapsed="false">
      <c r="A524" s="2" t="n">
        <v>2021</v>
      </c>
      <c r="B524" s="2" t="s">
        <v>476</v>
      </c>
      <c r="C524" s="2" t="s">
        <v>408</v>
      </c>
      <c r="D524" s="2" t="s">
        <v>117</v>
      </c>
      <c r="E524" s="2" t="n">
        <v>1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11" t="b">
        <f aca="false">FALSE()</f>
        <v>0</v>
      </c>
      <c r="M524" s="2" t="s">
        <v>410</v>
      </c>
      <c r="N524" s="2" t="n">
        <f aca="false">IF(E524&gt;0,F524/E524,"")</f>
        <v>0</v>
      </c>
      <c r="O524" s="2" t="str">
        <f aca="false">IF(AND(E524&gt;0,L524),J524/E524,"")</f>
        <v/>
      </c>
    </row>
    <row r="525" customFormat="false" ht="15" hidden="false" customHeight="false" outlineLevel="0" collapsed="false">
      <c r="A525" s="2" t="n">
        <v>2021</v>
      </c>
      <c r="B525" s="2" t="s">
        <v>571</v>
      </c>
      <c r="C525" s="2" t="s">
        <v>412</v>
      </c>
      <c r="D525" s="2" t="s">
        <v>115</v>
      </c>
      <c r="E525" s="2" t="n">
        <v>6</v>
      </c>
      <c r="F525" s="2" t="n">
        <v>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11" t="b">
        <f aca="false">FALSE()</f>
        <v>0</v>
      </c>
      <c r="M525" s="2" t="s">
        <v>406</v>
      </c>
      <c r="N525" s="2" t="n">
        <f aca="false">IF(E525&gt;0,F525/E525,"")</f>
        <v>0.166666666666667</v>
      </c>
      <c r="O525" s="2" t="str">
        <f aca="false">IF(AND(E525&gt;0,L525),J525/E525,"")</f>
        <v/>
      </c>
    </row>
    <row r="526" customFormat="false" ht="15" hidden="false" customHeight="false" outlineLevel="0" collapsed="false">
      <c r="A526" s="2" t="n">
        <v>2021</v>
      </c>
      <c r="B526" s="2" t="s">
        <v>534</v>
      </c>
      <c r="C526" s="2" t="s">
        <v>543</v>
      </c>
      <c r="D526" s="2" t="s">
        <v>117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11" t="b">
        <f aca="false">FALSE()</f>
        <v>0</v>
      </c>
      <c r="M526" s="2" t="s">
        <v>410</v>
      </c>
      <c r="N526" s="2" t="str">
        <f aca="false">IF(E526&gt;0,F526/E526,"")</f>
        <v/>
      </c>
      <c r="O526" s="2" t="str">
        <f aca="false">IF(AND(E526&gt;0,L526),J526/E526,"")</f>
        <v/>
      </c>
    </row>
    <row r="527" customFormat="false" ht="15" hidden="false" customHeight="false" outlineLevel="0" collapsed="false">
      <c r="A527" s="2" t="n">
        <v>2021</v>
      </c>
      <c r="B527" s="2" t="s">
        <v>572</v>
      </c>
      <c r="C527" s="2" t="s">
        <v>543</v>
      </c>
      <c r="D527" s="2" t="s">
        <v>117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11" t="b">
        <f aca="false">FALSE()</f>
        <v>0</v>
      </c>
      <c r="M527" s="2" t="s">
        <v>410</v>
      </c>
      <c r="N527" s="2" t="str">
        <f aca="false">IF(E527&gt;0,F527/E527,"")</f>
        <v/>
      </c>
      <c r="O527" s="2" t="str">
        <f aca="false">IF(AND(E527&gt;0,L527),J527/E527,"")</f>
        <v/>
      </c>
    </row>
    <row r="528" customFormat="false" ht="15" hidden="false" customHeight="false" outlineLevel="0" collapsed="false">
      <c r="A528" s="2" t="n">
        <v>2021</v>
      </c>
      <c r="B528" s="2" t="s">
        <v>270</v>
      </c>
      <c r="C528" s="2" t="s">
        <v>545</v>
      </c>
      <c r="D528" s="2" t="s">
        <v>117</v>
      </c>
      <c r="E528" s="2" t="n">
        <v>9</v>
      </c>
      <c r="F528" s="2" t="n">
        <v>4</v>
      </c>
      <c r="G528" s="2" t="n">
        <v>2</v>
      </c>
      <c r="H528" s="2" t="n">
        <v>1</v>
      </c>
      <c r="I528" s="2" t="n">
        <v>0</v>
      </c>
      <c r="J528" s="2" t="n">
        <v>0</v>
      </c>
      <c r="K528" s="2" t="n">
        <v>0</v>
      </c>
      <c r="L528" s="11" t="b">
        <f aca="false">FALSE()</f>
        <v>0</v>
      </c>
      <c r="M528" s="2" t="s">
        <v>406</v>
      </c>
      <c r="N528" s="2" t="n">
        <f aca="false">IF(E528&gt;0,F528/E528,"")</f>
        <v>0.444444444444444</v>
      </c>
      <c r="O528" s="2" t="str">
        <f aca="false">IF(AND(E528&gt;0,L528),J528/E528,"")</f>
        <v/>
      </c>
    </row>
    <row r="529" customFormat="false" ht="15" hidden="false" customHeight="false" outlineLevel="0" collapsed="false">
      <c r="A529" s="2" t="n">
        <v>2021</v>
      </c>
      <c r="B529" s="2" t="s">
        <v>535</v>
      </c>
      <c r="C529" s="2" t="s">
        <v>543</v>
      </c>
      <c r="D529" s="2" t="s">
        <v>413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11" t="b">
        <f aca="false">FALSE()</f>
        <v>0</v>
      </c>
      <c r="M529" s="2" t="s">
        <v>410</v>
      </c>
      <c r="N529" s="2" t="str">
        <f aca="false">IF(E529&gt;0,F529/E529,"")</f>
        <v/>
      </c>
      <c r="O529" s="2" t="str">
        <f aca="false">IF(AND(E529&gt;0,L529),J529/E529,"")</f>
        <v/>
      </c>
    </row>
    <row r="530" customFormat="false" ht="15" hidden="false" customHeight="false" outlineLevel="0" collapsed="false">
      <c r="A530" s="2" t="n">
        <v>2021</v>
      </c>
      <c r="B530" s="2" t="s">
        <v>479</v>
      </c>
      <c r="C530" s="2" t="s">
        <v>545</v>
      </c>
      <c r="D530" s="2" t="s">
        <v>29</v>
      </c>
      <c r="E530" s="2" t="n">
        <v>9</v>
      </c>
      <c r="F530" s="2" t="n">
        <v>50</v>
      </c>
      <c r="G530" s="2" t="n">
        <v>39</v>
      </c>
      <c r="H530" s="2" t="n">
        <v>18</v>
      </c>
      <c r="I530" s="2" t="n">
        <v>6</v>
      </c>
      <c r="J530" s="2" t="n">
        <v>0</v>
      </c>
      <c r="K530" s="2" t="n">
        <v>0</v>
      </c>
      <c r="L530" s="11" t="b">
        <f aca="false">FALSE()</f>
        <v>0</v>
      </c>
      <c r="M530" s="2" t="s">
        <v>406</v>
      </c>
      <c r="N530" s="2" t="n">
        <f aca="false">IF(E530&gt;0,F530/E530,"")</f>
        <v>5.55555555555556</v>
      </c>
      <c r="O530" s="2" t="str">
        <f aca="false">IF(AND(E530&gt;0,L530),J530/E530,"")</f>
        <v/>
      </c>
    </row>
    <row r="531" customFormat="false" ht="15" hidden="false" customHeight="false" outlineLevel="0" collapsed="false">
      <c r="A531" s="2" t="n">
        <v>2021</v>
      </c>
      <c r="B531" s="2" t="s">
        <v>573</v>
      </c>
      <c r="C531" s="2" t="s">
        <v>543</v>
      </c>
      <c r="D531" s="2" t="s">
        <v>413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11" t="b">
        <f aca="false">FALSE()</f>
        <v>0</v>
      </c>
      <c r="M531" s="2" t="s">
        <v>410</v>
      </c>
      <c r="N531" s="2" t="str">
        <f aca="false">IF(E531&gt;0,F531/E531,"")</f>
        <v/>
      </c>
      <c r="O531" s="2" t="str">
        <f aca="false">IF(AND(E531&gt;0,L531),J531/E531,"")</f>
        <v/>
      </c>
    </row>
    <row r="532" customFormat="false" ht="15" hidden="false" customHeight="false" outlineLevel="0" collapsed="false">
      <c r="A532" s="2" t="n">
        <v>2021</v>
      </c>
      <c r="B532" s="2" t="s">
        <v>42</v>
      </c>
      <c r="C532" s="2" t="s">
        <v>414</v>
      </c>
      <c r="D532" s="2" t="s">
        <v>24</v>
      </c>
      <c r="E532" s="2" t="n">
        <v>6</v>
      </c>
      <c r="F532" s="2" t="n">
        <v>45</v>
      </c>
      <c r="G532" s="2" t="n">
        <v>25</v>
      </c>
      <c r="H532" s="2" t="n">
        <v>12</v>
      </c>
      <c r="I532" s="2" t="n">
        <v>6</v>
      </c>
      <c r="J532" s="2" t="n">
        <v>0</v>
      </c>
      <c r="K532" s="2" t="n">
        <v>0</v>
      </c>
      <c r="L532" s="11" t="b">
        <f aca="false">FALSE()</f>
        <v>0</v>
      </c>
      <c r="M532" s="2" t="s">
        <v>406</v>
      </c>
      <c r="N532" s="2" t="n">
        <f aca="false">IF(E532&gt;0,F532/E532,"")</f>
        <v>7.5</v>
      </c>
      <c r="O532" s="2" t="str">
        <f aca="false">IF(AND(E532&gt;0,L532),J532/E532,"")</f>
        <v/>
      </c>
    </row>
    <row r="533" customFormat="false" ht="15" hidden="false" customHeight="false" outlineLevel="0" collapsed="false">
      <c r="A533" s="2" t="n">
        <v>2021</v>
      </c>
      <c r="B533" s="2" t="s">
        <v>322</v>
      </c>
      <c r="C533" s="2" t="s">
        <v>418</v>
      </c>
      <c r="D533" s="2" t="s">
        <v>29</v>
      </c>
      <c r="E533" s="2" t="n">
        <v>9</v>
      </c>
      <c r="F533" s="2" t="n">
        <v>24</v>
      </c>
      <c r="G533" s="2" t="n">
        <v>17</v>
      </c>
      <c r="H533" s="2" t="n">
        <v>4</v>
      </c>
      <c r="I533" s="2" t="n">
        <v>4</v>
      </c>
      <c r="J533" s="2" t="n">
        <v>0</v>
      </c>
      <c r="K533" s="2" t="n">
        <v>0</v>
      </c>
      <c r="L533" s="11" t="b">
        <f aca="false">FALSE()</f>
        <v>0</v>
      </c>
      <c r="M533" s="2" t="s">
        <v>406</v>
      </c>
      <c r="N533" s="2" t="n">
        <f aca="false">IF(E533&gt;0,F533/E533,"")</f>
        <v>2.66666666666667</v>
      </c>
      <c r="O533" s="2" t="str">
        <f aca="false">IF(AND(E533&gt;0,L533),J533/E533,"")</f>
        <v/>
      </c>
    </row>
    <row r="534" customFormat="false" ht="15" hidden="false" customHeight="false" outlineLevel="0" collapsed="false">
      <c r="A534" s="2" t="n">
        <v>2021</v>
      </c>
      <c r="B534" s="2" t="s">
        <v>130</v>
      </c>
      <c r="C534" s="2" t="s">
        <v>518</v>
      </c>
      <c r="D534" s="2" t="s">
        <v>117</v>
      </c>
      <c r="E534" s="2" t="n">
        <v>7</v>
      </c>
      <c r="F534" s="2" t="n">
        <v>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11" t="b">
        <f aca="false">FALSE()</f>
        <v>0</v>
      </c>
      <c r="M534" s="2" t="s">
        <v>406</v>
      </c>
      <c r="N534" s="2" t="n">
        <f aca="false">IF(E534&gt;0,F534/E534,"")</f>
        <v>0.285714285714286</v>
      </c>
      <c r="O534" s="2" t="str">
        <f aca="false">IF(AND(E534&gt;0,L534),J534/E534,"")</f>
        <v/>
      </c>
    </row>
    <row r="535" customFormat="false" ht="15" hidden="false" customHeight="false" outlineLevel="0" collapsed="false">
      <c r="A535" s="2" t="n">
        <v>2021</v>
      </c>
      <c r="B535" s="2" t="s">
        <v>536</v>
      </c>
      <c r="C535" s="2" t="s">
        <v>408</v>
      </c>
      <c r="D535" s="2" t="s">
        <v>117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11" t="b">
        <f aca="false">FALSE()</f>
        <v>0</v>
      </c>
      <c r="M535" s="2" t="s">
        <v>410</v>
      </c>
      <c r="N535" s="2" t="str">
        <f aca="false">IF(E535&gt;0,F535/E535,"")</f>
        <v/>
      </c>
      <c r="O535" s="2" t="str">
        <f aca="false">IF(AND(E535&gt;0,L535),J535/E535,"")</f>
        <v/>
      </c>
    </row>
    <row r="536" customFormat="false" ht="15" hidden="false" customHeight="false" outlineLevel="0" collapsed="false">
      <c r="A536" s="2" t="n">
        <v>2021</v>
      </c>
      <c r="B536" s="2" t="s">
        <v>239</v>
      </c>
      <c r="C536" s="2" t="s">
        <v>408</v>
      </c>
      <c r="D536" s="2" t="s">
        <v>115</v>
      </c>
      <c r="E536" s="2" t="n">
        <v>9</v>
      </c>
      <c r="F536" s="2" t="n">
        <v>6</v>
      </c>
      <c r="G536" s="2" t="n">
        <v>5</v>
      </c>
      <c r="H536" s="2" t="n">
        <v>2</v>
      </c>
      <c r="I536" s="2" t="n">
        <v>3</v>
      </c>
      <c r="J536" s="2" t="n">
        <v>0</v>
      </c>
      <c r="K536" s="2" t="n">
        <v>0</v>
      </c>
      <c r="L536" s="11" t="b">
        <f aca="false">FALSE()</f>
        <v>0</v>
      </c>
      <c r="M536" s="2" t="s">
        <v>406</v>
      </c>
      <c r="N536" s="2" t="n">
        <f aca="false">IF(E536&gt;0,F536/E536,"")</f>
        <v>0.666666666666667</v>
      </c>
      <c r="O536" s="2" t="str">
        <f aca="false">IF(AND(E536&gt;0,L536),J536/E536,"")</f>
        <v/>
      </c>
    </row>
    <row r="537" customFormat="false" ht="15" hidden="false" customHeight="false" outlineLevel="0" collapsed="false">
      <c r="A537" s="2" t="n">
        <v>2021</v>
      </c>
      <c r="B537" s="2" t="s">
        <v>481</v>
      </c>
      <c r="C537" s="2" t="s">
        <v>543</v>
      </c>
      <c r="D537" s="2" t="s">
        <v>409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11" t="b">
        <f aca="false">FALSE()</f>
        <v>0</v>
      </c>
      <c r="M537" s="2" t="s">
        <v>410</v>
      </c>
      <c r="N537" s="2" t="str">
        <f aca="false">IF(E537&gt;0,F537/E537,"")</f>
        <v/>
      </c>
      <c r="O537" s="2" t="str">
        <f aca="false">IF(AND(E537&gt;0,L537),J537/E537,"")</f>
        <v/>
      </c>
    </row>
    <row r="538" customFormat="false" ht="15" hidden="false" customHeight="false" outlineLevel="0" collapsed="false">
      <c r="A538" s="2" t="n">
        <v>2021</v>
      </c>
      <c r="B538" s="2" t="s">
        <v>277</v>
      </c>
      <c r="C538" s="2" t="s">
        <v>420</v>
      </c>
      <c r="D538" s="2" t="s">
        <v>115</v>
      </c>
      <c r="E538" s="2" t="n">
        <v>1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11" t="b">
        <f aca="false">FALSE()</f>
        <v>0</v>
      </c>
      <c r="M538" s="2" t="s">
        <v>410</v>
      </c>
      <c r="N538" s="2" t="n">
        <f aca="false">IF(E538&gt;0,F538/E538,"")</f>
        <v>0</v>
      </c>
      <c r="O538" s="2" t="str">
        <f aca="false">IF(AND(E538&gt;0,L538),J538/E538,"")</f>
        <v/>
      </c>
    </row>
    <row r="539" customFormat="false" ht="15" hidden="false" customHeight="false" outlineLevel="0" collapsed="false">
      <c r="A539" s="2" t="n">
        <v>2021</v>
      </c>
      <c r="B539" s="2" t="s">
        <v>209</v>
      </c>
      <c r="C539" s="2" t="s">
        <v>518</v>
      </c>
      <c r="D539" s="2" t="s">
        <v>115</v>
      </c>
      <c r="E539" s="2" t="n">
        <v>9</v>
      </c>
      <c r="F539" s="2" t="n">
        <v>10</v>
      </c>
      <c r="G539" s="2" t="n">
        <v>5</v>
      </c>
      <c r="H539" s="2" t="n">
        <v>3</v>
      </c>
      <c r="I539" s="2" t="n">
        <v>0</v>
      </c>
      <c r="J539" s="2" t="n">
        <v>0</v>
      </c>
      <c r="K539" s="2" t="n">
        <v>0</v>
      </c>
      <c r="L539" s="11" t="b">
        <f aca="false">FALSE()</f>
        <v>0</v>
      </c>
      <c r="M539" s="2" t="s">
        <v>406</v>
      </c>
      <c r="N539" s="2" t="n">
        <f aca="false">IF(E539&gt;0,F539/E539,"")</f>
        <v>1.11111111111111</v>
      </c>
      <c r="O539" s="2" t="str">
        <f aca="false">IF(AND(E539&gt;0,L539),J539/E539,"")</f>
        <v/>
      </c>
    </row>
    <row r="540" customFormat="false" ht="15" hidden="false" customHeight="false" outlineLevel="0" collapsed="false">
      <c r="A540" s="2" t="n">
        <v>2021</v>
      </c>
      <c r="B540" s="2" t="s">
        <v>482</v>
      </c>
      <c r="C540" s="2" t="s">
        <v>518</v>
      </c>
      <c r="D540" s="2" t="s">
        <v>24</v>
      </c>
      <c r="E540" s="2" t="n">
        <v>8</v>
      </c>
      <c r="F540" s="2" t="n">
        <v>23</v>
      </c>
      <c r="G540" s="2" t="n">
        <v>15</v>
      </c>
      <c r="H540" s="2" t="n">
        <v>8</v>
      </c>
      <c r="I540" s="2" t="n">
        <v>3</v>
      </c>
      <c r="J540" s="2" t="n">
        <v>0</v>
      </c>
      <c r="K540" s="2" t="n">
        <v>0</v>
      </c>
      <c r="L540" s="11" t="b">
        <f aca="false">FALSE()</f>
        <v>0</v>
      </c>
      <c r="M540" s="2" t="s">
        <v>406</v>
      </c>
      <c r="N540" s="2" t="n">
        <f aca="false">IF(E540&gt;0,F540/E540,"")</f>
        <v>2.875</v>
      </c>
      <c r="O540" s="2" t="str">
        <f aca="false">IF(AND(E540&gt;0,L540),J540/E540,"")</f>
        <v/>
      </c>
    </row>
    <row r="541" customFormat="false" ht="15" hidden="false" customHeight="false" outlineLevel="0" collapsed="false">
      <c r="A541" s="2" t="n">
        <v>2021</v>
      </c>
      <c r="B541" s="2" t="s">
        <v>114</v>
      </c>
      <c r="C541" s="2" t="s">
        <v>420</v>
      </c>
      <c r="D541" s="2" t="s">
        <v>115</v>
      </c>
      <c r="E541" s="2" t="n">
        <v>9</v>
      </c>
      <c r="F541" s="2" t="n">
        <v>10</v>
      </c>
      <c r="G541" s="2" t="n">
        <v>6</v>
      </c>
      <c r="H541" s="2" t="n">
        <v>1</v>
      </c>
      <c r="I541" s="2" t="n">
        <v>0</v>
      </c>
      <c r="J541" s="2" t="n">
        <v>0</v>
      </c>
      <c r="K541" s="2" t="n">
        <v>0</v>
      </c>
      <c r="L541" s="11" t="b">
        <f aca="false">FALSE()</f>
        <v>0</v>
      </c>
      <c r="M541" s="2" t="s">
        <v>406</v>
      </c>
      <c r="N541" s="2" t="n">
        <f aca="false">IF(E541&gt;0,F541/E541,"")</f>
        <v>1.11111111111111</v>
      </c>
      <c r="O541" s="2" t="str">
        <f aca="false">IF(AND(E541&gt;0,L541),J541/E541,"")</f>
        <v/>
      </c>
    </row>
    <row r="542" customFormat="false" ht="15" hidden="false" customHeight="false" outlineLevel="0" collapsed="false">
      <c r="A542" s="2" t="n">
        <v>2021</v>
      </c>
      <c r="B542" s="2" t="s">
        <v>147</v>
      </c>
      <c r="C542" s="2" t="s">
        <v>545</v>
      </c>
      <c r="D542" s="2" t="s">
        <v>29</v>
      </c>
      <c r="E542" s="2" t="n">
        <v>9</v>
      </c>
      <c r="F542" s="2" t="n">
        <v>31</v>
      </c>
      <c r="G542" s="2" t="n">
        <v>18</v>
      </c>
      <c r="H542" s="2" t="n">
        <v>14</v>
      </c>
      <c r="I542" s="2" t="n">
        <v>11</v>
      </c>
      <c r="J542" s="2" t="n">
        <v>0</v>
      </c>
      <c r="K542" s="2" t="n">
        <v>0</v>
      </c>
      <c r="L542" s="11" t="b">
        <f aca="false">FALSE()</f>
        <v>0</v>
      </c>
      <c r="M542" s="2" t="s">
        <v>406</v>
      </c>
      <c r="N542" s="2" t="n">
        <f aca="false">IF(E542&gt;0,F542/E542,"")</f>
        <v>3.44444444444444</v>
      </c>
      <c r="O542" s="2" t="str">
        <f aca="false">IF(AND(E542&gt;0,L542),J542/E542,"")</f>
        <v/>
      </c>
    </row>
    <row r="543" customFormat="false" ht="15" hidden="false" customHeight="false" outlineLevel="0" collapsed="false">
      <c r="A543" s="2" t="n">
        <v>2021</v>
      </c>
      <c r="B543" s="2" t="s">
        <v>574</v>
      </c>
      <c r="C543" s="2" t="s">
        <v>545</v>
      </c>
      <c r="D543" s="2" t="s">
        <v>413</v>
      </c>
      <c r="E543" s="2" t="n">
        <v>5</v>
      </c>
      <c r="F543" s="2" t="n">
        <v>5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11" t="b">
        <f aca="false">FALSE()</f>
        <v>0</v>
      </c>
      <c r="M543" s="2" t="s">
        <v>410</v>
      </c>
      <c r="N543" s="2" t="n">
        <f aca="false">IF(E543&gt;0,F543/E543,"")</f>
        <v>1</v>
      </c>
      <c r="O543" s="2" t="str">
        <f aca="false">IF(AND(E543&gt;0,L543),J543/E543,"")</f>
        <v/>
      </c>
    </row>
    <row r="544" customFormat="false" ht="15" hidden="false" customHeight="false" outlineLevel="0" collapsed="false">
      <c r="A544" s="2" t="n">
        <v>2021</v>
      </c>
      <c r="B544" s="2" t="s">
        <v>165</v>
      </c>
      <c r="C544" s="2" t="s">
        <v>420</v>
      </c>
      <c r="D544" s="2" t="s">
        <v>83</v>
      </c>
      <c r="E544" s="2" t="n">
        <v>9</v>
      </c>
      <c r="F544" s="2" t="n">
        <v>3</v>
      </c>
      <c r="G544" s="2" t="n">
        <v>1</v>
      </c>
      <c r="H544" s="2" t="n">
        <v>0</v>
      </c>
      <c r="I544" s="2" t="n">
        <v>3</v>
      </c>
      <c r="J544" s="2" t="n">
        <v>0</v>
      </c>
      <c r="K544" s="2" t="n">
        <v>0</v>
      </c>
      <c r="L544" s="11" t="b">
        <f aca="false">FALSE()</f>
        <v>0</v>
      </c>
      <c r="M544" s="2" t="s">
        <v>406</v>
      </c>
      <c r="N544" s="2" t="n">
        <f aca="false">IF(E544&gt;0,F544/E544,"")</f>
        <v>0.333333333333333</v>
      </c>
      <c r="O544" s="2" t="str">
        <f aca="false">IF(AND(E544&gt;0,L544),J544/E544,"")</f>
        <v/>
      </c>
    </row>
    <row r="545" customFormat="false" ht="15" hidden="false" customHeight="false" outlineLevel="0" collapsed="false">
      <c r="A545" s="2" t="n">
        <v>2021</v>
      </c>
      <c r="B545" s="2" t="s">
        <v>162</v>
      </c>
      <c r="C545" s="2" t="s">
        <v>412</v>
      </c>
      <c r="D545" s="2" t="s">
        <v>117</v>
      </c>
      <c r="E545" s="2" t="n">
        <v>9</v>
      </c>
      <c r="F545" s="2" t="n">
        <v>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11" t="b">
        <f aca="false">FALSE()</f>
        <v>0</v>
      </c>
      <c r="M545" s="2" t="s">
        <v>406</v>
      </c>
      <c r="N545" s="2" t="n">
        <f aca="false">IF(E545&gt;0,F545/E545,"")</f>
        <v>0.111111111111111</v>
      </c>
      <c r="O545" s="2" t="str">
        <f aca="false">IF(AND(E545&gt;0,L545),J545/E545,"")</f>
        <v/>
      </c>
    </row>
    <row r="546" customFormat="false" ht="15" hidden="false" customHeight="false" outlineLevel="0" collapsed="false">
      <c r="A546" s="2" t="n">
        <v>2021</v>
      </c>
      <c r="B546" s="2" t="s">
        <v>194</v>
      </c>
      <c r="C546" s="2" t="s">
        <v>412</v>
      </c>
      <c r="D546" s="2" t="s">
        <v>29</v>
      </c>
      <c r="E546" s="2" t="n">
        <v>9</v>
      </c>
      <c r="F546" s="2" t="n">
        <v>1</v>
      </c>
      <c r="G546" s="2" t="n">
        <v>1</v>
      </c>
      <c r="H546" s="2" t="n">
        <v>0</v>
      </c>
      <c r="I546" s="2" t="n">
        <v>1</v>
      </c>
      <c r="J546" s="2" t="n">
        <v>0</v>
      </c>
      <c r="K546" s="2" t="n">
        <v>0</v>
      </c>
      <c r="L546" s="11" t="b">
        <f aca="false">FALSE()</f>
        <v>0</v>
      </c>
      <c r="M546" s="2" t="s">
        <v>406</v>
      </c>
      <c r="N546" s="2" t="n">
        <f aca="false">IF(E546&gt;0,F546/E546,"")</f>
        <v>0.111111111111111</v>
      </c>
      <c r="O546" s="2" t="str">
        <f aca="false">IF(AND(E546&gt;0,L546),J546/E546,"")</f>
        <v/>
      </c>
    </row>
    <row r="547" customFormat="false" ht="15" hidden="false" customHeight="false" outlineLevel="0" collapsed="false">
      <c r="A547" s="2" t="n">
        <v>2021</v>
      </c>
      <c r="B547" s="2" t="s">
        <v>486</v>
      </c>
      <c r="C547" s="2" t="s">
        <v>543</v>
      </c>
      <c r="D547" s="2" t="s">
        <v>117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11" t="b">
        <f aca="false">FALSE()</f>
        <v>0</v>
      </c>
      <c r="M547" s="2" t="s">
        <v>410</v>
      </c>
      <c r="N547" s="2" t="str">
        <f aca="false">IF(E547&gt;0,F547/E547,"")</f>
        <v/>
      </c>
      <c r="O547" s="2" t="str">
        <f aca="false">IF(AND(E547&gt;0,L547),J547/E547,"")</f>
        <v/>
      </c>
    </row>
    <row r="548" customFormat="false" ht="15" hidden="false" customHeight="false" outlineLevel="0" collapsed="false">
      <c r="A548" s="2" t="n">
        <v>2021</v>
      </c>
      <c r="B548" s="2" t="s">
        <v>487</v>
      </c>
      <c r="C548" s="2" t="s">
        <v>420</v>
      </c>
      <c r="D548" s="2" t="s">
        <v>409</v>
      </c>
      <c r="E548" s="2" t="n">
        <v>9</v>
      </c>
      <c r="F548" s="2" t="n">
        <v>1</v>
      </c>
      <c r="G548" s="2" t="n">
        <v>0</v>
      </c>
      <c r="H548" s="2" t="n">
        <v>0</v>
      </c>
      <c r="I548" s="2" t="n">
        <v>1</v>
      </c>
      <c r="J548" s="2" t="n">
        <v>0</v>
      </c>
      <c r="K548" s="2" t="n">
        <v>0</v>
      </c>
      <c r="L548" s="11" t="b">
        <f aca="false">FALSE()</f>
        <v>0</v>
      </c>
      <c r="M548" s="2" t="s">
        <v>410</v>
      </c>
      <c r="N548" s="2" t="n">
        <f aca="false">IF(E548&gt;0,F548/E548,"")</f>
        <v>0.111111111111111</v>
      </c>
      <c r="O548" s="2" t="str">
        <f aca="false">IF(AND(E548&gt;0,L548),J548/E548,"")</f>
        <v/>
      </c>
    </row>
    <row r="549" customFormat="false" ht="15" hidden="false" customHeight="false" outlineLevel="0" collapsed="false">
      <c r="A549" s="2" t="n">
        <v>2021</v>
      </c>
      <c r="B549" s="2" t="s">
        <v>172</v>
      </c>
      <c r="C549" s="2" t="s">
        <v>543</v>
      </c>
      <c r="D549" s="2" t="s">
        <v>29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11" t="b">
        <f aca="false">FALSE()</f>
        <v>0</v>
      </c>
      <c r="M549" s="2" t="s">
        <v>410</v>
      </c>
      <c r="N549" s="2" t="str">
        <f aca="false">IF(E549&gt;0,F549/E549,"")</f>
        <v/>
      </c>
      <c r="O549" s="2" t="str">
        <f aca="false">IF(AND(E549&gt;0,L549),J549/E549,"")</f>
        <v/>
      </c>
    </row>
    <row r="550" customFormat="false" ht="15" hidden="false" customHeight="false" outlineLevel="0" collapsed="false">
      <c r="A550" s="2" t="n">
        <v>2021</v>
      </c>
      <c r="B550" s="2" t="s">
        <v>219</v>
      </c>
      <c r="C550" s="2" t="s">
        <v>418</v>
      </c>
      <c r="D550" s="2" t="s">
        <v>29</v>
      </c>
      <c r="E550" s="2" t="n">
        <v>6</v>
      </c>
      <c r="F550" s="2" t="n">
        <v>25</v>
      </c>
      <c r="G550" s="2" t="n">
        <v>15</v>
      </c>
      <c r="H550" s="2" t="n">
        <v>8</v>
      </c>
      <c r="I550" s="2" t="n">
        <v>5</v>
      </c>
      <c r="J550" s="2" t="n">
        <v>0</v>
      </c>
      <c r="K550" s="2" t="n">
        <v>0</v>
      </c>
      <c r="L550" s="11" t="b">
        <f aca="false">FALSE()</f>
        <v>0</v>
      </c>
      <c r="M550" s="2" t="s">
        <v>406</v>
      </c>
      <c r="N550" s="2" t="n">
        <f aca="false">IF(E550&gt;0,F550/E550,"")</f>
        <v>4.16666666666667</v>
      </c>
      <c r="O550" s="2" t="str">
        <f aca="false">IF(AND(E550&gt;0,L550),J550/E550,"")</f>
        <v/>
      </c>
    </row>
    <row r="551" customFormat="false" ht="15" hidden="false" customHeight="false" outlineLevel="0" collapsed="false">
      <c r="A551" s="2" t="n">
        <v>2021</v>
      </c>
      <c r="B551" s="2" t="s">
        <v>159</v>
      </c>
      <c r="C551" s="2" t="s">
        <v>420</v>
      </c>
      <c r="D551" s="2" t="s">
        <v>117</v>
      </c>
      <c r="E551" s="2" t="n">
        <v>8</v>
      </c>
      <c r="F551" s="2" t="n">
        <v>0</v>
      </c>
      <c r="G551" s="2" t="n">
        <v>0</v>
      </c>
      <c r="H551" s="2" t="n">
        <v>0</v>
      </c>
      <c r="I551" s="2" t="n">
        <v>1</v>
      </c>
      <c r="J551" s="2" t="n">
        <v>0</v>
      </c>
      <c r="K551" s="2" t="n">
        <v>0</v>
      </c>
      <c r="L551" s="11" t="b">
        <f aca="false">FALSE()</f>
        <v>0</v>
      </c>
      <c r="M551" s="2" t="s">
        <v>406</v>
      </c>
      <c r="N551" s="2" t="n">
        <f aca="false">IF(E551&gt;0,F551/E551,"")</f>
        <v>0</v>
      </c>
      <c r="O551" s="2" t="str">
        <f aca="false">IF(AND(E551&gt;0,L551),J551/E551,"")</f>
        <v/>
      </c>
    </row>
    <row r="552" customFormat="false" ht="15" hidden="false" customHeight="false" outlineLevel="0" collapsed="false">
      <c r="A552" s="2" t="n">
        <v>2021</v>
      </c>
      <c r="B552" s="2" t="s">
        <v>575</v>
      </c>
      <c r="C552" s="2" t="s">
        <v>418</v>
      </c>
      <c r="D552" s="2" t="s">
        <v>117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11" t="b">
        <f aca="false">FALSE()</f>
        <v>0</v>
      </c>
      <c r="M552" s="2" t="s">
        <v>410</v>
      </c>
      <c r="N552" s="2" t="str">
        <f aca="false">IF(E552&gt;0,F552/E552,"")</f>
        <v/>
      </c>
      <c r="O552" s="2" t="str">
        <f aca="false">IF(AND(E552&gt;0,L552),J552/E552,"")</f>
        <v/>
      </c>
    </row>
    <row r="553" customFormat="false" ht="15" hidden="false" customHeight="false" outlineLevel="0" collapsed="false">
      <c r="A553" s="2" t="n">
        <v>2021</v>
      </c>
      <c r="B553" s="2" t="s">
        <v>264</v>
      </c>
      <c r="C553" s="2" t="s">
        <v>518</v>
      </c>
      <c r="D553" s="2" t="s">
        <v>117</v>
      </c>
      <c r="E553" s="2" t="n">
        <v>8</v>
      </c>
      <c r="F553" s="2" t="n">
        <v>1</v>
      </c>
      <c r="G553" s="2" t="n">
        <v>1</v>
      </c>
      <c r="H553" s="2" t="n">
        <v>1</v>
      </c>
      <c r="I553" s="2" t="n">
        <v>0</v>
      </c>
      <c r="J553" s="2" t="n">
        <v>0</v>
      </c>
      <c r="K553" s="2" t="n">
        <v>0</v>
      </c>
      <c r="L553" s="11" t="b">
        <f aca="false">FALSE()</f>
        <v>0</v>
      </c>
      <c r="M553" s="2" t="s">
        <v>406</v>
      </c>
      <c r="N553" s="2" t="n">
        <f aca="false">IF(E553&gt;0,F553/E553,"")</f>
        <v>0.125</v>
      </c>
      <c r="O553" s="2" t="str">
        <f aca="false">IF(AND(E553&gt;0,L553),J553/E553,"")</f>
        <v/>
      </c>
    </row>
    <row r="554" customFormat="false" ht="15" hidden="false" customHeight="false" outlineLevel="0" collapsed="false">
      <c r="A554" s="2" t="n">
        <v>2021</v>
      </c>
      <c r="B554" s="2" t="s">
        <v>240</v>
      </c>
      <c r="C554" s="2" t="s">
        <v>418</v>
      </c>
      <c r="D554" s="2" t="s">
        <v>115</v>
      </c>
      <c r="E554" s="2" t="n">
        <v>1</v>
      </c>
      <c r="F554" s="2" t="n">
        <v>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11" t="b">
        <f aca="false">FALSE()</f>
        <v>0</v>
      </c>
      <c r="M554" s="2" t="s">
        <v>410</v>
      </c>
      <c r="N554" s="2" t="n">
        <f aca="false">IF(E554&gt;0,F554/E554,"")</f>
        <v>1</v>
      </c>
      <c r="O554" s="2" t="str">
        <f aca="false">IF(AND(E554&gt;0,L554),J554/E554,"")</f>
        <v/>
      </c>
    </row>
    <row r="555" customFormat="false" ht="15" hidden="false" customHeight="false" outlineLevel="0" collapsed="false">
      <c r="A555" s="2" t="n">
        <v>2021</v>
      </c>
      <c r="B555" s="2" t="s">
        <v>491</v>
      </c>
      <c r="C555" s="2" t="s">
        <v>420</v>
      </c>
      <c r="D555" s="2"/>
      <c r="E555" s="2" t="n">
        <v>3</v>
      </c>
      <c r="F555" s="2" t="n">
        <v>4</v>
      </c>
      <c r="G555" s="2" t="n">
        <v>3</v>
      </c>
      <c r="H555" s="2" t="n">
        <v>1</v>
      </c>
      <c r="I555" s="2" t="n">
        <v>0</v>
      </c>
      <c r="J555" s="2" t="n">
        <v>0</v>
      </c>
      <c r="K555" s="2" t="n">
        <v>0</v>
      </c>
      <c r="L555" s="11" t="b">
        <f aca="false">FALSE()</f>
        <v>0</v>
      </c>
      <c r="M555" s="2" t="s">
        <v>410</v>
      </c>
      <c r="N555" s="2" t="n">
        <f aca="false">IF(E555&gt;0,F555/E555,"")</f>
        <v>1.33333333333333</v>
      </c>
      <c r="O555" s="2" t="str">
        <f aca="false">IF(AND(E555&gt;0,L555),J555/E555,"")</f>
        <v/>
      </c>
    </row>
    <row r="556" customFormat="false" ht="15" hidden="false" customHeight="false" outlineLevel="0" collapsed="false">
      <c r="A556" s="2" t="n">
        <v>2021</v>
      </c>
      <c r="B556" s="2" t="s">
        <v>492</v>
      </c>
      <c r="C556" s="2" t="s">
        <v>543</v>
      </c>
      <c r="D556" s="2" t="s">
        <v>29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11" t="b">
        <f aca="false">FALSE()</f>
        <v>0</v>
      </c>
      <c r="M556" s="2" t="s">
        <v>410</v>
      </c>
      <c r="N556" s="2" t="str">
        <f aca="false">IF(E556&gt;0,F556/E556,"")</f>
        <v/>
      </c>
      <c r="O556" s="2" t="str">
        <f aca="false">IF(AND(E556&gt;0,L556),J556/E556,"")</f>
        <v/>
      </c>
    </row>
    <row r="557" customFormat="false" ht="15" hidden="false" customHeight="false" outlineLevel="0" collapsed="false">
      <c r="A557" s="2" t="n">
        <v>2021</v>
      </c>
      <c r="B557" s="2" t="s">
        <v>171</v>
      </c>
      <c r="C557" s="2" t="s">
        <v>518</v>
      </c>
      <c r="D557" s="2" t="s">
        <v>29</v>
      </c>
      <c r="E557" s="2" t="n">
        <v>7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11" t="b">
        <f aca="false">FALSE()</f>
        <v>0</v>
      </c>
      <c r="M557" s="2" t="s">
        <v>406</v>
      </c>
      <c r="N557" s="2" t="n">
        <f aca="false">IF(E557&gt;0,F557/E557,"")</f>
        <v>0</v>
      </c>
      <c r="O557" s="2" t="str">
        <f aca="false">IF(AND(E557&gt;0,L557),J557/E557,"")</f>
        <v/>
      </c>
    </row>
    <row r="558" customFormat="false" ht="15" hidden="false" customHeight="false" outlineLevel="0" collapsed="false">
      <c r="A558" s="2" t="n">
        <v>2021</v>
      </c>
      <c r="B558" s="2" t="s">
        <v>180</v>
      </c>
      <c r="C558" s="2" t="s">
        <v>518</v>
      </c>
      <c r="D558" s="2" t="s">
        <v>29</v>
      </c>
      <c r="E558" s="2" t="n">
        <v>9</v>
      </c>
      <c r="F558" s="2" t="n">
        <v>38</v>
      </c>
      <c r="G558" s="2" t="n">
        <v>26</v>
      </c>
      <c r="H558" s="2" t="n">
        <v>13</v>
      </c>
      <c r="I558" s="2" t="n">
        <v>1</v>
      </c>
      <c r="J558" s="2" t="n">
        <v>0</v>
      </c>
      <c r="K558" s="2" t="n">
        <v>0</v>
      </c>
      <c r="L558" s="11" t="b">
        <f aca="false">FALSE()</f>
        <v>0</v>
      </c>
      <c r="M558" s="2" t="s">
        <v>406</v>
      </c>
      <c r="N558" s="2" t="n">
        <f aca="false">IF(E558&gt;0,F558/E558,"")</f>
        <v>4.22222222222222</v>
      </c>
      <c r="O558" s="2" t="str">
        <f aca="false">IF(AND(E558&gt;0,L558),J558/E558,"")</f>
        <v/>
      </c>
    </row>
    <row r="559" customFormat="false" ht="15" hidden="false" customHeight="false" outlineLevel="0" collapsed="false">
      <c r="A559" s="2" t="n">
        <v>2021</v>
      </c>
      <c r="B559" s="2" t="s">
        <v>34</v>
      </c>
      <c r="C559" s="2" t="s">
        <v>408</v>
      </c>
      <c r="D559" s="2" t="s">
        <v>29</v>
      </c>
      <c r="E559" s="2" t="n">
        <v>9</v>
      </c>
      <c r="F559" s="2" t="n">
        <v>64</v>
      </c>
      <c r="G559" s="2" t="n">
        <v>34</v>
      </c>
      <c r="H559" s="2" t="n">
        <v>14</v>
      </c>
      <c r="I559" s="2" t="n">
        <v>13</v>
      </c>
      <c r="J559" s="2" t="n">
        <v>0</v>
      </c>
      <c r="K559" s="2" t="n">
        <v>0</v>
      </c>
      <c r="L559" s="11" t="b">
        <f aca="false">FALSE()</f>
        <v>0</v>
      </c>
      <c r="M559" s="2" t="s">
        <v>406</v>
      </c>
      <c r="N559" s="2" t="n">
        <f aca="false">IF(E559&gt;0,F559/E559,"")</f>
        <v>7.11111111111111</v>
      </c>
      <c r="O559" s="2" t="str">
        <f aca="false">IF(AND(E559&gt;0,L559),J559/E559,"")</f>
        <v/>
      </c>
    </row>
    <row r="560" customFormat="false" ht="15" hidden="false" customHeight="false" outlineLevel="0" collapsed="false">
      <c r="A560" s="2" t="n">
        <v>2021</v>
      </c>
      <c r="B560" s="2" t="s">
        <v>576</v>
      </c>
      <c r="C560" s="2" t="s">
        <v>418</v>
      </c>
      <c r="D560" s="2" t="s">
        <v>409</v>
      </c>
      <c r="E560" s="2" t="n">
        <v>9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11" t="b">
        <f aca="false">FALSE()</f>
        <v>0</v>
      </c>
      <c r="M560" s="2" t="s">
        <v>410</v>
      </c>
      <c r="N560" s="2" t="n">
        <f aca="false">IF(E560&gt;0,F560/E560,"")</f>
        <v>0</v>
      </c>
      <c r="O560" s="2" t="str">
        <f aca="false">IF(AND(E560&gt;0,L560),J560/E560,"")</f>
        <v/>
      </c>
    </row>
    <row r="561" customFormat="false" ht="15" hidden="false" customHeight="false" outlineLevel="0" collapsed="false">
      <c r="A561" s="2" t="n">
        <v>2021</v>
      </c>
      <c r="B561" s="2" t="s">
        <v>494</v>
      </c>
      <c r="C561" s="2" t="s">
        <v>420</v>
      </c>
      <c r="D561" s="2" t="s">
        <v>29</v>
      </c>
      <c r="E561" s="2" t="n">
        <v>2</v>
      </c>
      <c r="F561" s="2" t="n">
        <v>2</v>
      </c>
      <c r="G561" s="2" t="n">
        <v>2</v>
      </c>
      <c r="H561" s="2" t="n">
        <v>0</v>
      </c>
      <c r="I561" s="2" t="n">
        <v>0</v>
      </c>
      <c r="J561" s="2" t="n">
        <v>0</v>
      </c>
      <c r="K561" s="2" t="n">
        <v>0</v>
      </c>
      <c r="L561" s="11" t="b">
        <f aca="false">FALSE()</f>
        <v>0</v>
      </c>
      <c r="M561" s="2" t="s">
        <v>410</v>
      </c>
      <c r="N561" s="2" t="n">
        <f aca="false">IF(E561&gt;0,F561/E561,"")</f>
        <v>1</v>
      </c>
      <c r="O561" s="2" t="str">
        <f aca="false">IF(AND(E561&gt;0,L561),J561/E561,"")</f>
        <v/>
      </c>
    </row>
    <row r="562" customFormat="false" ht="15" hidden="false" customHeight="false" outlineLevel="0" collapsed="false">
      <c r="A562" s="2" t="n">
        <v>2021</v>
      </c>
      <c r="B562" s="2" t="s">
        <v>285</v>
      </c>
      <c r="C562" s="2" t="s">
        <v>405</v>
      </c>
      <c r="D562" s="2" t="s">
        <v>115</v>
      </c>
      <c r="E562" s="2" t="n">
        <v>8</v>
      </c>
      <c r="F562" s="2" t="n">
        <v>3</v>
      </c>
      <c r="G562" s="2" t="n">
        <v>1</v>
      </c>
      <c r="H562" s="2" t="n">
        <v>0</v>
      </c>
      <c r="I562" s="2" t="n">
        <v>0</v>
      </c>
      <c r="J562" s="2" t="n">
        <v>0</v>
      </c>
      <c r="K562" s="2" t="n">
        <v>0</v>
      </c>
      <c r="L562" s="11" t="b">
        <f aca="false">FALSE()</f>
        <v>0</v>
      </c>
      <c r="M562" s="2" t="s">
        <v>406</v>
      </c>
      <c r="N562" s="2" t="n">
        <f aca="false">IF(E562&gt;0,F562/E562,"")</f>
        <v>0.375</v>
      </c>
      <c r="O562" s="2" t="str">
        <f aca="false">IF(AND(E562&gt;0,L562),J562/E562,"")</f>
        <v/>
      </c>
    </row>
    <row r="563" customFormat="false" ht="15" hidden="false" customHeight="false" outlineLevel="0" collapsed="false">
      <c r="A563" s="2" t="n">
        <v>2021</v>
      </c>
      <c r="B563" s="2" t="s">
        <v>498</v>
      </c>
      <c r="C563" s="2" t="s">
        <v>405</v>
      </c>
      <c r="D563" s="2" t="s">
        <v>413</v>
      </c>
      <c r="E563" s="2" t="n">
        <v>3</v>
      </c>
      <c r="F563" s="2" t="n">
        <v>2</v>
      </c>
      <c r="G563" s="2" t="n">
        <v>1</v>
      </c>
      <c r="H563" s="2" t="n">
        <v>0</v>
      </c>
      <c r="I563" s="2" t="n">
        <v>0</v>
      </c>
      <c r="J563" s="2" t="n">
        <v>0</v>
      </c>
      <c r="K563" s="2" t="n">
        <v>0</v>
      </c>
      <c r="L563" s="11" t="b">
        <f aca="false">FALSE()</f>
        <v>0</v>
      </c>
      <c r="M563" s="2" t="s">
        <v>410</v>
      </c>
      <c r="N563" s="2" t="n">
        <f aca="false">IF(E563&gt;0,F563/E563,"")</f>
        <v>0.666666666666667</v>
      </c>
      <c r="O563" s="2" t="str">
        <f aca="false">IF(AND(E563&gt;0,L563),J563/E563,"")</f>
        <v/>
      </c>
    </row>
    <row r="564" customFormat="false" ht="15" hidden="false" customHeight="false" outlineLevel="0" collapsed="false">
      <c r="A564" s="2" t="n">
        <v>2021</v>
      </c>
      <c r="B564" s="2" t="s">
        <v>499</v>
      </c>
      <c r="C564" s="2" t="s">
        <v>408</v>
      </c>
      <c r="D564" s="2" t="s">
        <v>29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11" t="b">
        <f aca="false">FALSE()</f>
        <v>0</v>
      </c>
      <c r="M564" s="2" t="s">
        <v>410</v>
      </c>
      <c r="N564" s="2" t="str">
        <f aca="false">IF(E564&gt;0,F564/E564,"")</f>
        <v/>
      </c>
      <c r="O564" s="2" t="str">
        <f aca="false">IF(AND(E564&gt;0,L564),J564/E564,"")</f>
        <v/>
      </c>
    </row>
    <row r="565" customFormat="false" ht="15" hidden="false" customHeight="false" outlineLevel="0" collapsed="false">
      <c r="A565" s="2" t="n">
        <v>2021</v>
      </c>
      <c r="B565" s="2" t="s">
        <v>70</v>
      </c>
      <c r="C565" s="2" t="s">
        <v>414</v>
      </c>
      <c r="D565" s="2" t="s">
        <v>29</v>
      </c>
      <c r="E565" s="2" t="n">
        <v>9</v>
      </c>
      <c r="F565" s="2" t="n">
        <v>47</v>
      </c>
      <c r="G565" s="2" t="n">
        <v>25</v>
      </c>
      <c r="H565" s="2" t="n">
        <v>11</v>
      </c>
      <c r="I565" s="2" t="n">
        <v>10</v>
      </c>
      <c r="J565" s="2" t="n">
        <v>0</v>
      </c>
      <c r="K565" s="2" t="n">
        <v>0</v>
      </c>
      <c r="L565" s="11" t="b">
        <f aca="false">FALSE()</f>
        <v>0</v>
      </c>
      <c r="M565" s="2" t="s">
        <v>406</v>
      </c>
      <c r="N565" s="2" t="n">
        <f aca="false">IF(E565&gt;0,F565/E565,"")</f>
        <v>5.22222222222222</v>
      </c>
      <c r="O565" s="2" t="str">
        <f aca="false">IF(AND(E565&gt;0,L565),J565/E565,"")</f>
        <v/>
      </c>
    </row>
    <row r="566" customFormat="false" ht="15" hidden="false" customHeight="false" outlineLevel="0" collapsed="false">
      <c r="A566" s="2" t="n">
        <v>2021</v>
      </c>
      <c r="B566" s="2" t="s">
        <v>98</v>
      </c>
      <c r="C566" s="2" t="s">
        <v>420</v>
      </c>
      <c r="D566" s="2" t="s">
        <v>29</v>
      </c>
      <c r="E566" s="2" t="n">
        <v>9</v>
      </c>
      <c r="F566" s="2" t="n">
        <v>22</v>
      </c>
      <c r="G566" s="2" t="n">
        <v>17</v>
      </c>
      <c r="H566" s="2" t="n">
        <v>7</v>
      </c>
      <c r="I566" s="2" t="n">
        <v>13</v>
      </c>
      <c r="J566" s="2" t="n">
        <v>0</v>
      </c>
      <c r="K566" s="2" t="n">
        <v>0</v>
      </c>
      <c r="L566" s="11" t="b">
        <f aca="false">FALSE()</f>
        <v>0</v>
      </c>
      <c r="M566" s="2" t="s">
        <v>406</v>
      </c>
      <c r="N566" s="2" t="n">
        <f aca="false">IF(E566&gt;0,F566/E566,"")</f>
        <v>2.44444444444444</v>
      </c>
      <c r="O566" s="2" t="str">
        <f aca="false">IF(AND(E566&gt;0,L566),J566/E566,"")</f>
        <v/>
      </c>
    </row>
    <row r="567" customFormat="false" ht="15" hidden="false" customHeight="false" outlineLevel="0" collapsed="false">
      <c r="A567" s="2" t="n">
        <v>2021</v>
      </c>
      <c r="B567" s="2" t="s">
        <v>537</v>
      </c>
      <c r="C567" s="2" t="s">
        <v>545</v>
      </c>
      <c r="D567" s="2"/>
      <c r="E567" s="2" t="n">
        <v>2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11" t="b">
        <f aca="false">FALSE()</f>
        <v>0</v>
      </c>
      <c r="M567" s="2" t="s">
        <v>410</v>
      </c>
      <c r="N567" s="2" t="n">
        <f aca="false">IF(E567&gt;0,F567/E567,"")</f>
        <v>0</v>
      </c>
      <c r="O567" s="2" t="str">
        <f aca="false">IF(AND(E567&gt;0,L567),J567/E567,"")</f>
        <v/>
      </c>
    </row>
    <row r="568" customFormat="false" ht="15" hidden="false" customHeight="false" outlineLevel="0" collapsed="false">
      <c r="A568" s="2" t="n">
        <v>2021</v>
      </c>
      <c r="B568" s="2" t="s">
        <v>141</v>
      </c>
      <c r="C568" s="2" t="s">
        <v>420</v>
      </c>
      <c r="D568" s="2" t="s">
        <v>24</v>
      </c>
      <c r="E568" s="2" t="n">
        <v>5</v>
      </c>
      <c r="F568" s="2" t="n">
        <v>13</v>
      </c>
      <c r="G568" s="2" t="n">
        <v>9</v>
      </c>
      <c r="H568" s="2" t="n">
        <v>7</v>
      </c>
      <c r="I568" s="2" t="n">
        <v>2</v>
      </c>
      <c r="J568" s="2" t="n">
        <v>0</v>
      </c>
      <c r="K568" s="2" t="n">
        <v>0</v>
      </c>
      <c r="L568" s="11" t="b">
        <f aca="false">FALSE()</f>
        <v>0</v>
      </c>
      <c r="M568" s="2" t="s">
        <v>406</v>
      </c>
      <c r="N568" s="2" t="n">
        <f aca="false">IF(E568&gt;0,F568/E568,"")</f>
        <v>2.6</v>
      </c>
      <c r="O568" s="2" t="str">
        <f aca="false">IF(AND(E568&gt;0,L568),J568/E568,"")</f>
        <v/>
      </c>
    </row>
    <row r="569" customFormat="false" ht="15" hidden="false" customHeight="false" outlineLevel="0" collapsed="false">
      <c r="A569" s="2" t="n">
        <v>2021</v>
      </c>
      <c r="B569" s="2" t="s">
        <v>500</v>
      </c>
      <c r="C569" s="2" t="s">
        <v>518</v>
      </c>
      <c r="D569" s="2" t="s">
        <v>29</v>
      </c>
      <c r="E569" s="2" t="n">
        <v>5</v>
      </c>
      <c r="F569" s="2" t="n">
        <v>10</v>
      </c>
      <c r="G569" s="2" t="n">
        <v>4</v>
      </c>
      <c r="H569" s="2" t="n">
        <v>2</v>
      </c>
      <c r="I569" s="2" t="n">
        <v>1</v>
      </c>
      <c r="J569" s="2" t="n">
        <v>0</v>
      </c>
      <c r="K569" s="2" t="n">
        <v>0</v>
      </c>
      <c r="L569" s="11" t="b">
        <f aca="false">FALSE()</f>
        <v>0</v>
      </c>
      <c r="M569" s="2" t="s">
        <v>406</v>
      </c>
      <c r="N569" s="2" t="n">
        <f aca="false">IF(E569&gt;0,F569/E569,"")</f>
        <v>2</v>
      </c>
      <c r="O569" s="2" t="str">
        <f aca="false">IF(AND(E569&gt;0,L569),J569/E569,"")</f>
        <v/>
      </c>
    </row>
    <row r="570" customFormat="false" ht="15" hidden="false" customHeight="false" outlineLevel="0" collapsed="false">
      <c r="A570" s="2" t="n">
        <v>2021</v>
      </c>
      <c r="B570" s="2" t="s">
        <v>577</v>
      </c>
      <c r="C570" s="2" t="s">
        <v>545</v>
      </c>
      <c r="D570" s="2" t="s">
        <v>24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11" t="b">
        <f aca="false">FALSE()</f>
        <v>0</v>
      </c>
      <c r="M570" s="2" t="s">
        <v>410</v>
      </c>
      <c r="N570" s="2" t="str">
        <f aca="false">IF(E570&gt;0,F570/E570,"")</f>
        <v/>
      </c>
      <c r="O570" s="2" t="str">
        <f aca="false">IF(AND(E570&gt;0,L570),J570/E570,"")</f>
        <v/>
      </c>
    </row>
    <row r="571" customFormat="false" ht="15" hidden="false" customHeight="false" outlineLevel="0" collapsed="false">
      <c r="A571" s="2" t="n">
        <v>2021</v>
      </c>
      <c r="B571" s="2" t="s">
        <v>25</v>
      </c>
      <c r="C571" s="2" t="s">
        <v>518</v>
      </c>
      <c r="D571" s="2" t="s">
        <v>24</v>
      </c>
      <c r="E571" s="2" t="n">
        <v>1</v>
      </c>
      <c r="F571" s="2" t="n">
        <v>6</v>
      </c>
      <c r="G571" s="2" t="n">
        <v>5</v>
      </c>
      <c r="H571" s="2" t="n">
        <v>2</v>
      </c>
      <c r="I571" s="2" t="n">
        <v>0</v>
      </c>
      <c r="J571" s="2" t="n">
        <v>0</v>
      </c>
      <c r="K571" s="2" t="n">
        <v>0</v>
      </c>
      <c r="L571" s="11" t="b">
        <f aca="false">FALSE()</f>
        <v>0</v>
      </c>
      <c r="M571" s="2" t="s">
        <v>410</v>
      </c>
      <c r="N571" s="2" t="n">
        <f aca="false">IF(E571&gt;0,F571/E571,"")</f>
        <v>6</v>
      </c>
      <c r="O571" s="2" t="str">
        <f aca="false">IF(AND(E571&gt;0,L571),J571/E571,"")</f>
        <v/>
      </c>
    </row>
    <row r="572" customFormat="false" ht="15" hidden="false" customHeight="false" outlineLevel="0" collapsed="false">
      <c r="A572" s="2" t="n">
        <v>2021</v>
      </c>
      <c r="B572" s="2" t="s">
        <v>578</v>
      </c>
      <c r="C572" s="2" t="s">
        <v>543</v>
      </c>
      <c r="D572" s="2" t="s">
        <v>115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11" t="b">
        <f aca="false">FALSE()</f>
        <v>0</v>
      </c>
      <c r="M572" s="2" t="s">
        <v>410</v>
      </c>
      <c r="N572" s="2" t="str">
        <f aca="false">IF(E572&gt;0,F572/E572,"")</f>
        <v/>
      </c>
      <c r="O572" s="2" t="str">
        <f aca="false">IF(AND(E572&gt;0,L572),J572/E572,"")</f>
        <v/>
      </c>
    </row>
    <row r="573" customFormat="false" ht="15" hidden="false" customHeight="false" outlineLevel="0" collapsed="false">
      <c r="A573" s="2" t="n">
        <v>2021</v>
      </c>
      <c r="B573" s="2" t="s">
        <v>206</v>
      </c>
      <c r="C573" s="2" t="s">
        <v>414</v>
      </c>
      <c r="D573" s="2" t="s">
        <v>117</v>
      </c>
      <c r="E573" s="2" t="n">
        <v>9</v>
      </c>
      <c r="F573" s="2" t="n">
        <v>1</v>
      </c>
      <c r="G573" s="2" t="n">
        <v>1</v>
      </c>
      <c r="H573" s="2" t="n">
        <v>0</v>
      </c>
      <c r="I573" s="2" t="n">
        <v>0</v>
      </c>
      <c r="J573" s="2" t="n">
        <v>0</v>
      </c>
      <c r="K573" s="2" t="n">
        <v>0</v>
      </c>
      <c r="L573" s="11" t="b">
        <f aca="false">FALSE()</f>
        <v>0</v>
      </c>
      <c r="M573" s="2" t="s">
        <v>406</v>
      </c>
      <c r="N573" s="2" t="n">
        <f aca="false">IF(E573&gt;0,F573/E573,"")</f>
        <v>0.111111111111111</v>
      </c>
      <c r="O573" s="2" t="str">
        <f aca="false">IF(AND(E573&gt;0,L573),J573/E573,"")</f>
        <v/>
      </c>
    </row>
    <row r="574" customFormat="false" ht="15" hidden="false" customHeight="false" outlineLevel="0" collapsed="false">
      <c r="A574" s="2" t="n">
        <v>2021</v>
      </c>
      <c r="B574" s="2" t="s">
        <v>260</v>
      </c>
      <c r="C574" s="2" t="s">
        <v>420</v>
      </c>
      <c r="D574" s="2"/>
      <c r="E574" s="2" t="n">
        <v>1</v>
      </c>
      <c r="F574" s="2" t="n">
        <v>1</v>
      </c>
      <c r="G574" s="2" t="n">
        <v>1</v>
      </c>
      <c r="H574" s="2" t="n">
        <v>0</v>
      </c>
      <c r="I574" s="2" t="n">
        <v>0</v>
      </c>
      <c r="J574" s="2" t="n">
        <v>0</v>
      </c>
      <c r="K574" s="2" t="n">
        <v>0</v>
      </c>
      <c r="L574" s="11" t="b">
        <f aca="false">FALSE()</f>
        <v>0</v>
      </c>
      <c r="M574" s="2" t="s">
        <v>410</v>
      </c>
      <c r="N574" s="2" t="n">
        <f aca="false">IF(E574&gt;0,F574/E574,"")</f>
        <v>1</v>
      </c>
      <c r="O574" s="2" t="str">
        <f aca="false">IF(AND(E574&gt;0,L574),J574/E574,"")</f>
        <v/>
      </c>
    </row>
    <row r="575" customFormat="false" ht="15" hidden="false" customHeight="false" outlineLevel="0" collapsed="false">
      <c r="A575" s="2" t="n">
        <v>2021</v>
      </c>
      <c r="B575" s="2" t="s">
        <v>579</v>
      </c>
      <c r="C575" s="2" t="s">
        <v>418</v>
      </c>
      <c r="D575" s="2" t="s">
        <v>24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11" t="b">
        <f aca="false">FALSE()</f>
        <v>0</v>
      </c>
      <c r="M575" s="2" t="s">
        <v>410</v>
      </c>
      <c r="N575" s="2" t="str">
        <f aca="false">IF(E575&gt;0,F575/E575,"")</f>
        <v/>
      </c>
      <c r="O575" s="2" t="str">
        <f aca="false">IF(AND(E575&gt;0,L575),J575/E575,"")</f>
        <v/>
      </c>
    </row>
    <row r="576" customFormat="false" ht="15" hidden="false" customHeight="false" outlineLevel="0" collapsed="false">
      <c r="A576" s="2" t="n">
        <v>2021</v>
      </c>
      <c r="B576" s="2" t="s">
        <v>501</v>
      </c>
      <c r="C576" s="2" t="s">
        <v>545</v>
      </c>
      <c r="D576" s="2" t="s">
        <v>409</v>
      </c>
      <c r="E576" s="2" t="n">
        <v>9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11" t="b">
        <f aca="false">FALSE()</f>
        <v>0</v>
      </c>
      <c r="M576" s="2" t="s">
        <v>410</v>
      </c>
      <c r="N576" s="2" t="n">
        <f aca="false">IF(E576&gt;0,F576/E576,"")</f>
        <v>0</v>
      </c>
      <c r="O576" s="2" t="str">
        <f aca="false">IF(AND(E576&gt;0,L576),J576/E576,"")</f>
        <v/>
      </c>
    </row>
    <row r="577" customFormat="false" ht="15" hidden="false" customHeight="false" outlineLevel="0" collapsed="false">
      <c r="A577" s="2" t="n">
        <v>2021</v>
      </c>
      <c r="B577" s="2" t="s">
        <v>344</v>
      </c>
      <c r="C577" s="2" t="s">
        <v>405</v>
      </c>
      <c r="D577" s="2" t="s">
        <v>117</v>
      </c>
      <c r="E577" s="2" t="n">
        <v>9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11" t="b">
        <f aca="false">FALSE()</f>
        <v>0</v>
      </c>
      <c r="M577" s="2" t="s">
        <v>406</v>
      </c>
      <c r="N577" s="2" t="n">
        <f aca="false">IF(E577&gt;0,F577/E577,"")</f>
        <v>0</v>
      </c>
      <c r="O577" s="2" t="str">
        <f aca="false">IF(AND(E577&gt;0,L577),J577/E577,"")</f>
        <v/>
      </c>
    </row>
    <row r="578" customFormat="false" ht="15" hidden="false" customHeight="false" outlineLevel="0" collapsed="false">
      <c r="A578" s="2" t="n">
        <v>2021</v>
      </c>
      <c r="B578" s="2" t="s">
        <v>580</v>
      </c>
      <c r="C578" s="2" t="s">
        <v>545</v>
      </c>
      <c r="D578" s="2" t="s">
        <v>24</v>
      </c>
      <c r="E578" s="2" t="n">
        <v>3</v>
      </c>
      <c r="F578" s="2" t="n">
        <v>5</v>
      </c>
      <c r="G578" s="2" t="n">
        <v>3</v>
      </c>
      <c r="H578" s="2" t="n">
        <v>1</v>
      </c>
      <c r="I578" s="2" t="n">
        <v>1</v>
      </c>
      <c r="J578" s="2" t="n">
        <v>0</v>
      </c>
      <c r="K578" s="2" t="n">
        <v>0</v>
      </c>
      <c r="L578" s="11" t="b">
        <f aca="false">FALSE()</f>
        <v>0</v>
      </c>
      <c r="M578" s="2" t="s">
        <v>406</v>
      </c>
      <c r="N578" s="2" t="n">
        <f aca="false">IF(E578&gt;0,F578/E578,"")</f>
        <v>1.66666666666667</v>
      </c>
      <c r="O578" s="2" t="str">
        <f aca="false">IF(AND(E578&gt;0,L578),J578/E578,"")</f>
        <v/>
      </c>
    </row>
    <row r="579" customFormat="false" ht="15" hidden="false" customHeight="false" outlineLevel="0" collapsed="false">
      <c r="A579" s="2" t="n">
        <v>2021</v>
      </c>
      <c r="B579" s="2" t="s">
        <v>380</v>
      </c>
      <c r="C579" s="2" t="s">
        <v>420</v>
      </c>
      <c r="D579" s="2" t="s">
        <v>117</v>
      </c>
      <c r="E579" s="2" t="n">
        <v>9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11" t="b">
        <f aca="false">FALSE()</f>
        <v>0</v>
      </c>
      <c r="M579" s="2" t="s">
        <v>406</v>
      </c>
      <c r="N579" s="2" t="n">
        <f aca="false">IF(E579&gt;0,F579/E579,"")</f>
        <v>0</v>
      </c>
      <c r="O579" s="2" t="str">
        <f aca="false">IF(AND(E579&gt;0,L579),J579/E579,"")</f>
        <v/>
      </c>
    </row>
    <row r="580" customFormat="false" ht="15" hidden="false" customHeight="false" outlineLevel="0" collapsed="false">
      <c r="A580" s="2" t="n">
        <v>2021</v>
      </c>
      <c r="B580" s="2" t="s">
        <v>31</v>
      </c>
      <c r="C580" s="2" t="s">
        <v>412</v>
      </c>
      <c r="D580" s="2" t="s">
        <v>24</v>
      </c>
      <c r="E580" s="2" t="n">
        <v>7</v>
      </c>
      <c r="F580" s="2" t="n">
        <v>40</v>
      </c>
      <c r="G580" s="2" t="n">
        <v>31</v>
      </c>
      <c r="H580" s="2" t="n">
        <v>16</v>
      </c>
      <c r="I580" s="2" t="n">
        <v>16</v>
      </c>
      <c r="J580" s="2" t="n">
        <v>0</v>
      </c>
      <c r="K580" s="2" t="n">
        <v>0</v>
      </c>
      <c r="L580" s="11" t="b">
        <f aca="false">FALSE()</f>
        <v>0</v>
      </c>
      <c r="M580" s="2" t="s">
        <v>406</v>
      </c>
      <c r="N580" s="2" t="n">
        <f aca="false">IF(E580&gt;0,F580/E580,"")</f>
        <v>5.71428571428571</v>
      </c>
      <c r="O580" s="2" t="str">
        <f aca="false">IF(AND(E580&gt;0,L580),J580/E580,"")</f>
        <v/>
      </c>
    </row>
    <row r="581" customFormat="false" ht="15" hidden="false" customHeight="false" outlineLevel="0" collapsed="false">
      <c r="A581" s="2" t="n">
        <v>2021</v>
      </c>
      <c r="B581" s="2" t="s">
        <v>90</v>
      </c>
      <c r="C581" s="2" t="s">
        <v>418</v>
      </c>
      <c r="D581" s="2" t="s">
        <v>83</v>
      </c>
      <c r="E581" s="2" t="n">
        <v>9</v>
      </c>
      <c r="F581" s="2" t="n">
        <v>10</v>
      </c>
      <c r="G581" s="2" t="n">
        <v>8</v>
      </c>
      <c r="H581" s="2" t="n">
        <v>2</v>
      </c>
      <c r="I581" s="2" t="n">
        <v>5</v>
      </c>
      <c r="J581" s="2" t="n">
        <v>0</v>
      </c>
      <c r="K581" s="2" t="n">
        <v>0</v>
      </c>
      <c r="L581" s="11" t="b">
        <f aca="false">FALSE()</f>
        <v>0</v>
      </c>
      <c r="M581" s="2" t="s">
        <v>406</v>
      </c>
      <c r="N581" s="2" t="n">
        <f aca="false">IF(E581&gt;0,F581/E581,"")</f>
        <v>1.11111111111111</v>
      </c>
      <c r="O581" s="2" t="str">
        <f aca="false">IF(AND(E581&gt;0,L581),J581/E581,"")</f>
        <v/>
      </c>
    </row>
    <row r="582" customFormat="false" ht="15" hidden="false" customHeight="false" outlineLevel="0" collapsed="false">
      <c r="A582" s="2" t="n">
        <v>2021</v>
      </c>
      <c r="B582" s="2" t="s">
        <v>502</v>
      </c>
      <c r="C582" s="2" t="s">
        <v>543</v>
      </c>
      <c r="D582" s="2" t="s">
        <v>29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11" t="b">
        <f aca="false">FALSE()</f>
        <v>0</v>
      </c>
      <c r="M582" s="2" t="s">
        <v>410</v>
      </c>
      <c r="N582" s="2" t="str">
        <f aca="false">IF(E582&gt;0,F582/E582,"")</f>
        <v/>
      </c>
      <c r="O582" s="2" t="str">
        <f aca="false">IF(AND(E582&gt;0,L582),J582/E582,"")</f>
        <v/>
      </c>
    </row>
    <row r="583" customFormat="false" ht="15" hidden="false" customHeight="false" outlineLevel="0" collapsed="false">
      <c r="A583" s="2" t="n">
        <v>2021</v>
      </c>
      <c r="B583" s="2" t="s">
        <v>125</v>
      </c>
      <c r="C583" s="2" t="s">
        <v>545</v>
      </c>
      <c r="D583" s="2" t="s">
        <v>24</v>
      </c>
      <c r="E583" s="2" t="n">
        <v>9</v>
      </c>
      <c r="F583" s="2" t="n">
        <v>67</v>
      </c>
      <c r="G583" s="2" t="n">
        <v>48</v>
      </c>
      <c r="H583" s="2" t="n">
        <v>22</v>
      </c>
      <c r="I583" s="2" t="n">
        <v>10</v>
      </c>
      <c r="J583" s="2" t="n">
        <v>0</v>
      </c>
      <c r="K583" s="2" t="n">
        <v>0</v>
      </c>
      <c r="L583" s="11" t="b">
        <f aca="false">FALSE()</f>
        <v>0</v>
      </c>
      <c r="M583" s="2" t="s">
        <v>406</v>
      </c>
      <c r="N583" s="2" t="n">
        <f aca="false">IF(E583&gt;0,F583/E583,"")</f>
        <v>7.44444444444445</v>
      </c>
      <c r="O583" s="2" t="str">
        <f aca="false">IF(AND(E583&gt;0,L583),J583/E583,"")</f>
        <v/>
      </c>
    </row>
    <row r="584" customFormat="false" ht="15" hidden="false" customHeight="false" outlineLevel="0" collapsed="false">
      <c r="A584" s="2" t="n">
        <v>2021</v>
      </c>
      <c r="B584" s="2" t="s">
        <v>503</v>
      </c>
      <c r="C584" s="2" t="s">
        <v>543</v>
      </c>
      <c r="D584" s="2" t="s">
        <v>24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11" t="b">
        <f aca="false">FALSE()</f>
        <v>0</v>
      </c>
      <c r="M584" s="2" t="s">
        <v>410</v>
      </c>
      <c r="N584" s="2" t="str">
        <f aca="false">IF(E584&gt;0,F584/E584,"")</f>
        <v/>
      </c>
      <c r="O584" s="2" t="str">
        <f aca="false">IF(AND(E584&gt;0,L584),J584/E584,"")</f>
        <v/>
      </c>
    </row>
    <row r="585" customFormat="false" ht="15" hidden="false" customHeight="false" outlineLevel="0" collapsed="false">
      <c r="A585" s="2" t="n">
        <v>2021</v>
      </c>
      <c r="B585" s="2" t="s">
        <v>581</v>
      </c>
      <c r="C585" s="2" t="s">
        <v>405</v>
      </c>
      <c r="D585" s="2" t="s">
        <v>117</v>
      </c>
      <c r="E585" s="2" t="n">
        <v>2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11" t="b">
        <f aca="false">FALSE()</f>
        <v>0</v>
      </c>
      <c r="M585" s="2" t="s">
        <v>410</v>
      </c>
      <c r="N585" s="2" t="n">
        <f aca="false">IF(E585&gt;0,F585/E585,"")</f>
        <v>0</v>
      </c>
      <c r="O585" s="2" t="str">
        <f aca="false">IF(AND(E585&gt;0,L585),J585/E585,"")</f>
        <v/>
      </c>
    </row>
    <row r="586" customFormat="false" ht="15" hidden="false" customHeight="false" outlineLevel="0" collapsed="false">
      <c r="A586" s="2" t="n">
        <v>2021</v>
      </c>
      <c r="B586" s="2" t="s">
        <v>207</v>
      </c>
      <c r="C586" s="2" t="s">
        <v>414</v>
      </c>
      <c r="D586" s="2" t="s">
        <v>24</v>
      </c>
      <c r="E586" s="2" t="n">
        <v>6</v>
      </c>
      <c r="F586" s="2" t="n">
        <v>12</v>
      </c>
      <c r="G586" s="2" t="n">
        <v>9</v>
      </c>
      <c r="H586" s="2" t="n">
        <v>1</v>
      </c>
      <c r="I586" s="2" t="n">
        <v>2</v>
      </c>
      <c r="J586" s="2" t="n">
        <v>0</v>
      </c>
      <c r="K586" s="2" t="n">
        <v>0</v>
      </c>
      <c r="L586" s="11" t="b">
        <f aca="false">FALSE()</f>
        <v>0</v>
      </c>
      <c r="M586" s="2" t="s">
        <v>406</v>
      </c>
      <c r="N586" s="2" t="n">
        <f aca="false">IF(E586&gt;0,F586/E586,"")</f>
        <v>2</v>
      </c>
      <c r="O586" s="2" t="str">
        <f aca="false">IF(AND(E586&gt;0,L586),J586/E586,"")</f>
        <v/>
      </c>
    </row>
    <row r="587" customFormat="false" ht="15" hidden="false" customHeight="false" outlineLevel="0" collapsed="false">
      <c r="A587" s="2" t="n">
        <v>2021</v>
      </c>
      <c r="B587" s="2" t="s">
        <v>505</v>
      </c>
      <c r="C587" s="2" t="s">
        <v>412</v>
      </c>
      <c r="D587" s="2" t="s">
        <v>29</v>
      </c>
      <c r="E587" s="2" t="n">
        <v>1</v>
      </c>
      <c r="F587" s="2" t="n">
        <v>2</v>
      </c>
      <c r="G587" s="2" t="n">
        <v>1</v>
      </c>
      <c r="H587" s="2" t="n">
        <v>0</v>
      </c>
      <c r="I587" s="2" t="n">
        <v>0</v>
      </c>
      <c r="J587" s="2" t="n">
        <v>0</v>
      </c>
      <c r="K587" s="2" t="n">
        <v>0</v>
      </c>
      <c r="L587" s="11" t="b">
        <f aca="false">FALSE()</f>
        <v>0</v>
      </c>
      <c r="M587" s="2" t="s">
        <v>410</v>
      </c>
      <c r="N587" s="2" t="n">
        <f aca="false">IF(E587&gt;0,F587/E587,"")</f>
        <v>2</v>
      </c>
      <c r="O587" s="2" t="str">
        <f aca="false">IF(AND(E587&gt;0,L587),J587/E587,"")</f>
        <v/>
      </c>
    </row>
    <row r="588" customFormat="false" ht="15" hidden="false" customHeight="false" outlineLevel="0" collapsed="false">
      <c r="A588" s="2" t="n">
        <v>2021</v>
      </c>
      <c r="B588" s="2" t="s">
        <v>111</v>
      </c>
      <c r="C588" s="2" t="s">
        <v>408</v>
      </c>
      <c r="D588" s="2" t="s">
        <v>29</v>
      </c>
      <c r="E588" s="2" t="n">
        <v>3</v>
      </c>
      <c r="F588" s="2" t="n">
        <v>2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11" t="b">
        <f aca="false">FALSE()</f>
        <v>0</v>
      </c>
      <c r="M588" s="2" t="s">
        <v>406</v>
      </c>
      <c r="N588" s="2" t="n">
        <f aca="false">IF(E588&gt;0,F588/E588,"")</f>
        <v>0.666666666666667</v>
      </c>
      <c r="O588" s="2" t="str">
        <f aca="false">IF(AND(E588&gt;0,L588),J588/E588,"")</f>
        <v/>
      </c>
    </row>
    <row r="589" customFormat="false" ht="15" hidden="false" customHeight="false" outlineLevel="0" collapsed="false">
      <c r="A589" s="2" t="n">
        <v>2021</v>
      </c>
      <c r="B589" s="2" t="s">
        <v>582</v>
      </c>
      <c r="C589" s="2" t="s">
        <v>545</v>
      </c>
      <c r="D589" s="2" t="s">
        <v>29</v>
      </c>
      <c r="E589" s="2" t="n">
        <v>3</v>
      </c>
      <c r="F589" s="2" t="n">
        <v>10</v>
      </c>
      <c r="G589" s="2" t="n">
        <v>6</v>
      </c>
      <c r="H589" s="2" t="n">
        <v>2</v>
      </c>
      <c r="I589" s="2" t="n">
        <v>1</v>
      </c>
      <c r="J589" s="2" t="n">
        <v>0</v>
      </c>
      <c r="K589" s="2" t="n">
        <v>0</v>
      </c>
      <c r="L589" s="11" t="b">
        <f aca="false">FALSE()</f>
        <v>0</v>
      </c>
      <c r="M589" s="2" t="s">
        <v>406</v>
      </c>
      <c r="N589" s="2" t="n">
        <f aca="false">IF(E589&gt;0,F589/E589,"")</f>
        <v>3.33333333333333</v>
      </c>
      <c r="O589" s="2" t="str">
        <f aca="false">IF(AND(E589&gt;0,L589),J589/E589,"")</f>
        <v/>
      </c>
    </row>
    <row r="590" customFormat="false" ht="15" hidden="false" customHeight="false" outlineLevel="0" collapsed="false">
      <c r="A590" s="2" t="n">
        <v>2021</v>
      </c>
      <c r="B590" s="2" t="s">
        <v>508</v>
      </c>
      <c r="C590" s="2" t="s">
        <v>405</v>
      </c>
      <c r="D590" s="2" t="s">
        <v>409</v>
      </c>
      <c r="E590" s="2" t="n">
        <v>9</v>
      </c>
      <c r="F590" s="2" t="n">
        <v>1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11" t="b">
        <f aca="false">FALSE()</f>
        <v>0</v>
      </c>
      <c r="M590" s="2" t="s">
        <v>410</v>
      </c>
      <c r="N590" s="2" t="n">
        <f aca="false">IF(E590&gt;0,F590/E590,"")</f>
        <v>0.111111111111111</v>
      </c>
      <c r="O590" s="2" t="str">
        <f aca="false">IF(AND(E590&gt;0,L590),J590/E590,"")</f>
        <v/>
      </c>
    </row>
    <row r="591" customFormat="false" ht="15" hidden="false" customHeight="false" outlineLevel="0" collapsed="false">
      <c r="A591" s="2" t="n">
        <v>2021</v>
      </c>
      <c r="B591" s="2" t="s">
        <v>510</v>
      </c>
      <c r="C591" s="2" t="s">
        <v>545</v>
      </c>
      <c r="D591" s="2"/>
      <c r="E591" s="2" t="n">
        <v>2</v>
      </c>
      <c r="F591" s="2" t="n">
        <v>2</v>
      </c>
      <c r="G591" s="2" t="n">
        <v>0</v>
      </c>
      <c r="H591" s="2" t="n">
        <v>0</v>
      </c>
      <c r="I591" s="2" t="n">
        <v>1</v>
      </c>
      <c r="J591" s="2" t="n">
        <v>0</v>
      </c>
      <c r="K591" s="2" t="n">
        <v>0</v>
      </c>
      <c r="L591" s="11" t="b">
        <f aca="false">FALSE()</f>
        <v>0</v>
      </c>
      <c r="M591" s="2" t="s">
        <v>410</v>
      </c>
      <c r="N591" s="2" t="n">
        <f aca="false">IF(E591&gt;0,F591/E591,"")</f>
        <v>1</v>
      </c>
      <c r="O591" s="2" t="str">
        <f aca="false">IF(AND(E591&gt;0,L591),J591/E591,"")</f>
        <v/>
      </c>
    </row>
    <row r="592" customFormat="false" ht="15" hidden="false" customHeight="false" outlineLevel="0" collapsed="false">
      <c r="A592" s="2" t="n">
        <v>2021</v>
      </c>
      <c r="B592" s="2" t="s">
        <v>511</v>
      </c>
      <c r="C592" s="2" t="s">
        <v>405</v>
      </c>
      <c r="D592" s="2" t="s">
        <v>29</v>
      </c>
      <c r="E592" s="2" t="n">
        <v>6</v>
      </c>
      <c r="F592" s="2" t="n">
        <v>1</v>
      </c>
      <c r="G592" s="2" t="n">
        <v>1</v>
      </c>
      <c r="H592" s="2" t="n">
        <v>0</v>
      </c>
      <c r="I592" s="2" t="n">
        <v>0</v>
      </c>
      <c r="J592" s="2" t="n">
        <v>0</v>
      </c>
      <c r="K592" s="2" t="n">
        <v>0</v>
      </c>
      <c r="L592" s="11" t="b">
        <f aca="false">FALSE()</f>
        <v>0</v>
      </c>
      <c r="M592" s="2" t="s">
        <v>406</v>
      </c>
      <c r="N592" s="2" t="n">
        <f aca="false">IF(E592&gt;0,F592/E592,"")</f>
        <v>0.166666666666667</v>
      </c>
      <c r="O592" s="2" t="str">
        <f aca="false">IF(AND(E592&gt;0,L592),J592/E592,"")</f>
        <v/>
      </c>
    </row>
    <row r="593" customFormat="false" ht="15" hidden="false" customHeight="false" outlineLevel="0" collapsed="false">
      <c r="A593" s="2" t="n">
        <v>2021</v>
      </c>
      <c r="B593" s="2" t="s">
        <v>583</v>
      </c>
      <c r="C593" s="2" t="s">
        <v>545</v>
      </c>
      <c r="D593" s="2"/>
      <c r="E593" s="2" t="n">
        <v>2</v>
      </c>
      <c r="F593" s="2" t="n">
        <v>4</v>
      </c>
      <c r="G593" s="2" t="n">
        <v>3</v>
      </c>
      <c r="H593" s="2" t="n">
        <v>0</v>
      </c>
      <c r="I593" s="2" t="n">
        <v>0</v>
      </c>
      <c r="J593" s="2" t="n">
        <v>0</v>
      </c>
      <c r="K593" s="2" t="n">
        <v>0</v>
      </c>
      <c r="L593" s="11" t="b">
        <f aca="false">FALSE()</f>
        <v>0</v>
      </c>
      <c r="M593" s="2" t="s">
        <v>410</v>
      </c>
      <c r="N593" s="2" t="n">
        <f aca="false">IF(E593&gt;0,F593/E593,"")</f>
        <v>2</v>
      </c>
      <c r="O593" s="2" t="str">
        <f aca="false">IF(AND(E593&gt;0,L593),J593/E593,"")</f>
        <v/>
      </c>
    </row>
    <row r="594" customFormat="false" ht="15" hidden="false" customHeight="false" outlineLevel="0" collapsed="false">
      <c r="A594" s="2" t="n">
        <v>2021</v>
      </c>
      <c r="B594" s="2" t="s">
        <v>57</v>
      </c>
      <c r="C594" s="2" t="s">
        <v>518</v>
      </c>
      <c r="D594" s="2" t="s">
        <v>29</v>
      </c>
      <c r="E594" s="2" t="n">
        <v>5</v>
      </c>
      <c r="F594" s="2" t="n">
        <v>14</v>
      </c>
      <c r="G594" s="2" t="n">
        <v>10</v>
      </c>
      <c r="H594" s="2" t="n">
        <v>4</v>
      </c>
      <c r="I594" s="2" t="n">
        <v>10</v>
      </c>
      <c r="J594" s="2" t="n">
        <v>0</v>
      </c>
      <c r="K594" s="2" t="n">
        <v>0</v>
      </c>
      <c r="L594" s="11" t="b">
        <f aca="false">FALSE()</f>
        <v>0</v>
      </c>
      <c r="M594" s="2" t="s">
        <v>406</v>
      </c>
      <c r="N594" s="2" t="n">
        <f aca="false">IF(E594&gt;0,F594/E594,"")</f>
        <v>2.8</v>
      </c>
      <c r="O594" s="2" t="str">
        <f aca="false">IF(AND(E594&gt;0,L594),J594/E594,"")</f>
        <v/>
      </c>
    </row>
    <row r="595" customFormat="false" ht="15" hidden="false" customHeight="false" outlineLevel="0" collapsed="false">
      <c r="A595" s="2" t="n">
        <v>2021</v>
      </c>
      <c r="B595" s="2" t="s">
        <v>514</v>
      </c>
      <c r="C595" s="2" t="s">
        <v>405</v>
      </c>
      <c r="D595" s="2" t="s">
        <v>29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11" t="b">
        <f aca="false">FALSE()</f>
        <v>0</v>
      </c>
      <c r="M595" s="2" t="s">
        <v>410</v>
      </c>
      <c r="N595" s="2" t="str">
        <f aca="false">IF(E595&gt;0,F595/E595,"")</f>
        <v/>
      </c>
      <c r="O595" s="2" t="str">
        <f aca="false">IF(AND(E595&gt;0,L595),J595/E595,"")</f>
        <v/>
      </c>
    </row>
    <row r="596" customFormat="false" ht="15" hidden="false" customHeight="false" outlineLevel="0" collapsed="false">
      <c r="A596" s="2" t="n">
        <v>2021</v>
      </c>
      <c r="B596" s="2" t="s">
        <v>539</v>
      </c>
      <c r="C596" s="2" t="s">
        <v>518</v>
      </c>
      <c r="D596" s="2" t="s">
        <v>409</v>
      </c>
      <c r="E596" s="2" t="n">
        <v>9</v>
      </c>
      <c r="F596" s="2" t="n">
        <v>1</v>
      </c>
      <c r="G596" s="2" t="n">
        <v>0</v>
      </c>
      <c r="H596" s="2" t="n">
        <v>0</v>
      </c>
      <c r="I596" s="2" t="n">
        <v>1</v>
      </c>
      <c r="J596" s="2" t="n">
        <v>0</v>
      </c>
      <c r="K596" s="2" t="n">
        <v>0</v>
      </c>
      <c r="L596" s="11" t="b">
        <f aca="false">FALSE()</f>
        <v>0</v>
      </c>
      <c r="M596" s="2" t="s">
        <v>410</v>
      </c>
      <c r="N596" s="2" t="n">
        <f aca="false">IF(E596&gt;0,F596/E596,"")</f>
        <v>0.111111111111111</v>
      </c>
      <c r="O596" s="2" t="str">
        <f aca="false">IF(AND(E596&gt;0,L596),J596/E596,"")</f>
        <v/>
      </c>
    </row>
    <row r="597" customFormat="false" ht="15" hidden="false" customHeight="false" outlineLevel="0" collapsed="false">
      <c r="A597" s="2" t="n">
        <v>2021</v>
      </c>
      <c r="B597" s="2" t="s">
        <v>584</v>
      </c>
      <c r="C597" s="2" t="s">
        <v>418</v>
      </c>
      <c r="D597" s="2" t="s">
        <v>409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11" t="b">
        <f aca="false">FALSE()</f>
        <v>0</v>
      </c>
      <c r="M597" s="2" t="s">
        <v>410</v>
      </c>
      <c r="N597" s="2" t="str">
        <f aca="false">IF(E597&gt;0,F597/E597,"")</f>
        <v/>
      </c>
      <c r="O597" s="2" t="str">
        <f aca="false">IF(AND(E597&gt;0,L597),J597/E597,"")</f>
        <v/>
      </c>
    </row>
    <row r="598" customFormat="false" ht="15" hidden="false" customHeight="false" outlineLevel="0" collapsed="false">
      <c r="A598" s="2" t="n">
        <v>2021</v>
      </c>
      <c r="B598" s="2" t="s">
        <v>290</v>
      </c>
      <c r="C598" s="2" t="s">
        <v>545</v>
      </c>
      <c r="D598" s="2"/>
      <c r="E598" s="2" t="n">
        <v>2</v>
      </c>
      <c r="F598" s="2" t="n">
        <v>2</v>
      </c>
      <c r="G598" s="2" t="n">
        <v>2</v>
      </c>
      <c r="H598" s="2" t="n">
        <v>0</v>
      </c>
      <c r="I598" s="2" t="n">
        <v>0</v>
      </c>
      <c r="J598" s="2" t="n">
        <v>0</v>
      </c>
      <c r="K598" s="2" t="n">
        <v>0</v>
      </c>
      <c r="L598" s="11" t="b">
        <f aca="false">FALSE()</f>
        <v>0</v>
      </c>
      <c r="M598" s="2" t="s">
        <v>410</v>
      </c>
      <c r="N598" s="2" t="n">
        <f aca="false">IF(E598&gt;0,F598/E598,"")</f>
        <v>1</v>
      </c>
      <c r="O598" s="2" t="str">
        <f aca="false">IF(AND(E598&gt;0,L598),J598/E598,"")</f>
        <v/>
      </c>
    </row>
    <row r="599" customFormat="false" ht="15" hidden="false" customHeight="false" outlineLevel="0" collapsed="false">
      <c r="A599" s="2" t="n">
        <v>2021</v>
      </c>
      <c r="B599" s="2" t="s">
        <v>282</v>
      </c>
      <c r="C599" s="2" t="s">
        <v>418</v>
      </c>
      <c r="D599" s="2" t="s">
        <v>117</v>
      </c>
      <c r="E599" s="2" t="n">
        <v>9</v>
      </c>
      <c r="F599" s="2" t="n">
        <v>2</v>
      </c>
      <c r="G599" s="2" t="n">
        <v>2</v>
      </c>
      <c r="H599" s="2" t="n">
        <v>1</v>
      </c>
      <c r="I599" s="2" t="n">
        <v>0</v>
      </c>
      <c r="J599" s="2" t="n">
        <v>0</v>
      </c>
      <c r="K599" s="2" t="n">
        <v>0</v>
      </c>
      <c r="L599" s="11" t="b">
        <f aca="false">FALSE()</f>
        <v>0</v>
      </c>
      <c r="M599" s="2" t="s">
        <v>406</v>
      </c>
      <c r="N599" s="2" t="n">
        <f aca="false">IF(E599&gt;0,F599/E599,"")</f>
        <v>0.222222222222222</v>
      </c>
      <c r="O599" s="2" t="str">
        <f aca="false">IF(AND(E599&gt;0,L599),J599/E599,"")</f>
        <v/>
      </c>
    </row>
    <row r="600" customFormat="false" ht="15" hidden="false" customHeight="false" outlineLevel="0" collapsed="false">
      <c r="A600" s="2" t="n">
        <v>2021</v>
      </c>
      <c r="B600" s="2" t="s">
        <v>124</v>
      </c>
      <c r="C600" s="2" t="s">
        <v>518</v>
      </c>
      <c r="D600" s="2" t="s">
        <v>83</v>
      </c>
      <c r="E600" s="2" t="n">
        <v>4</v>
      </c>
      <c r="F600" s="2" t="n">
        <v>1</v>
      </c>
      <c r="G600" s="2" t="n">
        <v>1</v>
      </c>
      <c r="H600" s="2" t="n">
        <v>1</v>
      </c>
      <c r="I600" s="2" t="n">
        <v>0</v>
      </c>
      <c r="J600" s="2" t="n">
        <v>0</v>
      </c>
      <c r="K600" s="2" t="n">
        <v>0</v>
      </c>
      <c r="L600" s="11" t="b">
        <f aca="false">FALSE()</f>
        <v>0</v>
      </c>
      <c r="M600" s="2" t="s">
        <v>406</v>
      </c>
      <c r="N600" s="2" t="n">
        <f aca="false">IF(E600&gt;0,F600/E600,"")</f>
        <v>0.25</v>
      </c>
      <c r="O600" s="2" t="str">
        <f aca="false">IF(AND(E600&gt;0,L600),J600/E600,"")</f>
        <v/>
      </c>
    </row>
    <row r="601" customFormat="false" ht="15" hidden="false" customHeight="false" outlineLevel="0" collapsed="false">
      <c r="A601" s="2" t="n">
        <v>2021</v>
      </c>
      <c r="B601" s="2" t="s">
        <v>515</v>
      </c>
      <c r="C601" s="2" t="s">
        <v>418</v>
      </c>
      <c r="D601" s="2" t="s">
        <v>115</v>
      </c>
      <c r="E601" s="2" t="n">
        <v>9</v>
      </c>
      <c r="F601" s="2" t="n">
        <v>6</v>
      </c>
      <c r="G601" s="2" t="n">
        <v>5</v>
      </c>
      <c r="H601" s="2" t="n">
        <v>2</v>
      </c>
      <c r="I601" s="2" t="n">
        <v>2</v>
      </c>
      <c r="J601" s="2" t="n">
        <v>0</v>
      </c>
      <c r="K601" s="2" t="n">
        <v>0</v>
      </c>
      <c r="L601" s="11" t="b">
        <f aca="false">FALSE()</f>
        <v>0</v>
      </c>
      <c r="M601" s="2" t="s">
        <v>406</v>
      </c>
      <c r="N601" s="2" t="n">
        <f aca="false">IF(E601&gt;0,F601/E601,"")</f>
        <v>0.666666666666667</v>
      </c>
      <c r="O601" s="2" t="str">
        <f aca="false">IF(AND(E601&gt;0,L601),J601/E601,"")</f>
        <v/>
      </c>
    </row>
    <row r="602" customFormat="false" ht="15" hidden="false" customHeight="false" outlineLevel="0" collapsed="false">
      <c r="A602" s="2" t="n">
        <v>2021</v>
      </c>
      <c r="B602" s="2" t="s">
        <v>50</v>
      </c>
      <c r="C602" s="2" t="s">
        <v>414</v>
      </c>
      <c r="D602" s="2" t="s">
        <v>24</v>
      </c>
      <c r="E602" s="2" t="n">
        <v>8</v>
      </c>
      <c r="F602" s="2" t="n">
        <v>79</v>
      </c>
      <c r="G602" s="2" t="n">
        <v>51</v>
      </c>
      <c r="H602" s="2" t="n">
        <v>23</v>
      </c>
      <c r="I602" s="2" t="n">
        <v>1</v>
      </c>
      <c r="J602" s="2" t="n">
        <v>0</v>
      </c>
      <c r="K602" s="2" t="n">
        <v>0</v>
      </c>
      <c r="L602" s="11" t="b">
        <f aca="false">FALSE()</f>
        <v>0</v>
      </c>
      <c r="M602" s="2" t="s">
        <v>406</v>
      </c>
      <c r="N602" s="2" t="n">
        <f aca="false">IF(E602&gt;0,F602/E602,"")</f>
        <v>9.875</v>
      </c>
      <c r="O602" s="2" t="str">
        <f aca="false">IF(AND(E602&gt;0,L602),J602/E602,"")</f>
        <v/>
      </c>
    </row>
    <row r="603" customFormat="false" ht="15" hidden="false" customHeight="false" outlineLevel="0" collapsed="false">
      <c r="A603" s="2" t="n">
        <v>2021</v>
      </c>
      <c r="B603" s="2" t="s">
        <v>540</v>
      </c>
      <c r="C603" s="2" t="s">
        <v>518</v>
      </c>
      <c r="D603" s="2" t="s">
        <v>413</v>
      </c>
      <c r="E603" s="2" t="n">
        <v>9</v>
      </c>
      <c r="F603" s="2" t="n">
        <v>8</v>
      </c>
      <c r="G603" s="2" t="n">
        <v>3</v>
      </c>
      <c r="H603" s="2" t="n">
        <v>2</v>
      </c>
      <c r="I603" s="2" t="n">
        <v>1</v>
      </c>
      <c r="J603" s="2" t="n">
        <v>0</v>
      </c>
      <c r="K603" s="2" t="n">
        <v>0</v>
      </c>
      <c r="L603" s="11" t="b">
        <f aca="false">FALSE()</f>
        <v>0</v>
      </c>
      <c r="M603" s="2" t="s">
        <v>410</v>
      </c>
      <c r="N603" s="2" t="n">
        <f aca="false">IF(E603&gt;0,F603/E603,"")</f>
        <v>0.888888888888889</v>
      </c>
      <c r="O603" s="2" t="str">
        <f aca="false">IF(AND(E603&gt;0,L603),J603/E603,"")</f>
        <v/>
      </c>
    </row>
    <row r="604" customFormat="false" ht="15" hidden="false" customHeight="false" outlineLevel="0" collapsed="false">
      <c r="A604" s="2" t="n">
        <v>2021</v>
      </c>
      <c r="B604" s="2" t="s">
        <v>516</v>
      </c>
      <c r="C604" s="2" t="s">
        <v>418</v>
      </c>
      <c r="D604" s="2" t="s">
        <v>24</v>
      </c>
      <c r="E604" s="2" t="n">
        <v>1</v>
      </c>
      <c r="F604" s="2" t="n">
        <v>3</v>
      </c>
      <c r="G604" s="2" t="n">
        <v>2</v>
      </c>
      <c r="H604" s="2" t="n">
        <v>0</v>
      </c>
      <c r="I604" s="2" t="n">
        <v>2</v>
      </c>
      <c r="J604" s="2" t="n">
        <v>0</v>
      </c>
      <c r="K604" s="2" t="n">
        <v>0</v>
      </c>
      <c r="L604" s="11" t="b">
        <f aca="false">FALSE()</f>
        <v>0</v>
      </c>
      <c r="M604" s="2" t="s">
        <v>410</v>
      </c>
      <c r="N604" s="2" t="n">
        <f aca="false">IF(E604&gt;0,F604/E604,"")</f>
        <v>3</v>
      </c>
      <c r="O604" s="2" t="str">
        <f aca="false">IF(AND(E604&gt;0,L604),J604/E604,"")</f>
        <v/>
      </c>
    </row>
    <row r="605" customFormat="false" ht="15" hidden="false" customHeight="false" outlineLevel="0" collapsed="false">
      <c r="A605" s="2" t="n">
        <v>2021</v>
      </c>
      <c r="B605" s="2" t="s">
        <v>198</v>
      </c>
      <c r="C605" s="2" t="s">
        <v>414</v>
      </c>
      <c r="D605" s="2" t="s">
        <v>117</v>
      </c>
      <c r="E605" s="2" t="n">
        <v>9</v>
      </c>
      <c r="F605" s="2" t="n">
        <v>1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11" t="b">
        <f aca="false">FALSE()</f>
        <v>0</v>
      </c>
      <c r="M605" s="2" t="s">
        <v>406</v>
      </c>
      <c r="N605" s="2" t="n">
        <f aca="false">IF(E605&gt;0,F605/E605,"")</f>
        <v>0.111111111111111</v>
      </c>
      <c r="O605" s="2" t="str">
        <f aca="false">IF(AND(E605&gt;0,L605),J605/E605,"")</f>
        <v/>
      </c>
    </row>
    <row r="606" customFormat="false" ht="15" hidden="false" customHeight="false" outlineLevel="0" collapsed="false">
      <c r="A606" s="2" t="n">
        <v>2021</v>
      </c>
      <c r="B606" s="2" t="s">
        <v>148</v>
      </c>
      <c r="C606" s="2" t="s">
        <v>412</v>
      </c>
      <c r="D606" s="2" t="s">
        <v>117</v>
      </c>
      <c r="E606" s="2" t="n">
        <v>9</v>
      </c>
      <c r="F606" s="2" t="n">
        <v>3</v>
      </c>
      <c r="G606" s="2" t="n">
        <v>1</v>
      </c>
      <c r="H606" s="2" t="n">
        <v>0</v>
      </c>
      <c r="I606" s="2" t="n">
        <v>2</v>
      </c>
      <c r="J606" s="2" t="n">
        <v>0</v>
      </c>
      <c r="K606" s="2" t="n">
        <v>0</v>
      </c>
      <c r="L606" s="11" t="b">
        <f aca="false">FALSE()</f>
        <v>0</v>
      </c>
      <c r="M606" s="2" t="s">
        <v>406</v>
      </c>
      <c r="N606" s="2" t="n">
        <f aca="false">IF(E606&gt;0,F606/E606,"")</f>
        <v>0.333333333333333</v>
      </c>
      <c r="O606" s="2" t="str">
        <f aca="false">IF(AND(E606&gt;0,L606),J606/E606,"")</f>
        <v/>
      </c>
    </row>
    <row r="607" customFormat="false" ht="15" hidden="false" customHeight="false" outlineLevel="0" collapsed="false">
      <c r="A607" s="2" t="n">
        <v>2022</v>
      </c>
      <c r="B607" s="2" t="s">
        <v>284</v>
      </c>
      <c r="C607" s="2" t="s">
        <v>543</v>
      </c>
      <c r="D607" s="2" t="s">
        <v>83</v>
      </c>
      <c r="E607" s="2" t="n">
        <v>10</v>
      </c>
      <c r="F607" s="2" t="n">
        <v>6</v>
      </c>
      <c r="G607" s="2" t="n">
        <v>2</v>
      </c>
      <c r="H607" s="2" t="n">
        <v>0</v>
      </c>
      <c r="I607" s="2" t="n">
        <v>0</v>
      </c>
      <c r="J607" s="2" t="n">
        <v>56</v>
      </c>
      <c r="K607" s="2" t="n">
        <v>64</v>
      </c>
      <c r="L607" s="11" t="b">
        <f aca="false">TRUE()</f>
        <v>1</v>
      </c>
      <c r="M607" s="2" t="s">
        <v>406</v>
      </c>
      <c r="N607" s="2" t="n">
        <f aca="false">IF(E607&gt;0,F607/E607,"")</f>
        <v>0.6</v>
      </c>
      <c r="O607" s="2" t="n">
        <f aca="false">IF(AND(E607&gt;0,L607),J607/E607,"")</f>
        <v>5.6</v>
      </c>
    </row>
    <row r="608" customFormat="false" ht="15" hidden="false" customHeight="false" outlineLevel="0" collapsed="false">
      <c r="A608" s="2" t="n">
        <v>2022</v>
      </c>
      <c r="B608" s="2" t="s">
        <v>585</v>
      </c>
      <c r="C608" s="2" t="s">
        <v>408</v>
      </c>
      <c r="D608" s="2" t="s">
        <v>29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11" t="b">
        <f aca="false">TRUE()</f>
        <v>1</v>
      </c>
      <c r="M608" s="2" t="s">
        <v>410</v>
      </c>
      <c r="N608" s="2" t="str">
        <f aca="false">IF(E608&gt;0,F608/E608,"")</f>
        <v/>
      </c>
      <c r="O608" s="2" t="str">
        <f aca="false">IF(AND(E608&gt;0,L608),J608/E608,"")</f>
        <v/>
      </c>
    </row>
    <row r="609" customFormat="false" ht="15" hidden="false" customHeight="false" outlineLevel="0" collapsed="false">
      <c r="A609" s="2" t="n">
        <v>2022</v>
      </c>
      <c r="B609" s="2" t="s">
        <v>349</v>
      </c>
      <c r="C609" s="2" t="s">
        <v>543</v>
      </c>
      <c r="D609" s="2" t="s">
        <v>29</v>
      </c>
      <c r="E609" s="2" t="n">
        <v>2</v>
      </c>
      <c r="F609" s="2" t="n">
        <v>4</v>
      </c>
      <c r="G609" s="2" t="n">
        <v>0</v>
      </c>
      <c r="H609" s="2" t="n">
        <v>0</v>
      </c>
      <c r="I609" s="2" t="n">
        <v>0</v>
      </c>
      <c r="J609" s="2" t="n">
        <v>10</v>
      </c>
      <c r="K609" s="2" t="n">
        <v>14</v>
      </c>
      <c r="L609" s="11" t="b">
        <f aca="false">TRUE()</f>
        <v>1</v>
      </c>
      <c r="M609" s="2" t="s">
        <v>410</v>
      </c>
      <c r="N609" s="2" t="n">
        <f aca="false">IF(E609&gt;0,F609/E609,"")</f>
        <v>2</v>
      </c>
      <c r="O609" s="2" t="n">
        <f aca="false">IF(AND(E609&gt;0,L609),J609/E609,"")</f>
        <v>5</v>
      </c>
    </row>
    <row r="610" customFormat="false" ht="15" hidden="false" customHeight="false" outlineLevel="0" collapsed="false">
      <c r="A610" s="2" t="n">
        <v>2022</v>
      </c>
      <c r="B610" s="2" t="s">
        <v>407</v>
      </c>
      <c r="C610" s="2" t="s">
        <v>408</v>
      </c>
      <c r="D610" s="2" t="s">
        <v>409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11" t="b">
        <f aca="false">TRUE()</f>
        <v>1</v>
      </c>
      <c r="M610" s="2" t="s">
        <v>410</v>
      </c>
      <c r="N610" s="2" t="str">
        <f aca="false">IF(E610&gt;0,F610/E610,"")</f>
        <v/>
      </c>
      <c r="O610" s="2" t="str">
        <f aca="false">IF(AND(E610&gt;0,L610),J610/E610,"")</f>
        <v/>
      </c>
    </row>
    <row r="611" customFormat="false" ht="15" hidden="false" customHeight="false" outlineLevel="0" collapsed="false">
      <c r="A611" s="2" t="n">
        <v>2022</v>
      </c>
      <c r="B611" s="2" t="s">
        <v>541</v>
      </c>
      <c r="C611" s="2" t="s">
        <v>420</v>
      </c>
      <c r="D611" s="2" t="s">
        <v>413</v>
      </c>
      <c r="E611" s="2" t="n">
        <v>4</v>
      </c>
      <c r="F611" s="2" t="n">
        <v>1</v>
      </c>
      <c r="G611" s="2" t="n">
        <v>0</v>
      </c>
      <c r="H611" s="2" t="n">
        <v>0</v>
      </c>
      <c r="I611" s="2" t="n">
        <v>1</v>
      </c>
      <c r="J611" s="2" t="n">
        <v>11</v>
      </c>
      <c r="K611" s="2" t="n">
        <v>18</v>
      </c>
      <c r="L611" s="11" t="b">
        <f aca="false">TRUE()</f>
        <v>1</v>
      </c>
      <c r="M611" s="2" t="s">
        <v>410</v>
      </c>
      <c r="N611" s="2" t="n">
        <f aca="false">IF(E611&gt;0,F611/E611,"")</f>
        <v>0.25</v>
      </c>
      <c r="O611" s="2" t="n">
        <f aca="false">IF(AND(E611&gt;0,L611),J611/E611,"")</f>
        <v>2.75</v>
      </c>
    </row>
    <row r="612" customFormat="false" ht="15" hidden="false" customHeight="false" outlineLevel="0" collapsed="false">
      <c r="A612" s="2" t="n">
        <v>2022</v>
      </c>
      <c r="B612" s="2" t="s">
        <v>102</v>
      </c>
      <c r="C612" s="2" t="s">
        <v>412</v>
      </c>
      <c r="D612" s="2" t="s">
        <v>29</v>
      </c>
      <c r="E612" s="2" t="n">
        <v>8</v>
      </c>
      <c r="F612" s="2" t="n">
        <v>23</v>
      </c>
      <c r="G612" s="2" t="n">
        <v>17</v>
      </c>
      <c r="H612" s="2" t="n">
        <v>8</v>
      </c>
      <c r="I612" s="2" t="n">
        <v>2</v>
      </c>
      <c r="J612" s="2" t="n">
        <v>109</v>
      </c>
      <c r="K612" s="2" t="n">
        <v>142</v>
      </c>
      <c r="L612" s="11" t="b">
        <f aca="false">TRUE()</f>
        <v>1</v>
      </c>
      <c r="M612" s="2" t="s">
        <v>406</v>
      </c>
      <c r="N612" s="2" t="n">
        <f aca="false">IF(E612&gt;0,F612/E612,"")</f>
        <v>2.875</v>
      </c>
      <c r="O612" s="2" t="n">
        <f aca="false">IF(AND(E612&gt;0,L612),J612/E612,"")</f>
        <v>13.625</v>
      </c>
    </row>
    <row r="613" customFormat="false" ht="15" hidden="false" customHeight="false" outlineLevel="0" collapsed="false">
      <c r="A613" s="2" t="n">
        <v>2022</v>
      </c>
      <c r="B613" s="2" t="s">
        <v>292</v>
      </c>
      <c r="C613" s="2" t="s">
        <v>408</v>
      </c>
      <c r="D613" s="2" t="s">
        <v>83</v>
      </c>
      <c r="E613" s="2" t="n">
        <v>9</v>
      </c>
      <c r="F613" s="2" t="n">
        <v>1</v>
      </c>
      <c r="G613" s="2" t="n">
        <v>1</v>
      </c>
      <c r="H613" s="2" t="n">
        <v>1</v>
      </c>
      <c r="I613" s="2" t="n">
        <v>1</v>
      </c>
      <c r="J613" s="2" t="n">
        <v>65</v>
      </c>
      <c r="K613" s="2" t="n">
        <v>66</v>
      </c>
      <c r="L613" s="11" t="b">
        <f aca="false">TRUE()</f>
        <v>1</v>
      </c>
      <c r="M613" s="2" t="s">
        <v>406</v>
      </c>
      <c r="N613" s="2" t="n">
        <f aca="false">IF(E613&gt;0,F613/E613,"")</f>
        <v>0.111111111111111</v>
      </c>
      <c r="O613" s="2" t="n">
        <f aca="false">IF(AND(E613&gt;0,L613),J613/E613,"")</f>
        <v>7.22222222222222</v>
      </c>
    </row>
    <row r="614" customFormat="false" ht="15" hidden="false" customHeight="false" outlineLevel="0" collapsed="false">
      <c r="A614" s="2" t="n">
        <v>2022</v>
      </c>
      <c r="B614" s="2" t="s">
        <v>52</v>
      </c>
      <c r="C614" s="2" t="s">
        <v>408</v>
      </c>
      <c r="D614" s="2" t="s">
        <v>29</v>
      </c>
      <c r="E614" s="2" t="n">
        <v>10</v>
      </c>
      <c r="F614" s="2" t="n">
        <v>45</v>
      </c>
      <c r="G614" s="2" t="n">
        <v>26</v>
      </c>
      <c r="H614" s="2" t="n">
        <v>13</v>
      </c>
      <c r="I614" s="2" t="n">
        <v>2</v>
      </c>
      <c r="J614" s="2" t="n">
        <v>161</v>
      </c>
      <c r="K614" s="2" t="n">
        <v>215</v>
      </c>
      <c r="L614" s="11" t="b">
        <f aca="false">TRUE()</f>
        <v>1</v>
      </c>
      <c r="M614" s="2" t="s">
        <v>406</v>
      </c>
      <c r="N614" s="2" t="n">
        <f aca="false">IF(E614&gt;0,F614/E614,"")</f>
        <v>4.5</v>
      </c>
      <c r="O614" s="2" t="n">
        <f aca="false">IF(AND(E614&gt;0,L614),J614/E614,"")</f>
        <v>16.1</v>
      </c>
    </row>
    <row r="615" customFormat="false" ht="15" hidden="false" customHeight="false" outlineLevel="0" collapsed="false">
      <c r="A615" s="2" t="n">
        <v>2022</v>
      </c>
      <c r="B615" s="2" t="s">
        <v>54</v>
      </c>
      <c r="C615" s="2" t="s">
        <v>408</v>
      </c>
      <c r="D615" s="2" t="s">
        <v>24</v>
      </c>
      <c r="E615" s="2" t="n">
        <v>5</v>
      </c>
      <c r="F615" s="2" t="n">
        <v>21</v>
      </c>
      <c r="G615" s="2" t="n">
        <v>14</v>
      </c>
      <c r="H615" s="2" t="n">
        <v>4</v>
      </c>
      <c r="I615" s="2" t="n">
        <v>11</v>
      </c>
      <c r="J615" s="2" t="n">
        <v>173</v>
      </c>
      <c r="K615" s="2" t="n">
        <v>202</v>
      </c>
      <c r="L615" s="11" t="b">
        <f aca="false">TRUE()</f>
        <v>1</v>
      </c>
      <c r="M615" s="2" t="s">
        <v>406</v>
      </c>
      <c r="N615" s="2" t="n">
        <f aca="false">IF(E615&gt;0,F615/E615,"")</f>
        <v>4.2</v>
      </c>
      <c r="O615" s="2" t="n">
        <f aca="false">IF(AND(E615&gt;0,L615),J615/E615,"")</f>
        <v>34.6</v>
      </c>
    </row>
    <row r="616" customFormat="false" ht="15" hidden="false" customHeight="false" outlineLevel="0" collapsed="false">
      <c r="A616" s="2" t="n">
        <v>2022</v>
      </c>
      <c r="B616" s="2" t="s">
        <v>49</v>
      </c>
      <c r="C616" s="2" t="s">
        <v>418</v>
      </c>
      <c r="D616" s="2" t="s">
        <v>29</v>
      </c>
      <c r="E616" s="2" t="n">
        <v>10</v>
      </c>
      <c r="F616" s="2" t="n">
        <v>39</v>
      </c>
      <c r="G616" s="2" t="n">
        <v>27</v>
      </c>
      <c r="H616" s="2" t="n">
        <v>15</v>
      </c>
      <c r="I616" s="2" t="n">
        <v>5</v>
      </c>
      <c r="J616" s="2" t="n">
        <v>180</v>
      </c>
      <c r="K616" s="2" t="n">
        <v>228</v>
      </c>
      <c r="L616" s="11" t="b">
        <f aca="false">TRUE()</f>
        <v>1</v>
      </c>
      <c r="M616" s="2" t="s">
        <v>406</v>
      </c>
      <c r="N616" s="2" t="n">
        <f aca="false">IF(E616&gt;0,F616/E616,"")</f>
        <v>3.9</v>
      </c>
      <c r="O616" s="2" t="n">
        <f aca="false">IF(AND(E616&gt;0,L616),J616/E616,"")</f>
        <v>18</v>
      </c>
    </row>
    <row r="617" customFormat="false" ht="15" hidden="false" customHeight="false" outlineLevel="0" collapsed="false">
      <c r="A617" s="2" t="n">
        <v>2022</v>
      </c>
      <c r="B617" s="2" t="s">
        <v>75</v>
      </c>
      <c r="C617" s="2" t="s">
        <v>545</v>
      </c>
      <c r="D617" s="2" t="s">
        <v>29</v>
      </c>
      <c r="E617" s="2" t="n">
        <v>5</v>
      </c>
      <c r="F617" s="2" t="n">
        <v>20</v>
      </c>
      <c r="G617" s="2" t="n">
        <v>12</v>
      </c>
      <c r="H617" s="2" t="n">
        <v>4</v>
      </c>
      <c r="I617" s="2" t="n">
        <v>5</v>
      </c>
      <c r="J617" s="2" t="n">
        <v>77</v>
      </c>
      <c r="K617" s="2" t="n">
        <v>101</v>
      </c>
      <c r="L617" s="11" t="b">
        <f aca="false">TRUE()</f>
        <v>1</v>
      </c>
      <c r="M617" s="2" t="s">
        <v>406</v>
      </c>
      <c r="N617" s="2" t="n">
        <f aca="false">IF(E617&gt;0,F617/E617,"")</f>
        <v>4</v>
      </c>
      <c r="O617" s="2" t="n">
        <f aca="false">IF(AND(E617&gt;0,L617),J617/E617,"")</f>
        <v>15.4</v>
      </c>
    </row>
    <row r="618" customFormat="false" ht="15" hidden="false" customHeight="false" outlineLevel="0" collapsed="false">
      <c r="A618" s="2" t="n">
        <v>2022</v>
      </c>
      <c r="B618" s="2" t="s">
        <v>291</v>
      </c>
      <c r="C618" s="2" t="s">
        <v>545</v>
      </c>
      <c r="D618" s="2" t="s">
        <v>83</v>
      </c>
      <c r="E618" s="2" t="n">
        <v>3</v>
      </c>
      <c r="F618" s="2" t="n">
        <v>1</v>
      </c>
      <c r="G618" s="2" t="n">
        <v>0</v>
      </c>
      <c r="H618" s="2" t="n">
        <v>0</v>
      </c>
      <c r="I618" s="2" t="n">
        <v>0</v>
      </c>
      <c r="J618" s="2" t="n">
        <v>10</v>
      </c>
      <c r="K618" s="2" t="n">
        <v>12</v>
      </c>
      <c r="L618" s="11" t="b">
        <f aca="false">TRUE()</f>
        <v>1</v>
      </c>
      <c r="M618" s="2" t="s">
        <v>406</v>
      </c>
      <c r="N618" s="2" t="n">
        <f aca="false">IF(E618&gt;0,F618/E618,"")</f>
        <v>0.333333333333333</v>
      </c>
      <c r="O618" s="2" t="n">
        <f aca="false">IF(AND(E618&gt;0,L618),J618/E618,"")</f>
        <v>3.33333333333333</v>
      </c>
    </row>
    <row r="619" customFormat="false" ht="15" hidden="false" customHeight="false" outlineLevel="0" collapsed="false">
      <c r="A619" s="2" t="n">
        <v>2022</v>
      </c>
      <c r="B619" s="2" t="s">
        <v>200</v>
      </c>
      <c r="C619" s="2" t="s">
        <v>408</v>
      </c>
      <c r="D619" s="2" t="s">
        <v>29</v>
      </c>
      <c r="E619" s="2" t="n">
        <v>2</v>
      </c>
      <c r="F619" s="2" t="n">
        <v>4</v>
      </c>
      <c r="G619" s="2" t="n">
        <v>4</v>
      </c>
      <c r="H619" s="2" t="n">
        <v>1</v>
      </c>
      <c r="I619" s="2" t="n">
        <v>0</v>
      </c>
      <c r="J619" s="2" t="n">
        <v>10</v>
      </c>
      <c r="K619" s="2" t="n">
        <v>14</v>
      </c>
      <c r="L619" s="11" t="b">
        <f aca="false">TRUE()</f>
        <v>1</v>
      </c>
      <c r="M619" s="2" t="s">
        <v>410</v>
      </c>
      <c r="N619" s="2" t="n">
        <f aca="false">IF(E619&gt;0,F619/E619,"")</f>
        <v>2</v>
      </c>
      <c r="O619" s="2" t="n">
        <f aca="false">IF(AND(E619&gt;0,L619),J619/E619,"")</f>
        <v>5</v>
      </c>
    </row>
    <row r="620" customFormat="false" ht="15" hidden="false" customHeight="false" outlineLevel="0" collapsed="false">
      <c r="A620" s="2" t="n">
        <v>2022</v>
      </c>
      <c r="B620" s="2" t="s">
        <v>411</v>
      </c>
      <c r="C620" s="2" t="s">
        <v>412</v>
      </c>
      <c r="D620" s="2" t="s">
        <v>413</v>
      </c>
      <c r="E620" s="2" t="n">
        <v>9</v>
      </c>
      <c r="F620" s="2" t="n">
        <v>18</v>
      </c>
      <c r="G620" s="2" t="n">
        <v>11</v>
      </c>
      <c r="H620" s="2" t="n">
        <v>5</v>
      </c>
      <c r="I620" s="2" t="n">
        <v>4</v>
      </c>
      <c r="J620" s="2" t="n">
        <v>90</v>
      </c>
      <c r="K620" s="2" t="n">
        <v>112</v>
      </c>
      <c r="L620" s="11" t="b">
        <f aca="false">TRUE()</f>
        <v>1</v>
      </c>
      <c r="M620" s="2" t="s">
        <v>410</v>
      </c>
      <c r="N620" s="2" t="n">
        <f aca="false">IF(E620&gt;0,F620/E620,"")</f>
        <v>2</v>
      </c>
      <c r="O620" s="2" t="n">
        <f aca="false">IF(AND(E620&gt;0,L620),J620/E620,"")</f>
        <v>10</v>
      </c>
    </row>
    <row r="621" customFormat="false" ht="15" hidden="false" customHeight="false" outlineLevel="0" collapsed="false">
      <c r="A621" s="2" t="n">
        <v>2022</v>
      </c>
      <c r="B621" s="2" t="s">
        <v>377</v>
      </c>
      <c r="C621" s="2" t="s">
        <v>414</v>
      </c>
      <c r="D621" s="2" t="s">
        <v>117</v>
      </c>
      <c r="E621" s="2" t="n">
        <v>1</v>
      </c>
      <c r="F621" s="2" t="n">
        <v>1</v>
      </c>
      <c r="G621" s="2" t="n">
        <v>1</v>
      </c>
      <c r="H621" s="2" t="n">
        <v>0</v>
      </c>
      <c r="I621" s="2" t="n">
        <v>0</v>
      </c>
      <c r="J621" s="2" t="n">
        <v>3</v>
      </c>
      <c r="K621" s="2" t="n">
        <v>4</v>
      </c>
      <c r="L621" s="11" t="b">
        <f aca="false">TRUE()</f>
        <v>1</v>
      </c>
      <c r="M621" s="2" t="s">
        <v>410</v>
      </c>
      <c r="N621" s="2" t="n">
        <f aca="false">IF(E621&gt;0,F621/E621,"")</f>
        <v>1</v>
      </c>
      <c r="O621" s="2" t="n">
        <f aca="false">IF(AND(E621&gt;0,L621),J621/E621,"")</f>
        <v>3</v>
      </c>
    </row>
    <row r="622" customFormat="false" ht="15" hidden="false" customHeight="false" outlineLevel="0" collapsed="false">
      <c r="A622" s="2" t="n">
        <v>2022</v>
      </c>
      <c r="B622" s="2" t="s">
        <v>390</v>
      </c>
      <c r="C622" s="2" t="s">
        <v>543</v>
      </c>
      <c r="D622" s="2" t="s">
        <v>29</v>
      </c>
      <c r="E622" s="2" t="n">
        <v>2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2</v>
      </c>
      <c r="K622" s="2" t="n">
        <v>4</v>
      </c>
      <c r="L622" s="11" t="b">
        <f aca="false">TRUE()</f>
        <v>1</v>
      </c>
      <c r="M622" s="2" t="s">
        <v>410</v>
      </c>
      <c r="N622" s="2" t="n">
        <f aca="false">IF(E622&gt;0,F622/E622,"")</f>
        <v>0</v>
      </c>
      <c r="O622" s="2" t="n">
        <f aca="false">IF(AND(E622&gt;0,L622),J622/E622,"")</f>
        <v>1</v>
      </c>
    </row>
    <row r="623" customFormat="false" ht="15" hidden="false" customHeight="false" outlineLevel="0" collapsed="false">
      <c r="A623" s="2" t="n">
        <v>2022</v>
      </c>
      <c r="B623" s="2" t="s">
        <v>298</v>
      </c>
      <c r="C623" s="2" t="s">
        <v>543</v>
      </c>
      <c r="D623" s="2" t="s">
        <v>115</v>
      </c>
      <c r="E623" s="2" t="n">
        <v>10</v>
      </c>
      <c r="F623" s="2" t="n">
        <v>6</v>
      </c>
      <c r="G623" s="2" t="n">
        <v>2</v>
      </c>
      <c r="H623" s="2" t="n">
        <v>2</v>
      </c>
      <c r="I623" s="2" t="n">
        <v>0</v>
      </c>
      <c r="J623" s="2" t="n">
        <v>40</v>
      </c>
      <c r="K623" s="2" t="n">
        <v>50</v>
      </c>
      <c r="L623" s="11" t="b">
        <f aca="false">TRUE()</f>
        <v>1</v>
      </c>
      <c r="M623" s="2" t="s">
        <v>406</v>
      </c>
      <c r="N623" s="2" t="n">
        <f aca="false">IF(E623&gt;0,F623/E623,"")</f>
        <v>0.6</v>
      </c>
      <c r="O623" s="2" t="n">
        <f aca="false">IF(AND(E623&gt;0,L623),J623/E623,"")</f>
        <v>4</v>
      </c>
    </row>
    <row r="624" customFormat="false" ht="15" hidden="false" customHeight="false" outlineLevel="0" collapsed="false">
      <c r="A624" s="2" t="n">
        <v>2022</v>
      </c>
      <c r="B624" s="2" t="s">
        <v>104</v>
      </c>
      <c r="C624" s="2" t="s">
        <v>420</v>
      </c>
      <c r="D624" s="2" t="s">
        <v>24</v>
      </c>
      <c r="E624" s="2" t="n">
        <v>4</v>
      </c>
      <c r="F624" s="2" t="n">
        <v>10</v>
      </c>
      <c r="G624" s="2" t="n">
        <v>7</v>
      </c>
      <c r="H624" s="2" t="n">
        <v>3</v>
      </c>
      <c r="I624" s="2" t="n">
        <v>3</v>
      </c>
      <c r="J624" s="2" t="n">
        <v>43</v>
      </c>
      <c r="K624" s="2" t="n">
        <v>58</v>
      </c>
      <c r="L624" s="11" t="b">
        <f aca="false">TRUE()</f>
        <v>1</v>
      </c>
      <c r="M624" s="2" t="s">
        <v>406</v>
      </c>
      <c r="N624" s="2" t="n">
        <f aca="false">IF(E624&gt;0,F624/E624,"")</f>
        <v>2.5</v>
      </c>
      <c r="O624" s="2" t="n">
        <f aca="false">IF(AND(E624&gt;0,L624),J624/E624,"")</f>
        <v>10.75</v>
      </c>
    </row>
    <row r="625" customFormat="false" ht="15" hidden="false" customHeight="false" outlineLevel="0" collapsed="false">
      <c r="A625" s="2" t="n">
        <v>2022</v>
      </c>
      <c r="B625" s="2" t="s">
        <v>179</v>
      </c>
      <c r="C625" s="2" t="s">
        <v>414</v>
      </c>
      <c r="D625" s="2" t="s">
        <v>83</v>
      </c>
      <c r="E625" s="2" t="n">
        <v>8</v>
      </c>
      <c r="F625" s="2" t="n">
        <v>2</v>
      </c>
      <c r="G625" s="2" t="n">
        <v>2</v>
      </c>
      <c r="H625" s="2" t="n">
        <v>1</v>
      </c>
      <c r="I625" s="2" t="n">
        <v>0</v>
      </c>
      <c r="J625" s="2" t="n">
        <v>45</v>
      </c>
      <c r="K625" s="2" t="n">
        <v>47</v>
      </c>
      <c r="L625" s="11" t="b">
        <f aca="false">TRUE()</f>
        <v>1</v>
      </c>
      <c r="M625" s="2" t="s">
        <v>406</v>
      </c>
      <c r="N625" s="2" t="n">
        <f aca="false">IF(E625&gt;0,F625/E625,"")</f>
        <v>0.25</v>
      </c>
      <c r="O625" s="2" t="n">
        <f aca="false">IF(AND(E625&gt;0,L625),J625/E625,"")</f>
        <v>5.625</v>
      </c>
    </row>
    <row r="626" customFormat="false" ht="15" hidden="false" customHeight="false" outlineLevel="0" collapsed="false">
      <c r="A626" s="2" t="n">
        <v>2022</v>
      </c>
      <c r="B626" s="2" t="s">
        <v>161</v>
      </c>
      <c r="C626" s="2" t="s">
        <v>418</v>
      </c>
      <c r="D626" s="2" t="s">
        <v>117</v>
      </c>
      <c r="E626" s="2" t="n">
        <v>10</v>
      </c>
      <c r="F626" s="2" t="n">
        <v>1</v>
      </c>
      <c r="G626" s="2" t="n">
        <v>1</v>
      </c>
      <c r="H626" s="2" t="n">
        <v>0</v>
      </c>
      <c r="I626" s="2" t="n">
        <v>0</v>
      </c>
      <c r="J626" s="2" t="n">
        <v>75</v>
      </c>
      <c r="K626" s="2" t="n">
        <v>80</v>
      </c>
      <c r="L626" s="11" t="b">
        <f aca="false">TRUE()</f>
        <v>1</v>
      </c>
      <c r="M626" s="2" t="s">
        <v>406</v>
      </c>
      <c r="N626" s="2" t="n">
        <f aca="false">IF(E626&gt;0,F626/E626,"")</f>
        <v>0.1</v>
      </c>
      <c r="O626" s="2" t="n">
        <f aca="false">IF(AND(E626&gt;0,L626),J626/E626,"")</f>
        <v>7.5</v>
      </c>
    </row>
    <row r="627" customFormat="false" ht="15" hidden="false" customHeight="false" outlineLevel="0" collapsed="false">
      <c r="A627" s="2" t="n">
        <v>2022</v>
      </c>
      <c r="B627" s="2" t="s">
        <v>416</v>
      </c>
      <c r="C627" s="2" t="s">
        <v>414</v>
      </c>
      <c r="D627" s="2" t="s">
        <v>409</v>
      </c>
      <c r="E627" s="2" t="n">
        <v>10</v>
      </c>
      <c r="F627" s="2" t="n">
        <v>2</v>
      </c>
      <c r="G627" s="2" t="n">
        <v>1</v>
      </c>
      <c r="H627" s="2" t="n">
        <v>0</v>
      </c>
      <c r="I627" s="2" t="n">
        <v>0</v>
      </c>
      <c r="J627" s="2" t="n">
        <v>150</v>
      </c>
      <c r="K627" s="2" t="n">
        <v>156</v>
      </c>
      <c r="L627" s="11" t="b">
        <f aca="false">TRUE()</f>
        <v>1</v>
      </c>
      <c r="M627" s="2" t="s">
        <v>410</v>
      </c>
      <c r="N627" s="2" t="n">
        <f aca="false">IF(E627&gt;0,F627/E627,"")</f>
        <v>0.2</v>
      </c>
      <c r="O627" s="2" t="n">
        <f aca="false">IF(AND(E627&gt;0,L627),J627/E627,"")</f>
        <v>15</v>
      </c>
    </row>
    <row r="628" customFormat="false" ht="15" hidden="false" customHeight="false" outlineLevel="0" collapsed="false">
      <c r="A628" s="2" t="n">
        <v>2022</v>
      </c>
      <c r="B628" s="2" t="s">
        <v>59</v>
      </c>
      <c r="C628" s="2" t="s">
        <v>405</v>
      </c>
      <c r="D628" s="2" t="s">
        <v>29</v>
      </c>
      <c r="E628" s="2" t="n">
        <v>10</v>
      </c>
      <c r="F628" s="2" t="n">
        <v>43</v>
      </c>
      <c r="G628" s="2" t="n">
        <v>30</v>
      </c>
      <c r="H628" s="2" t="n">
        <v>18</v>
      </c>
      <c r="I628" s="2" t="n">
        <v>0</v>
      </c>
      <c r="J628" s="2" t="n">
        <v>106</v>
      </c>
      <c r="K628" s="2" t="n">
        <v>164</v>
      </c>
      <c r="L628" s="11" t="b">
        <f aca="false">TRUE()</f>
        <v>1</v>
      </c>
      <c r="M628" s="2" t="s">
        <v>406</v>
      </c>
      <c r="N628" s="2" t="n">
        <f aca="false">IF(E628&gt;0,F628/E628,"")</f>
        <v>4.3</v>
      </c>
      <c r="O628" s="2" t="n">
        <f aca="false">IF(AND(E628&gt;0,L628),J628/E628,"")</f>
        <v>10.6</v>
      </c>
    </row>
    <row r="629" customFormat="false" ht="15" hidden="false" customHeight="false" outlineLevel="0" collapsed="false">
      <c r="A629" s="2" t="n">
        <v>2022</v>
      </c>
      <c r="B629" s="2" t="s">
        <v>546</v>
      </c>
      <c r="C629" s="2" t="s">
        <v>418</v>
      </c>
      <c r="D629" s="2" t="s">
        <v>83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11" t="b">
        <f aca="false">TRUE()</f>
        <v>1</v>
      </c>
      <c r="M629" s="2" t="s">
        <v>410</v>
      </c>
      <c r="N629" s="2" t="str">
        <f aca="false">IF(E629&gt;0,F629/E629,"")</f>
        <v/>
      </c>
      <c r="O629" s="2" t="str">
        <f aca="false">IF(AND(E629&gt;0,L629),J629/E629,"")</f>
        <v/>
      </c>
    </row>
    <row r="630" customFormat="false" ht="15" hidden="false" customHeight="false" outlineLevel="0" collapsed="false">
      <c r="A630" s="2" t="n">
        <v>2022</v>
      </c>
      <c r="B630" s="2" t="s">
        <v>271</v>
      </c>
      <c r="C630" s="2" t="s">
        <v>543</v>
      </c>
      <c r="D630" s="2" t="s">
        <v>24</v>
      </c>
      <c r="E630" s="2" t="n">
        <v>6</v>
      </c>
      <c r="F630" s="2" t="n">
        <v>16</v>
      </c>
      <c r="G630" s="2" t="n">
        <v>6</v>
      </c>
      <c r="H630" s="2" t="n">
        <v>2</v>
      </c>
      <c r="I630" s="2" t="n">
        <v>0</v>
      </c>
      <c r="J630" s="2" t="n">
        <v>32</v>
      </c>
      <c r="K630" s="2" t="n">
        <v>52</v>
      </c>
      <c r="L630" s="11" t="b">
        <f aca="false">TRUE()</f>
        <v>1</v>
      </c>
      <c r="M630" s="2" t="s">
        <v>406</v>
      </c>
      <c r="N630" s="2" t="n">
        <f aca="false">IF(E630&gt;0,F630/E630,"")</f>
        <v>2.66666666666667</v>
      </c>
      <c r="O630" s="2" t="n">
        <f aca="false">IF(AND(E630&gt;0,L630),J630/E630,"")</f>
        <v>5.33333333333333</v>
      </c>
    </row>
    <row r="631" customFormat="false" ht="15" hidden="false" customHeight="false" outlineLevel="0" collapsed="false">
      <c r="A631" s="2" t="n">
        <v>2022</v>
      </c>
      <c r="B631" s="2" t="s">
        <v>201</v>
      </c>
      <c r="C631" s="2" t="s">
        <v>518</v>
      </c>
      <c r="D631" s="2" t="s">
        <v>24</v>
      </c>
      <c r="E631" s="2" t="n">
        <v>7</v>
      </c>
      <c r="F631" s="2" t="n">
        <v>43</v>
      </c>
      <c r="G631" s="2" t="n">
        <v>27</v>
      </c>
      <c r="H631" s="2" t="n">
        <v>10</v>
      </c>
      <c r="I631" s="2" t="n">
        <v>0</v>
      </c>
      <c r="J631" s="2" t="n">
        <v>34</v>
      </c>
      <c r="K631" s="2" t="n">
        <v>79</v>
      </c>
      <c r="L631" s="11" t="b">
        <f aca="false">TRUE()</f>
        <v>1</v>
      </c>
      <c r="M631" s="2" t="s">
        <v>406</v>
      </c>
      <c r="N631" s="2" t="n">
        <f aca="false">IF(E631&gt;0,F631/E631,"")</f>
        <v>6.14285714285714</v>
      </c>
      <c r="O631" s="2" t="n">
        <f aca="false">IF(AND(E631&gt;0,L631),J631/E631,"")</f>
        <v>4.85714285714286</v>
      </c>
    </row>
    <row r="632" customFormat="false" ht="15" hidden="false" customHeight="false" outlineLevel="0" collapsed="false">
      <c r="A632" s="2" t="n">
        <v>2022</v>
      </c>
      <c r="B632" s="2" t="s">
        <v>208</v>
      </c>
      <c r="C632" s="2" t="s">
        <v>412</v>
      </c>
      <c r="D632" s="2" t="s">
        <v>29</v>
      </c>
      <c r="E632" s="2" t="n">
        <v>9</v>
      </c>
      <c r="F632" s="2" t="n">
        <v>31</v>
      </c>
      <c r="G632" s="2" t="n">
        <v>17</v>
      </c>
      <c r="H632" s="2" t="n">
        <v>9</v>
      </c>
      <c r="I632" s="2" t="n">
        <v>3</v>
      </c>
      <c r="J632" s="2" t="n">
        <v>66</v>
      </c>
      <c r="K632" s="2" t="n">
        <v>106</v>
      </c>
      <c r="L632" s="11" t="b">
        <f aca="false">TRUE()</f>
        <v>1</v>
      </c>
      <c r="M632" s="2" t="s">
        <v>406</v>
      </c>
      <c r="N632" s="2" t="n">
        <f aca="false">IF(E632&gt;0,F632/E632,"")</f>
        <v>3.44444444444444</v>
      </c>
      <c r="O632" s="2" t="n">
        <f aca="false">IF(AND(E632&gt;0,L632),J632/E632,"")</f>
        <v>7.33333333333333</v>
      </c>
    </row>
    <row r="633" customFormat="false" ht="15" hidden="false" customHeight="false" outlineLevel="0" collapsed="false">
      <c r="A633" s="2" t="n">
        <v>2022</v>
      </c>
      <c r="B633" s="2" t="s">
        <v>423</v>
      </c>
      <c r="C633" s="2" t="s">
        <v>545</v>
      </c>
      <c r="D633" s="2" t="s">
        <v>29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11" t="b">
        <f aca="false">TRUE()</f>
        <v>1</v>
      </c>
      <c r="M633" s="2" t="s">
        <v>410</v>
      </c>
      <c r="N633" s="2" t="str">
        <f aca="false">IF(E633&gt;0,F633/E633,"")</f>
        <v/>
      </c>
      <c r="O633" s="2" t="str">
        <f aca="false">IF(AND(E633&gt;0,L633),J633/E633,"")</f>
        <v/>
      </c>
    </row>
    <row r="634" customFormat="false" ht="15" hidden="false" customHeight="false" outlineLevel="0" collapsed="false">
      <c r="A634" s="2" t="n">
        <v>2022</v>
      </c>
      <c r="B634" s="2" t="s">
        <v>62</v>
      </c>
      <c r="C634" s="2" t="s">
        <v>420</v>
      </c>
      <c r="D634" s="2" t="s">
        <v>24</v>
      </c>
      <c r="E634" s="2" t="n">
        <v>7</v>
      </c>
      <c r="F634" s="2" t="n">
        <v>53</v>
      </c>
      <c r="G634" s="2" t="n">
        <v>32</v>
      </c>
      <c r="H634" s="2" t="n">
        <v>15</v>
      </c>
      <c r="I634" s="2" t="n">
        <v>5</v>
      </c>
      <c r="J634" s="2" t="n">
        <v>170</v>
      </c>
      <c r="K634" s="2" t="n">
        <v>238</v>
      </c>
      <c r="L634" s="11" t="b">
        <f aca="false">TRUE()</f>
        <v>1</v>
      </c>
      <c r="M634" s="2" t="s">
        <v>406</v>
      </c>
      <c r="N634" s="2" t="n">
        <f aca="false">IF(E634&gt;0,F634/E634,"")</f>
        <v>7.57142857142857</v>
      </c>
      <c r="O634" s="2" t="n">
        <f aca="false">IF(AND(E634&gt;0,L634),J634/E634,"")</f>
        <v>24.2857142857143</v>
      </c>
    </row>
    <row r="635" customFormat="false" ht="15" hidden="false" customHeight="false" outlineLevel="0" collapsed="false">
      <c r="A635" s="2" t="n">
        <v>2022</v>
      </c>
      <c r="B635" s="2" t="s">
        <v>175</v>
      </c>
      <c r="C635" s="2" t="s">
        <v>518</v>
      </c>
      <c r="D635" s="2" t="s">
        <v>117</v>
      </c>
      <c r="E635" s="2" t="n">
        <v>10</v>
      </c>
      <c r="F635" s="2" t="n">
        <v>4</v>
      </c>
      <c r="G635" s="2" t="n">
        <v>1</v>
      </c>
      <c r="H635" s="2" t="n">
        <v>0</v>
      </c>
      <c r="I635" s="2" t="n">
        <v>0</v>
      </c>
      <c r="J635" s="2" t="n">
        <v>68</v>
      </c>
      <c r="K635" s="2" t="n">
        <v>79</v>
      </c>
      <c r="L635" s="11" t="b">
        <f aca="false">TRUE()</f>
        <v>1</v>
      </c>
      <c r="M635" s="2" t="s">
        <v>406</v>
      </c>
      <c r="N635" s="2" t="n">
        <f aca="false">IF(E635&gt;0,F635/E635,"")</f>
        <v>0.4</v>
      </c>
      <c r="O635" s="2" t="n">
        <f aca="false">IF(AND(E635&gt;0,L635),J635/E635,"")</f>
        <v>6.8</v>
      </c>
    </row>
    <row r="636" customFormat="false" ht="15" hidden="false" customHeight="false" outlineLevel="0" collapsed="false">
      <c r="A636" s="2" t="n">
        <v>2022</v>
      </c>
      <c r="B636" s="2" t="s">
        <v>226</v>
      </c>
      <c r="C636" s="2" t="s">
        <v>414</v>
      </c>
      <c r="D636" s="2" t="s">
        <v>24</v>
      </c>
      <c r="E636" s="2" t="n">
        <v>7</v>
      </c>
      <c r="F636" s="2" t="n">
        <v>28</v>
      </c>
      <c r="G636" s="2" t="n">
        <v>20</v>
      </c>
      <c r="H636" s="2" t="n">
        <v>10</v>
      </c>
      <c r="I636" s="2" t="n">
        <v>4</v>
      </c>
      <c r="J636" s="2" t="n">
        <v>50</v>
      </c>
      <c r="K636" s="2" t="n">
        <v>89</v>
      </c>
      <c r="L636" s="11" t="b">
        <f aca="false">TRUE()</f>
        <v>1</v>
      </c>
      <c r="M636" s="2" t="s">
        <v>406</v>
      </c>
      <c r="N636" s="2" t="n">
        <f aca="false">IF(E636&gt;0,F636/E636,"")</f>
        <v>4</v>
      </c>
      <c r="O636" s="2" t="n">
        <f aca="false">IF(AND(E636&gt;0,L636),J636/E636,"")</f>
        <v>7.14285714285714</v>
      </c>
    </row>
    <row r="637" customFormat="false" ht="15" hidden="false" customHeight="false" outlineLevel="0" collapsed="false">
      <c r="A637" s="2" t="n">
        <v>2022</v>
      </c>
      <c r="B637" s="2" t="s">
        <v>108</v>
      </c>
      <c r="C637" s="2" t="s">
        <v>412</v>
      </c>
      <c r="D637" s="2" t="s">
        <v>24</v>
      </c>
      <c r="E637" s="2" t="n">
        <v>2</v>
      </c>
      <c r="F637" s="2" t="n">
        <v>8</v>
      </c>
      <c r="G637" s="2" t="n">
        <v>5</v>
      </c>
      <c r="H637" s="2" t="n">
        <v>1</v>
      </c>
      <c r="I637" s="2" t="n">
        <v>0</v>
      </c>
      <c r="J637" s="2" t="n">
        <v>25</v>
      </c>
      <c r="K637" s="2" t="n">
        <v>33</v>
      </c>
      <c r="L637" s="11" t="b">
        <f aca="false">TRUE()</f>
        <v>1</v>
      </c>
      <c r="M637" s="2" t="s">
        <v>410</v>
      </c>
      <c r="N637" s="2" t="n">
        <f aca="false">IF(E637&gt;0,F637/E637,"")</f>
        <v>4</v>
      </c>
      <c r="O637" s="2" t="n">
        <f aca="false">IF(AND(E637&gt;0,L637),J637/E637,"")</f>
        <v>12.5</v>
      </c>
    </row>
    <row r="638" customFormat="false" ht="15" hidden="false" customHeight="false" outlineLevel="0" collapsed="false">
      <c r="A638" s="2" t="n">
        <v>2022</v>
      </c>
      <c r="B638" s="2" t="s">
        <v>55</v>
      </c>
      <c r="C638" s="2" t="s">
        <v>414</v>
      </c>
      <c r="D638" s="2" t="s">
        <v>29</v>
      </c>
      <c r="E638" s="2" t="n">
        <v>10</v>
      </c>
      <c r="F638" s="2" t="n">
        <v>61</v>
      </c>
      <c r="G638" s="2" t="n">
        <v>37</v>
      </c>
      <c r="H638" s="2" t="n">
        <v>16</v>
      </c>
      <c r="I638" s="2" t="n">
        <v>4</v>
      </c>
      <c r="J638" s="2" t="n">
        <v>209</v>
      </c>
      <c r="K638" s="2" t="n">
        <v>280</v>
      </c>
      <c r="L638" s="11" t="b">
        <f aca="false">TRUE()</f>
        <v>1</v>
      </c>
      <c r="M638" s="2" t="s">
        <v>406</v>
      </c>
      <c r="N638" s="2" t="n">
        <f aca="false">IF(E638&gt;0,F638/E638,"")</f>
        <v>6.1</v>
      </c>
      <c r="O638" s="2" t="n">
        <f aca="false">IF(AND(E638&gt;0,L638),J638/E638,"")</f>
        <v>20.9</v>
      </c>
    </row>
    <row r="639" customFormat="false" ht="15" hidden="false" customHeight="false" outlineLevel="0" collapsed="false">
      <c r="A639" s="2" t="n">
        <v>2022</v>
      </c>
      <c r="B639" s="2" t="s">
        <v>93</v>
      </c>
      <c r="C639" s="2" t="s">
        <v>543</v>
      </c>
      <c r="D639" s="2" t="s">
        <v>24</v>
      </c>
      <c r="E639" s="2" t="n">
        <v>6</v>
      </c>
      <c r="F639" s="2" t="n">
        <v>34</v>
      </c>
      <c r="G639" s="2" t="n">
        <v>22</v>
      </c>
      <c r="H639" s="2" t="n">
        <v>6</v>
      </c>
      <c r="I639" s="2" t="n">
        <v>0</v>
      </c>
      <c r="J639" s="2" t="n">
        <v>82</v>
      </c>
      <c r="K639" s="2" t="n">
        <v>124</v>
      </c>
      <c r="L639" s="11" t="b">
        <f aca="false">TRUE()</f>
        <v>1</v>
      </c>
      <c r="M639" s="2" t="s">
        <v>406</v>
      </c>
      <c r="N639" s="2" t="n">
        <f aca="false">IF(E639&gt;0,F639/E639,"")</f>
        <v>5.66666666666667</v>
      </c>
      <c r="O639" s="2" t="n">
        <f aca="false">IF(AND(E639&gt;0,L639),J639/E639,"")</f>
        <v>13.6666666666667</v>
      </c>
    </row>
    <row r="640" customFormat="false" ht="15" hidden="false" customHeight="false" outlineLevel="0" collapsed="false">
      <c r="A640" s="2" t="n">
        <v>2022</v>
      </c>
      <c r="B640" s="2" t="s">
        <v>268</v>
      </c>
      <c r="C640" s="2" t="s">
        <v>412</v>
      </c>
      <c r="D640" s="2" t="s">
        <v>115</v>
      </c>
      <c r="E640" s="2" t="n">
        <v>10</v>
      </c>
      <c r="F640" s="2" t="n">
        <v>4</v>
      </c>
      <c r="G640" s="2" t="n">
        <v>3</v>
      </c>
      <c r="H640" s="2" t="n">
        <v>1</v>
      </c>
      <c r="I640" s="2" t="n">
        <v>1</v>
      </c>
      <c r="J640" s="2" t="n">
        <v>47</v>
      </c>
      <c r="K640" s="2" t="n">
        <v>55</v>
      </c>
      <c r="L640" s="11" t="b">
        <f aca="false">TRUE()</f>
        <v>1</v>
      </c>
      <c r="M640" s="2" t="s">
        <v>406</v>
      </c>
      <c r="N640" s="2" t="n">
        <f aca="false">IF(E640&gt;0,F640/E640,"")</f>
        <v>0.4</v>
      </c>
      <c r="O640" s="2" t="n">
        <f aca="false">IF(AND(E640&gt;0,L640),J640/E640,"")</f>
        <v>4.7</v>
      </c>
    </row>
    <row r="641" customFormat="false" ht="15" hidden="false" customHeight="false" outlineLevel="0" collapsed="false">
      <c r="A641" s="2" t="n">
        <v>2022</v>
      </c>
      <c r="B641" s="2" t="s">
        <v>129</v>
      </c>
      <c r="C641" s="2" t="s">
        <v>420</v>
      </c>
      <c r="D641" s="2" t="s">
        <v>24</v>
      </c>
      <c r="E641" s="2" t="n">
        <v>6</v>
      </c>
      <c r="F641" s="2" t="n">
        <v>26</v>
      </c>
      <c r="G641" s="2" t="n">
        <v>22</v>
      </c>
      <c r="H641" s="2" t="n">
        <v>9</v>
      </c>
      <c r="I641" s="2" t="n">
        <v>5</v>
      </c>
      <c r="J641" s="2" t="n">
        <v>121</v>
      </c>
      <c r="K641" s="2" t="n">
        <v>159</v>
      </c>
      <c r="L641" s="11" t="b">
        <f aca="false">TRUE()</f>
        <v>1</v>
      </c>
      <c r="M641" s="2" t="s">
        <v>406</v>
      </c>
      <c r="N641" s="2" t="n">
        <f aca="false">IF(E641&gt;0,F641/E641,"")</f>
        <v>4.33333333333333</v>
      </c>
      <c r="O641" s="2" t="n">
        <f aca="false">IF(AND(E641&gt;0,L641),J641/E641,"")</f>
        <v>20.1666666666667</v>
      </c>
    </row>
    <row r="642" customFormat="false" ht="15" hidden="false" customHeight="false" outlineLevel="0" collapsed="false">
      <c r="A642" s="2" t="n">
        <v>2022</v>
      </c>
      <c r="B642" s="2" t="s">
        <v>237</v>
      </c>
      <c r="C642" s="2" t="s">
        <v>545</v>
      </c>
      <c r="D642" s="2" t="s">
        <v>24</v>
      </c>
      <c r="E642" s="2" t="n">
        <v>3</v>
      </c>
      <c r="F642" s="2" t="n">
        <v>26</v>
      </c>
      <c r="G642" s="2" t="n">
        <v>12</v>
      </c>
      <c r="H642" s="2" t="n">
        <v>6</v>
      </c>
      <c r="I642" s="2" t="n">
        <v>0</v>
      </c>
      <c r="J642" s="2" t="n">
        <v>30</v>
      </c>
      <c r="K642" s="2" t="n">
        <v>59</v>
      </c>
      <c r="L642" s="11" t="b">
        <f aca="false">TRUE()</f>
        <v>1</v>
      </c>
      <c r="M642" s="2" t="s">
        <v>406</v>
      </c>
      <c r="N642" s="2" t="n">
        <f aca="false">IF(E642&gt;0,F642/E642,"")</f>
        <v>8.66666666666667</v>
      </c>
      <c r="O642" s="2" t="n">
        <f aca="false">IF(AND(E642&gt;0,L642),J642/E642,"")</f>
        <v>10</v>
      </c>
    </row>
    <row r="643" customFormat="false" ht="15" hidden="false" customHeight="false" outlineLevel="0" collapsed="false">
      <c r="A643" s="2" t="n">
        <v>2022</v>
      </c>
      <c r="B643" s="2" t="s">
        <v>220</v>
      </c>
      <c r="C643" s="2" t="s">
        <v>405</v>
      </c>
      <c r="D643" s="2" t="s">
        <v>117</v>
      </c>
      <c r="E643" s="2" t="n">
        <v>10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33</v>
      </c>
      <c r="K643" s="2" t="n">
        <v>37</v>
      </c>
      <c r="L643" s="11" t="b">
        <f aca="false">TRUE()</f>
        <v>1</v>
      </c>
      <c r="M643" s="2" t="s">
        <v>406</v>
      </c>
      <c r="N643" s="2" t="n">
        <f aca="false">IF(E643&gt;0,F643/E643,"")</f>
        <v>0</v>
      </c>
      <c r="O643" s="2" t="n">
        <f aca="false">IF(AND(E643&gt;0,L643),J643/E643,"")</f>
        <v>3.3</v>
      </c>
    </row>
    <row r="644" customFormat="false" ht="15" hidden="false" customHeight="false" outlineLevel="0" collapsed="false">
      <c r="A644" s="2" t="n">
        <v>2022</v>
      </c>
      <c r="B644" s="2" t="s">
        <v>549</v>
      </c>
      <c r="C644" s="2" t="s">
        <v>412</v>
      </c>
      <c r="D644" s="2" t="s">
        <v>409</v>
      </c>
      <c r="E644" s="2" t="n">
        <v>2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6</v>
      </c>
      <c r="K644" s="2" t="n">
        <v>7</v>
      </c>
      <c r="L644" s="11" t="b">
        <f aca="false">TRUE()</f>
        <v>1</v>
      </c>
      <c r="M644" s="2" t="s">
        <v>410</v>
      </c>
      <c r="N644" s="2" t="n">
        <f aca="false">IF(E644&gt;0,F644/E644,"")</f>
        <v>0</v>
      </c>
      <c r="O644" s="2" t="n">
        <f aca="false">IF(AND(E644&gt;0,L644),J644/E644,"")</f>
        <v>3</v>
      </c>
    </row>
    <row r="645" customFormat="false" ht="15" hidden="false" customHeight="false" outlineLevel="0" collapsed="false">
      <c r="A645" s="2" t="n">
        <v>2022</v>
      </c>
      <c r="B645" s="2" t="s">
        <v>182</v>
      </c>
      <c r="C645" s="2" t="s">
        <v>414</v>
      </c>
      <c r="D645" s="2" t="s">
        <v>29</v>
      </c>
      <c r="E645" s="2" t="n">
        <v>8</v>
      </c>
      <c r="F645" s="2" t="n">
        <v>25</v>
      </c>
      <c r="G645" s="2" t="n">
        <v>14</v>
      </c>
      <c r="H645" s="2" t="n">
        <v>6</v>
      </c>
      <c r="I645" s="2" t="n">
        <v>7</v>
      </c>
      <c r="J645" s="2" t="n">
        <v>145</v>
      </c>
      <c r="K645" s="2" t="n">
        <v>181</v>
      </c>
      <c r="L645" s="11" t="b">
        <f aca="false">TRUE()</f>
        <v>1</v>
      </c>
      <c r="M645" s="2" t="s">
        <v>406</v>
      </c>
      <c r="N645" s="2" t="n">
        <f aca="false">IF(E645&gt;0,F645/E645,"")</f>
        <v>3.125</v>
      </c>
      <c r="O645" s="2" t="n">
        <f aca="false">IF(AND(E645&gt;0,L645),J645/E645,"")</f>
        <v>18.125</v>
      </c>
    </row>
    <row r="646" customFormat="false" ht="15" hidden="false" customHeight="false" outlineLevel="0" collapsed="false">
      <c r="A646" s="2" t="n">
        <v>2022</v>
      </c>
      <c r="B646" s="2" t="s">
        <v>356</v>
      </c>
      <c r="C646" s="2" t="s">
        <v>543</v>
      </c>
      <c r="D646" s="2" t="s">
        <v>83</v>
      </c>
      <c r="E646" s="2" t="n">
        <v>2</v>
      </c>
      <c r="F646" s="2" t="n">
        <v>2</v>
      </c>
      <c r="G646" s="2" t="n">
        <v>2</v>
      </c>
      <c r="H646" s="2" t="n">
        <v>2</v>
      </c>
      <c r="I646" s="2" t="n">
        <v>0</v>
      </c>
      <c r="J646" s="2" t="n">
        <v>10</v>
      </c>
      <c r="K646" s="2" t="n">
        <v>12</v>
      </c>
      <c r="L646" s="11" t="b">
        <f aca="false">TRUE()</f>
        <v>1</v>
      </c>
      <c r="M646" s="2" t="s">
        <v>410</v>
      </c>
      <c r="N646" s="2" t="n">
        <f aca="false">IF(E646&gt;0,F646/E646,"")</f>
        <v>1</v>
      </c>
      <c r="O646" s="2" t="n">
        <f aca="false">IF(AND(E646&gt;0,L646),J646/E646,"")</f>
        <v>5</v>
      </c>
    </row>
    <row r="647" customFormat="false" ht="15" hidden="false" customHeight="false" outlineLevel="0" collapsed="false">
      <c r="A647" s="2" t="n">
        <v>2022</v>
      </c>
      <c r="B647" s="2" t="s">
        <v>428</v>
      </c>
      <c r="C647" s="2" t="s">
        <v>412</v>
      </c>
      <c r="D647" s="2" t="s">
        <v>409</v>
      </c>
      <c r="E647" s="2" t="n">
        <v>10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90</v>
      </c>
      <c r="K647" s="2" t="n">
        <v>96</v>
      </c>
      <c r="L647" s="11" t="b">
        <f aca="false">TRUE()</f>
        <v>1</v>
      </c>
      <c r="M647" s="2" t="s">
        <v>410</v>
      </c>
      <c r="N647" s="2" t="n">
        <f aca="false">IF(E647&gt;0,F647/E647,"")</f>
        <v>0</v>
      </c>
      <c r="O647" s="2" t="n">
        <f aca="false">IF(AND(E647&gt;0,L647),J647/E647,"")</f>
        <v>9</v>
      </c>
    </row>
    <row r="648" customFormat="false" ht="15" hidden="false" customHeight="false" outlineLevel="0" collapsed="false">
      <c r="A648" s="2" t="n">
        <v>2022</v>
      </c>
      <c r="B648" s="2" t="s">
        <v>121</v>
      </c>
      <c r="C648" s="2" t="s">
        <v>408</v>
      </c>
      <c r="D648" s="2" t="s">
        <v>115</v>
      </c>
      <c r="E648" s="2" t="n">
        <v>10</v>
      </c>
      <c r="F648" s="2" t="n">
        <v>4</v>
      </c>
      <c r="G648" s="2" t="n">
        <v>2</v>
      </c>
      <c r="H648" s="2" t="n">
        <v>0</v>
      </c>
      <c r="I648" s="2" t="n">
        <v>4</v>
      </c>
      <c r="J648" s="2" t="n">
        <v>41</v>
      </c>
      <c r="K648" s="2" t="n">
        <v>54</v>
      </c>
      <c r="L648" s="11" t="b">
        <f aca="false">TRUE()</f>
        <v>1</v>
      </c>
      <c r="M648" s="2" t="s">
        <v>406</v>
      </c>
      <c r="N648" s="2" t="n">
        <f aca="false">IF(E648&gt;0,F648/E648,"")</f>
        <v>0.4</v>
      </c>
      <c r="O648" s="2" t="n">
        <f aca="false">IF(AND(E648&gt;0,L648),J648/E648,"")</f>
        <v>4.1</v>
      </c>
    </row>
    <row r="649" customFormat="false" ht="15" hidden="false" customHeight="false" outlineLevel="0" collapsed="false">
      <c r="A649" s="2" t="n">
        <v>2022</v>
      </c>
      <c r="B649" s="2" t="s">
        <v>95</v>
      </c>
      <c r="C649" s="2" t="s">
        <v>518</v>
      </c>
      <c r="D649" s="2" t="s">
        <v>29</v>
      </c>
      <c r="E649" s="2" t="n">
        <v>8</v>
      </c>
      <c r="F649" s="2" t="n">
        <v>29</v>
      </c>
      <c r="G649" s="2" t="n">
        <v>20</v>
      </c>
      <c r="H649" s="2" t="n">
        <v>10</v>
      </c>
      <c r="I649" s="2" t="n">
        <v>8</v>
      </c>
      <c r="J649" s="2" t="n">
        <v>114</v>
      </c>
      <c r="K649" s="2" t="n">
        <v>152</v>
      </c>
      <c r="L649" s="11" t="b">
        <f aca="false">TRUE()</f>
        <v>1</v>
      </c>
      <c r="M649" s="2" t="s">
        <v>406</v>
      </c>
      <c r="N649" s="2" t="n">
        <f aca="false">IF(E649&gt;0,F649/E649,"")</f>
        <v>3.625</v>
      </c>
      <c r="O649" s="2" t="n">
        <f aca="false">IF(AND(E649&gt;0,L649),J649/E649,"")</f>
        <v>14.25</v>
      </c>
    </row>
    <row r="650" customFormat="false" ht="15" hidden="false" customHeight="false" outlineLevel="0" collapsed="false">
      <c r="A650" s="2" t="n">
        <v>2022</v>
      </c>
      <c r="B650" s="2" t="s">
        <v>278</v>
      </c>
      <c r="C650" s="2" t="s">
        <v>420</v>
      </c>
      <c r="D650" s="2" t="s">
        <v>29</v>
      </c>
      <c r="E650" s="2" t="n">
        <v>5</v>
      </c>
      <c r="F650" s="2" t="n">
        <v>7</v>
      </c>
      <c r="G650" s="2" t="n">
        <v>6</v>
      </c>
      <c r="H650" s="2" t="n">
        <v>2</v>
      </c>
      <c r="I650" s="2" t="n">
        <v>1</v>
      </c>
      <c r="J650" s="2" t="n">
        <v>60</v>
      </c>
      <c r="K650" s="2" t="n">
        <v>72</v>
      </c>
      <c r="L650" s="11" t="b">
        <f aca="false">TRUE()</f>
        <v>1</v>
      </c>
      <c r="M650" s="2" t="s">
        <v>406</v>
      </c>
      <c r="N650" s="2" t="n">
        <f aca="false">IF(E650&gt;0,F650/E650,"")</f>
        <v>1.4</v>
      </c>
      <c r="O650" s="2" t="n">
        <f aca="false">IF(AND(E650&gt;0,L650),J650/E650,"")</f>
        <v>12</v>
      </c>
    </row>
    <row r="651" customFormat="false" ht="15" hidden="false" customHeight="false" outlineLevel="0" collapsed="false">
      <c r="A651" s="2" t="n">
        <v>2022</v>
      </c>
      <c r="B651" s="2" t="s">
        <v>32</v>
      </c>
      <c r="C651" s="2" t="s">
        <v>412</v>
      </c>
      <c r="D651" s="2" t="s">
        <v>29</v>
      </c>
      <c r="E651" s="2" t="n">
        <v>10</v>
      </c>
      <c r="F651" s="2" t="n">
        <v>65</v>
      </c>
      <c r="G651" s="2" t="n">
        <v>39</v>
      </c>
      <c r="H651" s="2" t="n">
        <v>11</v>
      </c>
      <c r="I651" s="2" t="n">
        <v>8</v>
      </c>
      <c r="J651" s="2" t="n">
        <v>200</v>
      </c>
      <c r="K651" s="2" t="n">
        <v>284</v>
      </c>
      <c r="L651" s="11" t="b">
        <f aca="false">TRUE()</f>
        <v>1</v>
      </c>
      <c r="M651" s="2" t="s">
        <v>406</v>
      </c>
      <c r="N651" s="2" t="n">
        <f aca="false">IF(E651&gt;0,F651/E651,"")</f>
        <v>6.5</v>
      </c>
      <c r="O651" s="2" t="n">
        <f aca="false">IF(AND(E651&gt;0,L651),J651/E651,"")</f>
        <v>20</v>
      </c>
    </row>
    <row r="652" customFormat="false" ht="15" hidden="false" customHeight="false" outlineLevel="0" collapsed="false">
      <c r="A652" s="2" t="n">
        <v>2022</v>
      </c>
      <c r="B652" s="2" t="s">
        <v>184</v>
      </c>
      <c r="C652" s="2" t="s">
        <v>420</v>
      </c>
      <c r="D652" s="2" t="s">
        <v>115</v>
      </c>
      <c r="E652" s="2" t="n">
        <v>10</v>
      </c>
      <c r="F652" s="2" t="n">
        <v>19</v>
      </c>
      <c r="G652" s="2" t="n">
        <v>11</v>
      </c>
      <c r="H652" s="2" t="n">
        <v>6</v>
      </c>
      <c r="I652" s="2" t="n">
        <v>1</v>
      </c>
      <c r="J652" s="2" t="n">
        <v>48</v>
      </c>
      <c r="K652" s="2" t="n">
        <v>72</v>
      </c>
      <c r="L652" s="11" t="b">
        <f aca="false">TRUE()</f>
        <v>1</v>
      </c>
      <c r="M652" s="2" t="s">
        <v>406</v>
      </c>
      <c r="N652" s="2" t="n">
        <f aca="false">IF(E652&gt;0,F652/E652,"")</f>
        <v>1.9</v>
      </c>
      <c r="O652" s="2" t="n">
        <f aca="false">IF(AND(E652&gt;0,L652),J652/E652,"")</f>
        <v>4.8</v>
      </c>
    </row>
    <row r="653" customFormat="false" ht="15" hidden="false" customHeight="false" outlineLevel="0" collapsed="false">
      <c r="A653" s="2" t="n">
        <v>2022</v>
      </c>
      <c r="B653" s="2" t="s">
        <v>520</v>
      </c>
      <c r="C653" s="2" t="s">
        <v>405</v>
      </c>
      <c r="D653" s="2" t="s">
        <v>115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11" t="b">
        <f aca="false">TRUE()</f>
        <v>1</v>
      </c>
      <c r="M653" s="2" t="s">
        <v>410</v>
      </c>
      <c r="N653" s="2" t="str">
        <f aca="false">IF(E653&gt;0,F653/E653,"")</f>
        <v/>
      </c>
      <c r="O653" s="2" t="str">
        <f aca="false">IF(AND(E653&gt;0,L653),J653/E653,"")</f>
        <v/>
      </c>
    </row>
    <row r="654" customFormat="false" ht="15" hidden="false" customHeight="false" outlineLevel="0" collapsed="false">
      <c r="A654" s="2" t="n">
        <v>2022</v>
      </c>
      <c r="B654" s="2" t="s">
        <v>229</v>
      </c>
      <c r="C654" s="2" t="s">
        <v>412</v>
      </c>
      <c r="D654" s="2" t="s">
        <v>29</v>
      </c>
      <c r="E654" s="2" t="n">
        <v>9</v>
      </c>
      <c r="F654" s="2" t="n">
        <v>22</v>
      </c>
      <c r="G654" s="2" t="n">
        <v>13</v>
      </c>
      <c r="H654" s="2" t="n">
        <v>4</v>
      </c>
      <c r="I654" s="2" t="n">
        <v>1</v>
      </c>
      <c r="J654" s="2" t="n">
        <v>69</v>
      </c>
      <c r="K654" s="2" t="n">
        <v>99</v>
      </c>
      <c r="L654" s="11" t="b">
        <f aca="false">TRUE()</f>
        <v>1</v>
      </c>
      <c r="M654" s="2" t="s">
        <v>406</v>
      </c>
      <c r="N654" s="2" t="n">
        <f aca="false">IF(E654&gt;0,F654/E654,"")</f>
        <v>2.44444444444444</v>
      </c>
      <c r="O654" s="2" t="n">
        <f aca="false">IF(AND(E654&gt;0,L654),J654/E654,"")</f>
        <v>7.66666666666667</v>
      </c>
    </row>
    <row r="655" customFormat="false" ht="15" hidden="false" customHeight="false" outlineLevel="0" collapsed="false">
      <c r="A655" s="2" t="n">
        <v>2022</v>
      </c>
      <c r="B655" s="2" t="s">
        <v>431</v>
      </c>
      <c r="C655" s="2" t="s">
        <v>418</v>
      </c>
      <c r="D655" s="2" t="s">
        <v>29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11" t="b">
        <f aca="false">TRUE()</f>
        <v>1</v>
      </c>
      <c r="M655" s="2" t="s">
        <v>410</v>
      </c>
      <c r="N655" s="2" t="str">
        <f aca="false">IF(E655&gt;0,F655/E655,"")</f>
        <v/>
      </c>
      <c r="O655" s="2" t="str">
        <f aca="false">IF(AND(E655&gt;0,L655),J655/E655,"")</f>
        <v/>
      </c>
    </row>
    <row r="656" customFormat="false" ht="15" hidden="false" customHeight="false" outlineLevel="0" collapsed="false">
      <c r="A656" s="2" t="n">
        <v>2022</v>
      </c>
      <c r="B656" s="2" t="s">
        <v>586</v>
      </c>
      <c r="C656" s="2" t="s">
        <v>420</v>
      </c>
      <c r="D656" s="2" t="s">
        <v>29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11" t="b">
        <f aca="false">TRUE()</f>
        <v>1</v>
      </c>
      <c r="M656" s="2" t="s">
        <v>410</v>
      </c>
      <c r="N656" s="2" t="str">
        <f aca="false">IF(E656&gt;0,F656/E656,"")</f>
        <v/>
      </c>
      <c r="O656" s="2" t="str">
        <f aca="false">IF(AND(E656&gt;0,L656),J656/E656,"")</f>
        <v/>
      </c>
    </row>
    <row r="657" customFormat="false" ht="15" hidden="false" customHeight="false" outlineLevel="0" collapsed="false">
      <c r="A657" s="2" t="n">
        <v>2022</v>
      </c>
      <c r="B657" s="2" t="s">
        <v>295</v>
      </c>
      <c r="C657" s="2" t="s">
        <v>543</v>
      </c>
      <c r="D657" s="2" t="s">
        <v>24</v>
      </c>
      <c r="E657" s="2" t="n">
        <v>4</v>
      </c>
      <c r="F657" s="2" t="n">
        <v>12</v>
      </c>
      <c r="G657" s="2" t="n">
        <v>8</v>
      </c>
      <c r="H657" s="2" t="n">
        <v>4</v>
      </c>
      <c r="I657" s="2" t="n">
        <v>0</v>
      </c>
      <c r="J657" s="2" t="n">
        <v>20</v>
      </c>
      <c r="K657" s="2" t="n">
        <v>32</v>
      </c>
      <c r="L657" s="11" t="b">
        <f aca="false">TRUE()</f>
        <v>1</v>
      </c>
      <c r="M657" s="2" t="s">
        <v>406</v>
      </c>
      <c r="N657" s="2" t="n">
        <f aca="false">IF(E657&gt;0,F657/E657,"")</f>
        <v>3</v>
      </c>
      <c r="O657" s="2" t="n">
        <f aca="false">IF(AND(E657&gt;0,L657),J657/E657,"")</f>
        <v>5</v>
      </c>
    </row>
    <row r="658" customFormat="false" ht="15" hidden="false" customHeight="false" outlineLevel="0" collapsed="false">
      <c r="A658" s="2" t="n">
        <v>2022</v>
      </c>
      <c r="B658" s="2" t="s">
        <v>46</v>
      </c>
      <c r="C658" s="2" t="s">
        <v>518</v>
      </c>
      <c r="D658" s="2" t="s">
        <v>29</v>
      </c>
      <c r="E658" s="2" t="n">
        <v>10</v>
      </c>
      <c r="F658" s="2" t="n">
        <v>28</v>
      </c>
      <c r="G658" s="2" t="n">
        <v>15</v>
      </c>
      <c r="H658" s="2" t="n">
        <v>11</v>
      </c>
      <c r="I658" s="2" t="n">
        <v>8</v>
      </c>
      <c r="J658" s="2" t="n">
        <v>222</v>
      </c>
      <c r="K658" s="2" t="n">
        <v>267</v>
      </c>
      <c r="L658" s="11" t="b">
        <f aca="false">TRUE()</f>
        <v>1</v>
      </c>
      <c r="M658" s="2" t="s">
        <v>406</v>
      </c>
      <c r="N658" s="2" t="n">
        <f aca="false">IF(E658&gt;0,F658/E658,"")</f>
        <v>2.8</v>
      </c>
      <c r="O658" s="2" t="n">
        <f aca="false">IF(AND(E658&gt;0,L658),J658/E658,"")</f>
        <v>22.2</v>
      </c>
    </row>
    <row r="659" customFormat="false" ht="15" hidden="false" customHeight="false" outlineLevel="0" collapsed="false">
      <c r="A659" s="2" t="n">
        <v>2022</v>
      </c>
      <c r="B659" s="2" t="s">
        <v>205</v>
      </c>
      <c r="C659" s="2" t="s">
        <v>412</v>
      </c>
      <c r="D659" s="2" t="s">
        <v>29</v>
      </c>
      <c r="E659" s="2" t="n">
        <v>3</v>
      </c>
      <c r="F659" s="2" t="n">
        <v>12</v>
      </c>
      <c r="G659" s="2" t="n">
        <v>7</v>
      </c>
      <c r="H659" s="2" t="n">
        <v>1</v>
      </c>
      <c r="I659" s="2" t="n">
        <v>0</v>
      </c>
      <c r="J659" s="2" t="n">
        <v>21</v>
      </c>
      <c r="K659" s="2" t="n">
        <v>35</v>
      </c>
      <c r="L659" s="11" t="b">
        <f aca="false">TRUE()</f>
        <v>1</v>
      </c>
      <c r="M659" s="2" t="s">
        <v>406</v>
      </c>
      <c r="N659" s="2" t="n">
        <f aca="false">IF(E659&gt;0,F659/E659,"")</f>
        <v>4</v>
      </c>
      <c r="O659" s="2" t="n">
        <f aca="false">IF(AND(E659&gt;0,L659),J659/E659,"")</f>
        <v>7</v>
      </c>
    </row>
    <row r="660" customFormat="false" ht="15" hidden="false" customHeight="false" outlineLevel="0" collapsed="false">
      <c r="A660" s="2" t="n">
        <v>2022</v>
      </c>
      <c r="B660" s="2" t="s">
        <v>225</v>
      </c>
      <c r="C660" s="2" t="s">
        <v>405</v>
      </c>
      <c r="D660" s="2" t="s">
        <v>83</v>
      </c>
      <c r="E660" s="2" t="n">
        <v>10</v>
      </c>
      <c r="F660" s="2" t="n">
        <v>1</v>
      </c>
      <c r="G660" s="2" t="n">
        <v>1</v>
      </c>
      <c r="H660" s="2" t="n">
        <v>0</v>
      </c>
      <c r="I660" s="2" t="n">
        <v>0</v>
      </c>
      <c r="J660" s="2" t="n">
        <v>68</v>
      </c>
      <c r="K660" s="2" t="n">
        <v>73</v>
      </c>
      <c r="L660" s="11" t="b">
        <f aca="false">TRUE()</f>
        <v>1</v>
      </c>
      <c r="M660" s="2" t="s">
        <v>406</v>
      </c>
      <c r="N660" s="2" t="n">
        <f aca="false">IF(E660&gt;0,F660/E660,"")</f>
        <v>0.1</v>
      </c>
      <c r="O660" s="2" t="n">
        <f aca="false">IF(AND(E660&gt;0,L660),J660/E660,"")</f>
        <v>6.8</v>
      </c>
    </row>
    <row r="661" customFormat="false" ht="15" hidden="false" customHeight="false" outlineLevel="0" collapsed="false">
      <c r="A661" s="2" t="n">
        <v>2022</v>
      </c>
      <c r="B661" s="2" t="s">
        <v>522</v>
      </c>
      <c r="C661" s="2" t="s">
        <v>518</v>
      </c>
      <c r="D661" s="2" t="s">
        <v>409</v>
      </c>
      <c r="E661" s="2" t="n">
        <v>6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44</v>
      </c>
      <c r="K661" s="2" t="n">
        <v>45</v>
      </c>
      <c r="L661" s="11" t="b">
        <f aca="false">TRUE()</f>
        <v>1</v>
      </c>
      <c r="M661" s="2" t="s">
        <v>410</v>
      </c>
      <c r="N661" s="2" t="n">
        <f aca="false">IF(E661&gt;0,F661/E661,"")</f>
        <v>0</v>
      </c>
      <c r="O661" s="2" t="n">
        <f aca="false">IF(AND(E661&gt;0,L661),J661/E661,"")</f>
        <v>7.33333333333333</v>
      </c>
    </row>
    <row r="662" customFormat="false" ht="15" hidden="false" customHeight="false" outlineLevel="0" collapsed="false">
      <c r="A662" s="2" t="n">
        <v>2022</v>
      </c>
      <c r="B662" s="2" t="s">
        <v>273</v>
      </c>
      <c r="C662" s="2" t="s">
        <v>405</v>
      </c>
      <c r="D662" s="2" t="s">
        <v>29</v>
      </c>
      <c r="E662" s="2" t="n">
        <v>1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5</v>
      </c>
      <c r="K662" s="2" t="n">
        <v>5</v>
      </c>
      <c r="L662" s="11" t="b">
        <f aca="false">TRUE()</f>
        <v>1</v>
      </c>
      <c r="M662" s="2" t="s">
        <v>410</v>
      </c>
      <c r="N662" s="2" t="n">
        <f aca="false">IF(E662&gt;0,F662/E662,"")</f>
        <v>0</v>
      </c>
      <c r="O662" s="2" t="n">
        <f aca="false">IF(AND(E662&gt;0,L662),J662/E662,"")</f>
        <v>5</v>
      </c>
    </row>
    <row r="663" customFormat="false" ht="15" hidden="false" customHeight="false" outlineLevel="0" collapsed="false">
      <c r="A663" s="2" t="n">
        <v>2022</v>
      </c>
      <c r="B663" s="2" t="s">
        <v>346</v>
      </c>
      <c r="C663" s="2" t="s">
        <v>518</v>
      </c>
      <c r="D663" s="2" t="s">
        <v>83</v>
      </c>
      <c r="E663" s="2" t="n">
        <v>4</v>
      </c>
      <c r="F663" s="2" t="n">
        <v>4</v>
      </c>
      <c r="G663" s="2" t="n">
        <v>4</v>
      </c>
      <c r="H663" s="2" t="n">
        <v>3</v>
      </c>
      <c r="I663" s="2" t="n">
        <v>0</v>
      </c>
      <c r="J663" s="2" t="n">
        <v>11</v>
      </c>
      <c r="K663" s="2" t="n">
        <v>17</v>
      </c>
      <c r="L663" s="11" t="b">
        <f aca="false">TRUE()</f>
        <v>1</v>
      </c>
      <c r="M663" s="2" t="s">
        <v>406</v>
      </c>
      <c r="N663" s="2" t="n">
        <f aca="false">IF(E663&gt;0,F663/E663,"")</f>
        <v>1</v>
      </c>
      <c r="O663" s="2" t="n">
        <f aca="false">IF(AND(E663&gt;0,L663),J663/E663,"")</f>
        <v>2.75</v>
      </c>
    </row>
    <row r="664" customFormat="false" ht="15" hidden="false" customHeight="false" outlineLevel="0" collapsed="false">
      <c r="A664" s="2" t="n">
        <v>2022</v>
      </c>
      <c r="B664" s="2" t="s">
        <v>199</v>
      </c>
      <c r="C664" s="2" t="s">
        <v>408</v>
      </c>
      <c r="D664" s="2" t="s">
        <v>24</v>
      </c>
      <c r="E664" s="2" t="n">
        <v>5</v>
      </c>
      <c r="F664" s="2" t="n">
        <v>12</v>
      </c>
      <c r="G664" s="2" t="n">
        <v>10</v>
      </c>
      <c r="H664" s="2" t="n">
        <v>7</v>
      </c>
      <c r="I664" s="2" t="n">
        <v>5</v>
      </c>
      <c r="J664" s="2" t="n">
        <v>109</v>
      </c>
      <c r="K664" s="2" t="n">
        <v>130</v>
      </c>
      <c r="L664" s="11" t="b">
        <f aca="false">TRUE()</f>
        <v>1</v>
      </c>
      <c r="M664" s="2" t="s">
        <v>406</v>
      </c>
      <c r="N664" s="2" t="n">
        <f aca="false">IF(E664&gt;0,F664/E664,"")</f>
        <v>2.4</v>
      </c>
      <c r="O664" s="2" t="n">
        <f aca="false">IF(AND(E664&gt;0,L664),J664/E664,"")</f>
        <v>21.8</v>
      </c>
    </row>
    <row r="665" customFormat="false" ht="15" hidden="false" customHeight="false" outlineLevel="0" collapsed="false">
      <c r="A665" s="2" t="n">
        <v>2022</v>
      </c>
      <c r="B665" s="2" t="s">
        <v>275</v>
      </c>
      <c r="C665" s="2" t="s">
        <v>412</v>
      </c>
      <c r="D665" s="2" t="s">
        <v>83</v>
      </c>
      <c r="E665" s="2" t="n">
        <v>9</v>
      </c>
      <c r="F665" s="2" t="n">
        <v>5</v>
      </c>
      <c r="G665" s="2" t="n">
        <v>4</v>
      </c>
      <c r="H665" s="2" t="n">
        <v>1</v>
      </c>
      <c r="I665" s="2" t="n">
        <v>2</v>
      </c>
      <c r="J665" s="2" t="n">
        <v>35</v>
      </c>
      <c r="K665" s="2" t="n">
        <v>45</v>
      </c>
      <c r="L665" s="11" t="b">
        <f aca="false">TRUE()</f>
        <v>1</v>
      </c>
      <c r="M665" s="2" t="s">
        <v>406</v>
      </c>
      <c r="N665" s="2" t="n">
        <f aca="false">IF(E665&gt;0,F665/E665,"")</f>
        <v>0.555555555555556</v>
      </c>
      <c r="O665" s="2" t="n">
        <f aca="false">IF(AND(E665&gt;0,L665),J665/E665,"")</f>
        <v>3.88888888888889</v>
      </c>
    </row>
    <row r="666" customFormat="false" ht="15" hidden="false" customHeight="false" outlineLevel="0" collapsed="false">
      <c r="A666" s="2" t="n">
        <v>2022</v>
      </c>
      <c r="B666" s="2" t="s">
        <v>58</v>
      </c>
      <c r="C666" s="2" t="s">
        <v>412</v>
      </c>
      <c r="D666" s="2" t="s">
        <v>29</v>
      </c>
      <c r="E666" s="2" t="n">
        <v>8</v>
      </c>
      <c r="F666" s="2" t="n">
        <v>27</v>
      </c>
      <c r="G666" s="2" t="n">
        <v>14</v>
      </c>
      <c r="H666" s="2" t="n">
        <v>5</v>
      </c>
      <c r="I666" s="2" t="n">
        <v>3</v>
      </c>
      <c r="J666" s="2" t="n">
        <v>63</v>
      </c>
      <c r="K666" s="2" t="n">
        <v>92</v>
      </c>
      <c r="L666" s="11" t="b">
        <f aca="false">TRUE()</f>
        <v>1</v>
      </c>
      <c r="M666" s="2" t="s">
        <v>406</v>
      </c>
      <c r="N666" s="2" t="n">
        <f aca="false">IF(E666&gt;0,F666/E666,"")</f>
        <v>3.375</v>
      </c>
      <c r="O666" s="2" t="n">
        <f aca="false">IF(AND(E666&gt;0,L666),J666/E666,"")</f>
        <v>7.875</v>
      </c>
    </row>
    <row r="667" customFormat="false" ht="15" hidden="false" customHeight="false" outlineLevel="0" collapsed="false">
      <c r="A667" s="2" t="n">
        <v>2022</v>
      </c>
      <c r="B667" s="2" t="s">
        <v>523</v>
      </c>
      <c r="C667" s="2" t="s">
        <v>420</v>
      </c>
      <c r="D667" s="2" t="s">
        <v>24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11" t="b">
        <f aca="false">TRUE()</f>
        <v>1</v>
      </c>
      <c r="M667" s="2" t="s">
        <v>410</v>
      </c>
      <c r="N667" s="2" t="str">
        <f aca="false">IF(E667&gt;0,F667/E667,"")</f>
        <v/>
      </c>
      <c r="O667" s="2" t="str">
        <f aca="false">IF(AND(E667&gt;0,L667),J667/E667,"")</f>
        <v/>
      </c>
    </row>
    <row r="668" customFormat="false" ht="15" hidden="false" customHeight="false" outlineLevel="0" collapsed="false">
      <c r="A668" s="2" t="n">
        <v>2022</v>
      </c>
      <c r="B668" s="2" t="s">
        <v>587</v>
      </c>
      <c r="C668" s="2" t="s">
        <v>408</v>
      </c>
      <c r="D668" s="2" t="s">
        <v>409</v>
      </c>
      <c r="E668" s="2" t="n">
        <v>1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12</v>
      </c>
      <c r="K668" s="2" t="n">
        <v>12</v>
      </c>
      <c r="L668" s="11" t="b">
        <f aca="false">TRUE()</f>
        <v>1</v>
      </c>
      <c r="M668" s="2" t="s">
        <v>410</v>
      </c>
      <c r="N668" s="2" t="n">
        <f aca="false">IF(E668&gt;0,F668/E668,"")</f>
        <v>0</v>
      </c>
      <c r="O668" s="2" t="n">
        <f aca="false">IF(AND(E668&gt;0,L668),J668/E668,"")</f>
        <v>12</v>
      </c>
    </row>
    <row r="669" customFormat="false" ht="15" hidden="false" customHeight="false" outlineLevel="0" collapsed="false">
      <c r="A669" s="2" t="n">
        <v>2022</v>
      </c>
      <c r="B669" s="2" t="s">
        <v>588</v>
      </c>
      <c r="C669" s="2" t="s">
        <v>405</v>
      </c>
      <c r="D669" s="2" t="s">
        <v>83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11" t="b">
        <f aca="false">TRUE()</f>
        <v>1</v>
      </c>
      <c r="M669" s="2" t="s">
        <v>410</v>
      </c>
      <c r="N669" s="2" t="str">
        <f aca="false">IF(E669&gt;0,F669/E669,"")</f>
        <v/>
      </c>
      <c r="O669" s="2" t="str">
        <f aca="false">IF(AND(E669&gt;0,L669),J669/E669,"")</f>
        <v/>
      </c>
    </row>
    <row r="670" customFormat="false" ht="15" hidden="false" customHeight="false" outlineLevel="0" collapsed="false">
      <c r="A670" s="2" t="n">
        <v>2022</v>
      </c>
      <c r="B670" s="2" t="s">
        <v>99</v>
      </c>
      <c r="C670" s="2" t="s">
        <v>545</v>
      </c>
      <c r="D670" s="2" t="s">
        <v>29</v>
      </c>
      <c r="E670" s="2" t="n">
        <v>7</v>
      </c>
      <c r="F670" s="2" t="n">
        <v>24</v>
      </c>
      <c r="G670" s="2" t="n">
        <v>18</v>
      </c>
      <c r="H670" s="2" t="n">
        <v>8</v>
      </c>
      <c r="I670" s="2" t="n">
        <v>2</v>
      </c>
      <c r="J670" s="2" t="n">
        <v>103</v>
      </c>
      <c r="K670" s="2" t="n">
        <v>133</v>
      </c>
      <c r="L670" s="11" t="b">
        <f aca="false">TRUE()</f>
        <v>1</v>
      </c>
      <c r="M670" s="2" t="s">
        <v>406</v>
      </c>
      <c r="N670" s="2" t="n">
        <f aca="false">IF(E670&gt;0,F670/E670,"")</f>
        <v>3.42857142857143</v>
      </c>
      <c r="O670" s="2" t="n">
        <f aca="false">IF(AND(E670&gt;0,L670),J670/E670,"")</f>
        <v>14.7142857142857</v>
      </c>
    </row>
    <row r="671" customFormat="false" ht="15" hidden="false" customHeight="false" outlineLevel="0" collapsed="false">
      <c r="A671" s="2" t="n">
        <v>2022</v>
      </c>
      <c r="B671" s="2" t="s">
        <v>43</v>
      </c>
      <c r="C671" s="2" t="s">
        <v>545</v>
      </c>
      <c r="D671" s="2" t="s">
        <v>29</v>
      </c>
      <c r="E671" s="2" t="n">
        <v>10</v>
      </c>
      <c r="F671" s="2" t="n">
        <v>51</v>
      </c>
      <c r="G671" s="2" t="n">
        <v>34</v>
      </c>
      <c r="H671" s="2" t="n">
        <v>17</v>
      </c>
      <c r="I671" s="2" t="n">
        <v>3</v>
      </c>
      <c r="J671" s="2" t="n">
        <v>187</v>
      </c>
      <c r="K671" s="2" t="n">
        <v>243</v>
      </c>
      <c r="L671" s="11" t="b">
        <f aca="false">TRUE()</f>
        <v>1</v>
      </c>
      <c r="M671" s="2" t="s">
        <v>406</v>
      </c>
      <c r="N671" s="2" t="n">
        <f aca="false">IF(E671&gt;0,F671/E671,"")</f>
        <v>5.1</v>
      </c>
      <c r="O671" s="2" t="n">
        <f aca="false">IF(AND(E671&gt;0,L671),J671/E671,"")</f>
        <v>18.7</v>
      </c>
    </row>
    <row r="672" customFormat="false" ht="15" hidden="false" customHeight="false" outlineLevel="0" collapsed="false">
      <c r="A672" s="2" t="n">
        <v>2022</v>
      </c>
      <c r="B672" s="2" t="s">
        <v>142</v>
      </c>
      <c r="C672" s="2" t="s">
        <v>414</v>
      </c>
      <c r="D672" s="2" t="s">
        <v>117</v>
      </c>
      <c r="E672" s="2" t="n">
        <v>10</v>
      </c>
      <c r="F672" s="2" t="n">
        <v>1</v>
      </c>
      <c r="G672" s="2" t="n">
        <v>1</v>
      </c>
      <c r="H672" s="2" t="n">
        <v>0</v>
      </c>
      <c r="I672" s="2" t="n">
        <v>0</v>
      </c>
      <c r="J672" s="2" t="n">
        <v>47</v>
      </c>
      <c r="K672" s="2" t="n">
        <v>51</v>
      </c>
      <c r="L672" s="11" t="b">
        <f aca="false">TRUE()</f>
        <v>1</v>
      </c>
      <c r="M672" s="2" t="s">
        <v>406</v>
      </c>
      <c r="N672" s="2" t="n">
        <f aca="false">IF(E672&gt;0,F672/E672,"")</f>
        <v>0.1</v>
      </c>
      <c r="O672" s="2" t="n">
        <f aca="false">IF(AND(E672&gt;0,L672),J672/E672,"")</f>
        <v>4.7</v>
      </c>
    </row>
    <row r="673" customFormat="false" ht="15" hidden="false" customHeight="false" outlineLevel="0" collapsed="false">
      <c r="A673" s="2" t="n">
        <v>2022</v>
      </c>
      <c r="B673" s="2" t="s">
        <v>304</v>
      </c>
      <c r="C673" s="2" t="s">
        <v>412</v>
      </c>
      <c r="D673" s="2" t="s">
        <v>117</v>
      </c>
      <c r="E673" s="2" t="n">
        <v>10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30</v>
      </c>
      <c r="K673" s="2" t="n">
        <v>32</v>
      </c>
      <c r="L673" s="11" t="b">
        <f aca="false">TRUE()</f>
        <v>1</v>
      </c>
      <c r="M673" s="2" t="s">
        <v>406</v>
      </c>
      <c r="N673" s="2" t="n">
        <f aca="false">IF(E673&gt;0,F673/E673,"")</f>
        <v>0</v>
      </c>
      <c r="O673" s="2" t="n">
        <f aca="false">IF(AND(E673&gt;0,L673),J673/E673,"")</f>
        <v>3</v>
      </c>
    </row>
    <row r="674" customFormat="false" ht="15" hidden="false" customHeight="false" outlineLevel="0" collapsed="false">
      <c r="A674" s="2" t="n">
        <v>2022</v>
      </c>
      <c r="B674" s="2" t="s">
        <v>387</v>
      </c>
      <c r="C674" s="2" t="s">
        <v>408</v>
      </c>
      <c r="D674" s="2" t="s">
        <v>115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11" t="b">
        <f aca="false">TRUE()</f>
        <v>1</v>
      </c>
      <c r="M674" s="2" t="s">
        <v>410</v>
      </c>
      <c r="N674" s="2" t="str">
        <f aca="false">IF(E674&gt;0,F674/E674,"")</f>
        <v/>
      </c>
      <c r="O674" s="2" t="str">
        <f aca="false">IF(AND(E674&gt;0,L674),J674/E674,"")</f>
        <v/>
      </c>
    </row>
    <row r="675" customFormat="false" ht="15" hidden="false" customHeight="false" outlineLevel="0" collapsed="false">
      <c r="A675" s="2" t="n">
        <v>2022</v>
      </c>
      <c r="B675" s="2" t="s">
        <v>552</v>
      </c>
      <c r="C675" s="2" t="s">
        <v>545</v>
      </c>
      <c r="D675" s="2" t="s">
        <v>83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11" t="b">
        <f aca="false">TRUE()</f>
        <v>1</v>
      </c>
      <c r="M675" s="2" t="s">
        <v>410</v>
      </c>
      <c r="N675" s="2" t="str">
        <f aca="false">IF(E675&gt;0,F675/E675,"")</f>
        <v/>
      </c>
      <c r="O675" s="2" t="str">
        <f aca="false">IF(AND(E675&gt;0,L675),J675/E675,"")</f>
        <v/>
      </c>
    </row>
    <row r="676" customFormat="false" ht="15" hidden="false" customHeight="false" outlineLevel="0" collapsed="false">
      <c r="A676" s="2" t="n">
        <v>2022</v>
      </c>
      <c r="B676" s="2" t="s">
        <v>178</v>
      </c>
      <c r="C676" s="2" t="s">
        <v>414</v>
      </c>
      <c r="D676" s="2" t="s">
        <v>115</v>
      </c>
      <c r="E676" s="2" t="n">
        <v>9</v>
      </c>
      <c r="F676" s="2" t="n">
        <v>17</v>
      </c>
      <c r="G676" s="2" t="n">
        <v>9</v>
      </c>
      <c r="H676" s="2" t="n">
        <v>3</v>
      </c>
      <c r="I676" s="2" t="n">
        <v>2</v>
      </c>
      <c r="J676" s="2" t="n">
        <v>55</v>
      </c>
      <c r="K676" s="2" t="n">
        <v>80</v>
      </c>
      <c r="L676" s="11" t="b">
        <f aca="false">TRUE()</f>
        <v>1</v>
      </c>
      <c r="M676" s="2" t="s">
        <v>406</v>
      </c>
      <c r="N676" s="2" t="n">
        <f aca="false">IF(E676&gt;0,F676/E676,"")</f>
        <v>1.88888888888889</v>
      </c>
      <c r="O676" s="2" t="n">
        <f aca="false">IF(AND(E676&gt;0,L676),J676/E676,"")</f>
        <v>6.11111111111111</v>
      </c>
    </row>
    <row r="677" customFormat="false" ht="15" hidden="false" customHeight="false" outlineLevel="0" collapsed="false">
      <c r="A677" s="2" t="n">
        <v>2022</v>
      </c>
      <c r="B677" s="2" t="s">
        <v>155</v>
      </c>
      <c r="C677" s="2" t="s">
        <v>405</v>
      </c>
      <c r="D677" s="2" t="s">
        <v>117</v>
      </c>
      <c r="E677" s="2" t="n">
        <v>10</v>
      </c>
      <c r="F677" s="2" t="n">
        <v>1</v>
      </c>
      <c r="G677" s="2" t="n">
        <v>0</v>
      </c>
      <c r="H677" s="2" t="n">
        <v>0</v>
      </c>
      <c r="I677" s="2" t="n">
        <v>0</v>
      </c>
      <c r="J677" s="2" t="n">
        <v>64</v>
      </c>
      <c r="K677" s="2" t="n">
        <v>68</v>
      </c>
      <c r="L677" s="11" t="b">
        <f aca="false">TRUE()</f>
        <v>1</v>
      </c>
      <c r="M677" s="2" t="s">
        <v>406</v>
      </c>
      <c r="N677" s="2" t="n">
        <f aca="false">IF(E677&gt;0,F677/E677,"")</f>
        <v>0.1</v>
      </c>
      <c r="O677" s="2" t="n">
        <f aca="false">IF(AND(E677&gt;0,L677),J677/E677,"")</f>
        <v>6.4</v>
      </c>
    </row>
    <row r="678" customFormat="false" ht="15" hidden="false" customHeight="false" outlineLevel="0" collapsed="false">
      <c r="A678" s="2" t="n">
        <v>2022</v>
      </c>
      <c r="B678" s="2" t="s">
        <v>158</v>
      </c>
      <c r="C678" s="2" t="s">
        <v>545</v>
      </c>
      <c r="D678" s="2" t="s">
        <v>83</v>
      </c>
      <c r="E678" s="2" t="n">
        <v>9</v>
      </c>
      <c r="F678" s="2" t="n">
        <v>12</v>
      </c>
      <c r="G678" s="2" t="n">
        <v>9</v>
      </c>
      <c r="H678" s="2" t="n">
        <v>4</v>
      </c>
      <c r="I678" s="2" t="n">
        <v>1</v>
      </c>
      <c r="J678" s="2" t="n">
        <v>75</v>
      </c>
      <c r="K678" s="2" t="n">
        <v>90</v>
      </c>
      <c r="L678" s="11" t="b">
        <f aca="false">TRUE()</f>
        <v>1</v>
      </c>
      <c r="M678" s="2" t="s">
        <v>406</v>
      </c>
      <c r="N678" s="2" t="n">
        <f aca="false">IF(E678&gt;0,F678/E678,"")</f>
        <v>1.33333333333333</v>
      </c>
      <c r="O678" s="2" t="n">
        <f aca="false">IF(AND(E678&gt;0,L678),J678/E678,"")</f>
        <v>8.33333333333333</v>
      </c>
    </row>
    <row r="679" customFormat="false" ht="15" hidden="false" customHeight="false" outlineLevel="0" collapsed="false">
      <c r="A679" s="2" t="n">
        <v>2022</v>
      </c>
      <c r="B679" s="2" t="s">
        <v>437</v>
      </c>
      <c r="C679" s="2" t="s">
        <v>418</v>
      </c>
      <c r="D679" s="2" t="s">
        <v>413</v>
      </c>
      <c r="E679" s="2" t="n">
        <v>10</v>
      </c>
      <c r="F679" s="2" t="n">
        <v>11</v>
      </c>
      <c r="G679" s="2" t="n">
        <v>5</v>
      </c>
      <c r="H679" s="2" t="n">
        <v>2</v>
      </c>
      <c r="I679" s="2" t="n">
        <v>0</v>
      </c>
      <c r="J679" s="2" t="n">
        <v>60</v>
      </c>
      <c r="K679" s="2" t="n">
        <v>82</v>
      </c>
      <c r="L679" s="11" t="b">
        <f aca="false">TRUE()</f>
        <v>1</v>
      </c>
      <c r="M679" s="2" t="s">
        <v>410</v>
      </c>
      <c r="N679" s="2" t="n">
        <f aca="false">IF(E679&gt;0,F679/E679,"")</f>
        <v>1.1</v>
      </c>
      <c r="O679" s="2" t="n">
        <f aca="false">IF(AND(E679&gt;0,L679),J679/E679,"")</f>
        <v>6</v>
      </c>
    </row>
    <row r="680" customFormat="false" ht="15" hidden="false" customHeight="false" outlineLevel="0" collapsed="false">
      <c r="A680" s="2" t="n">
        <v>2022</v>
      </c>
      <c r="B680" s="2" t="s">
        <v>28</v>
      </c>
      <c r="C680" s="2" t="s">
        <v>408</v>
      </c>
      <c r="D680" s="2" t="s">
        <v>29</v>
      </c>
      <c r="E680" s="2" t="n">
        <v>6</v>
      </c>
      <c r="F680" s="2" t="n">
        <v>32</v>
      </c>
      <c r="G680" s="2" t="n">
        <v>26</v>
      </c>
      <c r="H680" s="2" t="n">
        <v>12</v>
      </c>
      <c r="I680" s="2" t="n">
        <v>4</v>
      </c>
      <c r="J680" s="2" t="n">
        <v>91</v>
      </c>
      <c r="K680" s="2" t="n">
        <v>129</v>
      </c>
      <c r="L680" s="11" t="b">
        <f aca="false">TRUE()</f>
        <v>1</v>
      </c>
      <c r="M680" s="2" t="s">
        <v>406</v>
      </c>
      <c r="N680" s="2" t="n">
        <f aca="false">IF(E680&gt;0,F680/E680,"")</f>
        <v>5.33333333333333</v>
      </c>
      <c r="O680" s="2" t="n">
        <f aca="false">IF(AND(E680&gt;0,L680),J680/E680,"")</f>
        <v>15.1666666666667</v>
      </c>
    </row>
    <row r="681" customFormat="false" ht="15" hidden="false" customHeight="false" outlineLevel="0" collapsed="false">
      <c r="A681" s="2" t="n">
        <v>2022</v>
      </c>
      <c r="B681" s="2" t="s">
        <v>133</v>
      </c>
      <c r="C681" s="2" t="s">
        <v>420</v>
      </c>
      <c r="D681" s="2" t="s">
        <v>24</v>
      </c>
      <c r="E681" s="2" t="n">
        <v>7</v>
      </c>
      <c r="F681" s="2" t="n">
        <v>39</v>
      </c>
      <c r="G681" s="2" t="n">
        <v>24</v>
      </c>
      <c r="H681" s="2" t="n">
        <v>12</v>
      </c>
      <c r="I681" s="2" t="n">
        <v>1</v>
      </c>
      <c r="J681" s="2" t="n">
        <v>160</v>
      </c>
      <c r="K681" s="2" t="n">
        <v>219</v>
      </c>
      <c r="L681" s="11" t="b">
        <f aca="false">TRUE()</f>
        <v>1</v>
      </c>
      <c r="M681" s="2" t="s">
        <v>406</v>
      </c>
      <c r="N681" s="2" t="n">
        <f aca="false">IF(E681&gt;0,F681/E681,"")</f>
        <v>5.57142857142857</v>
      </c>
      <c r="O681" s="2" t="n">
        <f aca="false">IF(AND(E681&gt;0,L681),J681/E681,"")</f>
        <v>22.8571428571429</v>
      </c>
    </row>
    <row r="682" customFormat="false" ht="15" hidden="false" customHeight="false" outlineLevel="0" collapsed="false">
      <c r="A682" s="2" t="n">
        <v>2022</v>
      </c>
      <c r="B682" s="2" t="s">
        <v>222</v>
      </c>
      <c r="C682" s="2" t="s">
        <v>545</v>
      </c>
      <c r="D682" s="2" t="s">
        <v>29</v>
      </c>
      <c r="E682" s="2" t="n">
        <v>5</v>
      </c>
      <c r="F682" s="2" t="n">
        <v>20</v>
      </c>
      <c r="G682" s="2" t="n">
        <v>11</v>
      </c>
      <c r="H682" s="2" t="n">
        <v>1</v>
      </c>
      <c r="I682" s="2" t="n">
        <v>6</v>
      </c>
      <c r="J682" s="2" t="n">
        <v>90</v>
      </c>
      <c r="K682" s="2" t="n">
        <v>113</v>
      </c>
      <c r="L682" s="11" t="b">
        <f aca="false">TRUE()</f>
        <v>1</v>
      </c>
      <c r="M682" s="2" t="s">
        <v>406</v>
      </c>
      <c r="N682" s="2" t="n">
        <f aca="false">IF(E682&gt;0,F682/E682,"")</f>
        <v>4</v>
      </c>
      <c r="O682" s="2" t="n">
        <f aca="false">IF(AND(E682&gt;0,L682),J682/E682,"")</f>
        <v>18</v>
      </c>
    </row>
    <row r="683" customFormat="false" ht="15" hidden="false" customHeight="false" outlineLevel="0" collapsed="false">
      <c r="A683" s="2" t="n">
        <v>2022</v>
      </c>
      <c r="B683" s="2" t="s">
        <v>554</v>
      </c>
      <c r="C683" s="2" t="s">
        <v>418</v>
      </c>
      <c r="D683" s="2" t="s">
        <v>413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11" t="b">
        <f aca="false">TRUE()</f>
        <v>1</v>
      </c>
      <c r="M683" s="2" t="s">
        <v>410</v>
      </c>
      <c r="N683" s="2" t="str">
        <f aca="false">IF(E683&gt;0,F683/E683,"")</f>
        <v/>
      </c>
      <c r="O683" s="2" t="str">
        <f aca="false">IF(AND(E683&gt;0,L683),J683/E683,"")</f>
        <v/>
      </c>
    </row>
    <row r="684" customFormat="false" ht="15" hidden="false" customHeight="false" outlineLevel="0" collapsed="false">
      <c r="A684" s="2" t="n">
        <v>2022</v>
      </c>
      <c r="B684" s="2" t="s">
        <v>283</v>
      </c>
      <c r="C684" s="2" t="s">
        <v>545</v>
      </c>
      <c r="D684" s="2" t="s">
        <v>117</v>
      </c>
      <c r="E684" s="2" t="n">
        <v>10</v>
      </c>
      <c r="F684" s="2" t="n">
        <v>3</v>
      </c>
      <c r="G684" s="2" t="n">
        <v>2</v>
      </c>
      <c r="H684" s="2" t="n">
        <v>1</v>
      </c>
      <c r="I684" s="2" t="n">
        <v>0</v>
      </c>
      <c r="J684" s="2" t="n">
        <v>43</v>
      </c>
      <c r="K684" s="2" t="n">
        <v>52</v>
      </c>
      <c r="L684" s="11" t="b">
        <f aca="false">TRUE()</f>
        <v>1</v>
      </c>
      <c r="M684" s="2" t="s">
        <v>406</v>
      </c>
      <c r="N684" s="2" t="n">
        <f aca="false">IF(E684&gt;0,F684/E684,"")</f>
        <v>0.3</v>
      </c>
      <c r="O684" s="2" t="n">
        <f aca="false">IF(AND(E684&gt;0,L684),J684/E684,"")</f>
        <v>4.3</v>
      </c>
    </row>
    <row r="685" customFormat="false" ht="15" hidden="false" customHeight="false" outlineLevel="0" collapsed="false">
      <c r="A685" s="2" t="n">
        <v>2022</v>
      </c>
      <c r="B685" s="2" t="s">
        <v>30</v>
      </c>
      <c r="C685" s="2" t="s">
        <v>405</v>
      </c>
      <c r="D685" s="2" t="s">
        <v>24</v>
      </c>
      <c r="E685" s="2" t="n">
        <v>10</v>
      </c>
      <c r="F685" s="2" t="n">
        <v>47</v>
      </c>
      <c r="G685" s="2" t="n">
        <v>33</v>
      </c>
      <c r="H685" s="2" t="n">
        <v>19</v>
      </c>
      <c r="I685" s="2" t="n">
        <v>6</v>
      </c>
      <c r="J685" s="2" t="n">
        <v>188</v>
      </c>
      <c r="K685" s="2" t="n">
        <v>252</v>
      </c>
      <c r="L685" s="11" t="b">
        <f aca="false">TRUE()</f>
        <v>1</v>
      </c>
      <c r="M685" s="2" t="s">
        <v>406</v>
      </c>
      <c r="N685" s="2" t="n">
        <f aca="false">IF(E685&gt;0,F685/E685,"")</f>
        <v>4.7</v>
      </c>
      <c r="O685" s="2" t="n">
        <f aca="false">IF(AND(E685&gt;0,L685),J685/E685,"")</f>
        <v>18.8</v>
      </c>
    </row>
    <row r="686" customFormat="false" ht="15" hidden="false" customHeight="false" outlineLevel="0" collapsed="false">
      <c r="A686" s="2" t="n">
        <v>2022</v>
      </c>
      <c r="B686" s="2" t="s">
        <v>110</v>
      </c>
      <c r="C686" s="2" t="s">
        <v>420</v>
      </c>
      <c r="D686" s="2" t="s">
        <v>83</v>
      </c>
      <c r="E686" s="2" t="n">
        <v>6</v>
      </c>
      <c r="F686" s="2" t="n">
        <v>2</v>
      </c>
      <c r="G686" s="2" t="n">
        <v>2</v>
      </c>
      <c r="H686" s="2" t="n">
        <v>0</v>
      </c>
      <c r="I686" s="2" t="n">
        <v>0</v>
      </c>
      <c r="J686" s="2" t="n">
        <v>35</v>
      </c>
      <c r="K686" s="2" t="n">
        <v>39</v>
      </c>
      <c r="L686" s="11" t="b">
        <f aca="false">TRUE()</f>
        <v>1</v>
      </c>
      <c r="M686" s="2" t="s">
        <v>406</v>
      </c>
      <c r="N686" s="2" t="n">
        <f aca="false">IF(E686&gt;0,F686/E686,"")</f>
        <v>0.333333333333333</v>
      </c>
      <c r="O686" s="2" t="n">
        <f aca="false">IF(AND(E686&gt;0,L686),J686/E686,"")</f>
        <v>5.83333333333333</v>
      </c>
    </row>
    <row r="687" customFormat="false" ht="15" hidden="false" customHeight="false" outlineLevel="0" collapsed="false">
      <c r="A687" s="2" t="n">
        <v>2022</v>
      </c>
      <c r="B687" s="2" t="s">
        <v>442</v>
      </c>
      <c r="C687" s="2" t="s">
        <v>408</v>
      </c>
      <c r="D687" s="2" t="s">
        <v>409</v>
      </c>
      <c r="E687" s="2" t="n">
        <v>9</v>
      </c>
      <c r="F687" s="2" t="n">
        <v>2</v>
      </c>
      <c r="G687" s="2" t="n">
        <v>1</v>
      </c>
      <c r="H687" s="2" t="n">
        <v>0</v>
      </c>
      <c r="I687" s="2" t="n">
        <v>0</v>
      </c>
      <c r="J687" s="2" t="n">
        <v>118</v>
      </c>
      <c r="K687" s="2" t="n">
        <v>122</v>
      </c>
      <c r="L687" s="11" t="b">
        <f aca="false">TRUE()</f>
        <v>1</v>
      </c>
      <c r="M687" s="2" t="s">
        <v>410</v>
      </c>
      <c r="N687" s="2" t="n">
        <f aca="false">IF(E687&gt;0,F687/E687,"")</f>
        <v>0.222222222222222</v>
      </c>
      <c r="O687" s="2" t="n">
        <f aca="false">IF(AND(E687&gt;0,L687),J687/E687,"")</f>
        <v>13.1111111111111</v>
      </c>
    </row>
    <row r="688" customFormat="false" ht="15" hidden="false" customHeight="false" outlineLevel="0" collapsed="false">
      <c r="A688" s="2" t="n">
        <v>2022</v>
      </c>
      <c r="B688" s="2" t="s">
        <v>144</v>
      </c>
      <c r="C688" s="2" t="s">
        <v>418</v>
      </c>
      <c r="D688" s="2" t="s">
        <v>117</v>
      </c>
      <c r="E688" s="2" t="n">
        <v>10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72</v>
      </c>
      <c r="K688" s="2" t="n">
        <v>76</v>
      </c>
      <c r="L688" s="11" t="b">
        <f aca="false">TRUE()</f>
        <v>1</v>
      </c>
      <c r="M688" s="2" t="s">
        <v>406</v>
      </c>
      <c r="N688" s="2" t="n">
        <f aca="false">IF(E688&gt;0,F688/E688,"")</f>
        <v>0</v>
      </c>
      <c r="O688" s="2" t="n">
        <f aca="false">IF(AND(E688&gt;0,L688),J688/E688,"")</f>
        <v>7.2</v>
      </c>
    </row>
    <row r="689" customFormat="false" ht="15" hidden="false" customHeight="false" outlineLevel="0" collapsed="false">
      <c r="A689" s="2" t="n">
        <v>2022</v>
      </c>
      <c r="B689" s="2" t="s">
        <v>217</v>
      </c>
      <c r="C689" s="2" t="s">
        <v>405</v>
      </c>
      <c r="D689" s="2" t="s">
        <v>117</v>
      </c>
      <c r="E689" s="2" t="n">
        <v>9</v>
      </c>
      <c r="F689" s="2" t="n">
        <v>6</v>
      </c>
      <c r="G689" s="2" t="n">
        <v>6</v>
      </c>
      <c r="H689" s="2" t="n">
        <v>2</v>
      </c>
      <c r="I689" s="2" t="n">
        <v>0</v>
      </c>
      <c r="J689" s="2" t="n">
        <v>48</v>
      </c>
      <c r="K689" s="2" t="n">
        <v>56</v>
      </c>
      <c r="L689" s="11" t="b">
        <f aca="false">TRUE()</f>
        <v>1</v>
      </c>
      <c r="M689" s="2" t="s">
        <v>406</v>
      </c>
      <c r="N689" s="2" t="n">
        <f aca="false">IF(E689&gt;0,F689/E689,"")</f>
        <v>0.666666666666667</v>
      </c>
      <c r="O689" s="2" t="n">
        <f aca="false">IF(AND(E689&gt;0,L689),J689/E689,"")</f>
        <v>5.33333333333333</v>
      </c>
    </row>
    <row r="690" customFormat="false" ht="15" hidden="false" customHeight="false" outlineLevel="0" collapsed="false">
      <c r="A690" s="2" t="n">
        <v>2022</v>
      </c>
      <c r="B690" s="2" t="s">
        <v>215</v>
      </c>
      <c r="C690" s="2" t="s">
        <v>420</v>
      </c>
      <c r="D690" s="2" t="s">
        <v>83</v>
      </c>
      <c r="E690" s="2" t="n">
        <v>8</v>
      </c>
      <c r="F690" s="2" t="n">
        <v>1</v>
      </c>
      <c r="G690" s="2" t="n">
        <v>1</v>
      </c>
      <c r="H690" s="2" t="n">
        <v>1</v>
      </c>
      <c r="I690" s="2" t="n">
        <v>0</v>
      </c>
      <c r="J690" s="2" t="n">
        <v>32</v>
      </c>
      <c r="K690" s="2" t="n">
        <v>35</v>
      </c>
      <c r="L690" s="11" t="b">
        <f aca="false">TRUE()</f>
        <v>1</v>
      </c>
      <c r="M690" s="2" t="s">
        <v>406</v>
      </c>
      <c r="N690" s="2" t="n">
        <f aca="false">IF(E690&gt;0,F690/E690,"")</f>
        <v>0.125</v>
      </c>
      <c r="O690" s="2" t="n">
        <f aca="false">IF(AND(E690&gt;0,L690),J690/E690,"")</f>
        <v>4</v>
      </c>
    </row>
    <row r="691" customFormat="false" ht="15" hidden="false" customHeight="false" outlineLevel="0" collapsed="false">
      <c r="A691" s="2" t="n">
        <v>2022</v>
      </c>
      <c r="B691" s="2" t="s">
        <v>190</v>
      </c>
      <c r="C691" s="2" t="s">
        <v>518</v>
      </c>
      <c r="D691" s="2" t="s">
        <v>117</v>
      </c>
      <c r="E691" s="2" t="n">
        <v>10</v>
      </c>
      <c r="F691" s="2" t="n">
        <v>2</v>
      </c>
      <c r="G691" s="2" t="n">
        <v>1</v>
      </c>
      <c r="H691" s="2" t="n">
        <v>1</v>
      </c>
      <c r="I691" s="2" t="n">
        <v>1</v>
      </c>
      <c r="J691" s="2" t="n">
        <v>58</v>
      </c>
      <c r="K691" s="2" t="n">
        <v>61</v>
      </c>
      <c r="L691" s="11" t="b">
        <f aca="false">TRUE()</f>
        <v>1</v>
      </c>
      <c r="M691" s="2" t="s">
        <v>406</v>
      </c>
      <c r="N691" s="2" t="n">
        <f aca="false">IF(E691&gt;0,F691/E691,"")</f>
        <v>0.2</v>
      </c>
      <c r="O691" s="2" t="n">
        <f aca="false">IF(AND(E691&gt;0,L691),J691/E691,"")</f>
        <v>5.8</v>
      </c>
    </row>
    <row r="692" customFormat="false" ht="15" hidden="false" customHeight="false" outlineLevel="0" collapsed="false">
      <c r="A692" s="2" t="n">
        <v>2022</v>
      </c>
      <c r="B692" s="2" t="s">
        <v>164</v>
      </c>
      <c r="C692" s="2" t="s">
        <v>545</v>
      </c>
      <c r="D692" s="2" t="s">
        <v>83</v>
      </c>
      <c r="E692" s="2" t="n">
        <v>10</v>
      </c>
      <c r="F692" s="2" t="n">
        <v>6</v>
      </c>
      <c r="G692" s="2" t="n">
        <v>3</v>
      </c>
      <c r="H692" s="2" t="n">
        <v>1</v>
      </c>
      <c r="I692" s="2" t="n">
        <v>0</v>
      </c>
      <c r="J692" s="2" t="n">
        <v>74</v>
      </c>
      <c r="K692" s="2" t="n">
        <v>82</v>
      </c>
      <c r="L692" s="11" t="b">
        <f aca="false">TRUE()</f>
        <v>1</v>
      </c>
      <c r="M692" s="2" t="s">
        <v>406</v>
      </c>
      <c r="N692" s="2" t="n">
        <f aca="false">IF(E692&gt;0,F692/E692,"")</f>
        <v>0.6</v>
      </c>
      <c r="O692" s="2" t="n">
        <f aca="false">IF(AND(E692&gt;0,L692),J692/E692,"")</f>
        <v>7.4</v>
      </c>
    </row>
    <row r="693" customFormat="false" ht="15" hidden="false" customHeight="false" outlineLevel="0" collapsed="false">
      <c r="A693" s="2" t="n">
        <v>2022</v>
      </c>
      <c r="B693" s="2" t="s">
        <v>44</v>
      </c>
      <c r="C693" s="2" t="s">
        <v>412</v>
      </c>
      <c r="D693" s="2" t="s">
        <v>24</v>
      </c>
      <c r="E693" s="2" t="n">
        <v>10</v>
      </c>
      <c r="F693" s="2" t="n">
        <v>60</v>
      </c>
      <c r="G693" s="2" t="n">
        <v>36</v>
      </c>
      <c r="H693" s="2" t="n">
        <v>17</v>
      </c>
      <c r="I693" s="2" t="n">
        <v>16</v>
      </c>
      <c r="J693" s="2" t="n">
        <v>275</v>
      </c>
      <c r="K693" s="2" t="n">
        <v>353</v>
      </c>
      <c r="L693" s="11" t="b">
        <f aca="false">TRUE()</f>
        <v>1</v>
      </c>
      <c r="M693" s="2" t="s">
        <v>406</v>
      </c>
      <c r="N693" s="2" t="n">
        <f aca="false">IF(E693&gt;0,F693/E693,"")</f>
        <v>6</v>
      </c>
      <c r="O693" s="2" t="n">
        <f aca="false">IF(AND(E693&gt;0,L693),J693/E693,"")</f>
        <v>27.5</v>
      </c>
    </row>
    <row r="694" customFormat="false" ht="15" hidden="false" customHeight="false" outlineLevel="0" collapsed="false">
      <c r="A694" s="2" t="n">
        <v>2022</v>
      </c>
      <c r="B694" s="2" t="s">
        <v>255</v>
      </c>
      <c r="C694" s="2" t="s">
        <v>418</v>
      </c>
      <c r="D694" s="2" t="s">
        <v>115</v>
      </c>
      <c r="E694" s="2" t="n">
        <v>10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29</v>
      </c>
      <c r="K694" s="2" t="n">
        <v>31</v>
      </c>
      <c r="L694" s="11" t="b">
        <f aca="false">TRUE()</f>
        <v>1</v>
      </c>
      <c r="M694" s="2" t="s">
        <v>406</v>
      </c>
      <c r="N694" s="2" t="n">
        <f aca="false">IF(E694&gt;0,F694/E694,"")</f>
        <v>0</v>
      </c>
      <c r="O694" s="2" t="n">
        <f aca="false">IF(AND(E694&gt;0,L694),J694/E694,"")</f>
        <v>2.9</v>
      </c>
    </row>
    <row r="695" customFormat="false" ht="15" hidden="false" customHeight="false" outlineLevel="0" collapsed="false">
      <c r="A695" s="2" t="n">
        <v>2022</v>
      </c>
      <c r="B695" s="2" t="s">
        <v>157</v>
      </c>
      <c r="C695" s="2" t="s">
        <v>414</v>
      </c>
      <c r="D695" s="2" t="s">
        <v>29</v>
      </c>
      <c r="E695" s="2" t="n">
        <v>7</v>
      </c>
      <c r="F695" s="2" t="n">
        <v>25</v>
      </c>
      <c r="G695" s="2" t="n">
        <v>17</v>
      </c>
      <c r="H695" s="2" t="n">
        <v>6</v>
      </c>
      <c r="I695" s="2" t="n">
        <v>10</v>
      </c>
      <c r="J695" s="2" t="n">
        <v>132</v>
      </c>
      <c r="K695" s="2" t="n">
        <v>166</v>
      </c>
      <c r="L695" s="11" t="b">
        <f aca="false">TRUE()</f>
        <v>1</v>
      </c>
      <c r="M695" s="2" t="s">
        <v>406</v>
      </c>
      <c r="N695" s="2" t="n">
        <f aca="false">IF(E695&gt;0,F695/E695,"")</f>
        <v>3.57142857142857</v>
      </c>
      <c r="O695" s="2" t="n">
        <f aca="false">IF(AND(E695&gt;0,L695),J695/E695,"")</f>
        <v>18.8571428571429</v>
      </c>
    </row>
    <row r="696" customFormat="false" ht="15" hidden="false" customHeight="false" outlineLevel="0" collapsed="false">
      <c r="A696" s="2" t="n">
        <v>2022</v>
      </c>
      <c r="B696" s="2" t="s">
        <v>348</v>
      </c>
      <c r="C696" s="2" t="s">
        <v>405</v>
      </c>
      <c r="D696" s="2" t="s">
        <v>83</v>
      </c>
      <c r="E696" s="2" t="n">
        <v>4</v>
      </c>
      <c r="F696" s="2" t="n">
        <v>2</v>
      </c>
      <c r="G696" s="2" t="n">
        <v>2</v>
      </c>
      <c r="H696" s="2" t="n">
        <v>0</v>
      </c>
      <c r="I696" s="2" t="n">
        <v>0</v>
      </c>
      <c r="J696" s="2" t="n">
        <v>18</v>
      </c>
      <c r="K696" s="2" t="n">
        <v>20</v>
      </c>
      <c r="L696" s="11" t="b">
        <f aca="false">TRUE()</f>
        <v>1</v>
      </c>
      <c r="M696" s="2" t="s">
        <v>406</v>
      </c>
      <c r="N696" s="2" t="n">
        <f aca="false">IF(E696&gt;0,F696/E696,"")</f>
        <v>0.5</v>
      </c>
      <c r="O696" s="2" t="n">
        <f aca="false">IF(AND(E696&gt;0,L696),J696/E696,"")</f>
        <v>4.5</v>
      </c>
    </row>
    <row r="697" customFormat="false" ht="15" hidden="false" customHeight="false" outlineLevel="0" collapsed="false">
      <c r="A697" s="2" t="n">
        <v>2022</v>
      </c>
      <c r="B697" s="2" t="s">
        <v>589</v>
      </c>
      <c r="C697" s="2" t="s">
        <v>408</v>
      </c>
      <c r="D697" s="2" t="s">
        <v>413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11" t="b">
        <f aca="false">TRUE()</f>
        <v>1</v>
      </c>
      <c r="M697" s="2" t="s">
        <v>410</v>
      </c>
      <c r="N697" s="2" t="str">
        <f aca="false">IF(E697&gt;0,F697/E697,"")</f>
        <v/>
      </c>
      <c r="O697" s="2" t="str">
        <f aca="false">IF(AND(E697&gt;0,L697),J697/E697,"")</f>
        <v/>
      </c>
    </row>
    <row r="698" customFormat="false" ht="15" hidden="false" customHeight="false" outlineLevel="0" collapsed="false">
      <c r="A698" s="2" t="n">
        <v>2022</v>
      </c>
      <c r="B698" s="2" t="s">
        <v>40</v>
      </c>
      <c r="C698" s="2" t="s">
        <v>518</v>
      </c>
      <c r="D698" s="2" t="s">
        <v>29</v>
      </c>
      <c r="E698" s="2" t="n">
        <v>10</v>
      </c>
      <c r="F698" s="2" t="n">
        <v>65</v>
      </c>
      <c r="G698" s="2" t="n">
        <v>41</v>
      </c>
      <c r="H698" s="2" t="n">
        <v>11</v>
      </c>
      <c r="I698" s="2" t="n">
        <v>3</v>
      </c>
      <c r="J698" s="2" t="n">
        <v>79</v>
      </c>
      <c r="K698" s="2" t="n">
        <v>149</v>
      </c>
      <c r="L698" s="11" t="b">
        <f aca="false">TRUE()</f>
        <v>1</v>
      </c>
      <c r="M698" s="2" t="s">
        <v>406</v>
      </c>
      <c r="N698" s="2" t="n">
        <f aca="false">IF(E698&gt;0,F698/E698,"")</f>
        <v>6.5</v>
      </c>
      <c r="O698" s="2" t="n">
        <f aca="false">IF(AND(E698&gt;0,L698),J698/E698,"")</f>
        <v>7.9</v>
      </c>
    </row>
    <row r="699" customFormat="false" ht="15" hidden="false" customHeight="false" outlineLevel="0" collapsed="false">
      <c r="A699" s="2" t="n">
        <v>2022</v>
      </c>
      <c r="B699" s="2" t="s">
        <v>347</v>
      </c>
      <c r="C699" s="2" t="s">
        <v>405</v>
      </c>
      <c r="D699" s="2" t="s">
        <v>83</v>
      </c>
      <c r="E699" s="2" t="n">
        <v>3</v>
      </c>
      <c r="F699" s="2" t="n">
        <v>1</v>
      </c>
      <c r="G699" s="2" t="n">
        <v>1</v>
      </c>
      <c r="H699" s="2" t="n">
        <v>0</v>
      </c>
      <c r="I699" s="2" t="n">
        <v>1</v>
      </c>
      <c r="J699" s="2" t="n">
        <v>22</v>
      </c>
      <c r="K699" s="2" t="n">
        <v>23</v>
      </c>
      <c r="L699" s="11" t="b">
        <f aca="false">TRUE()</f>
        <v>1</v>
      </c>
      <c r="M699" s="2" t="s">
        <v>406</v>
      </c>
      <c r="N699" s="2" t="n">
        <f aca="false">IF(E699&gt;0,F699/E699,"")</f>
        <v>0.333333333333333</v>
      </c>
      <c r="O699" s="2" t="n">
        <f aca="false">IF(AND(E699&gt;0,L699),J699/E699,"")</f>
        <v>7.33333333333333</v>
      </c>
    </row>
    <row r="700" customFormat="false" ht="15" hidden="false" customHeight="false" outlineLevel="0" collapsed="false">
      <c r="A700" s="2" t="n">
        <v>2022</v>
      </c>
      <c r="B700" s="2" t="s">
        <v>224</v>
      </c>
      <c r="C700" s="2" t="s">
        <v>408</v>
      </c>
      <c r="D700" s="2" t="s">
        <v>83</v>
      </c>
      <c r="E700" s="2" t="n">
        <v>10</v>
      </c>
      <c r="F700" s="2" t="n">
        <v>3</v>
      </c>
      <c r="G700" s="2" t="n">
        <v>2</v>
      </c>
      <c r="H700" s="2" t="n">
        <v>2</v>
      </c>
      <c r="I700" s="2" t="n">
        <v>0</v>
      </c>
      <c r="J700" s="2" t="n">
        <v>63</v>
      </c>
      <c r="K700" s="2" t="n">
        <v>69</v>
      </c>
      <c r="L700" s="11" t="b">
        <f aca="false">TRUE()</f>
        <v>1</v>
      </c>
      <c r="M700" s="2" t="s">
        <v>406</v>
      </c>
      <c r="N700" s="2" t="n">
        <f aca="false">IF(E700&gt;0,F700/E700,"")</f>
        <v>0.3</v>
      </c>
      <c r="O700" s="2" t="n">
        <f aca="false">IF(AND(E700&gt;0,L700),J700/E700,"")</f>
        <v>6.3</v>
      </c>
    </row>
    <row r="701" customFormat="false" ht="15" hidden="false" customHeight="false" outlineLevel="0" collapsed="false">
      <c r="A701" s="2" t="n">
        <v>2022</v>
      </c>
      <c r="B701" s="2" t="s">
        <v>269</v>
      </c>
      <c r="C701" s="2" t="s">
        <v>405</v>
      </c>
      <c r="D701" s="2" t="s">
        <v>115</v>
      </c>
      <c r="E701" s="2" t="n">
        <v>8</v>
      </c>
      <c r="F701" s="2" t="n">
        <v>4</v>
      </c>
      <c r="G701" s="2" t="n">
        <v>3</v>
      </c>
      <c r="H701" s="2" t="n">
        <v>2</v>
      </c>
      <c r="I701" s="2" t="n">
        <v>0</v>
      </c>
      <c r="J701" s="2" t="n">
        <v>27</v>
      </c>
      <c r="K701" s="2" t="n">
        <v>33</v>
      </c>
      <c r="L701" s="11" t="b">
        <f aca="false">TRUE()</f>
        <v>1</v>
      </c>
      <c r="M701" s="2" t="s">
        <v>406</v>
      </c>
      <c r="N701" s="2" t="n">
        <f aca="false">IF(E701&gt;0,F701/E701,"")</f>
        <v>0.5</v>
      </c>
      <c r="O701" s="2" t="n">
        <f aca="false">IF(AND(E701&gt;0,L701),J701/E701,"")</f>
        <v>3.375</v>
      </c>
    </row>
    <row r="702" customFormat="false" ht="15" hidden="false" customHeight="false" outlineLevel="0" collapsed="false">
      <c r="A702" s="2" t="n">
        <v>2022</v>
      </c>
      <c r="B702" s="2" t="s">
        <v>446</v>
      </c>
      <c r="C702" s="2" t="s">
        <v>414</v>
      </c>
      <c r="D702" s="2" t="s">
        <v>29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11" t="b">
        <f aca="false">TRUE()</f>
        <v>1</v>
      </c>
      <c r="M702" s="2" t="s">
        <v>410</v>
      </c>
      <c r="N702" s="2" t="str">
        <f aca="false">IF(E702&gt;0,F702/E702,"")</f>
        <v/>
      </c>
      <c r="O702" s="2" t="str">
        <f aca="false">IF(AND(E702&gt;0,L702),J702/E702,"")</f>
        <v/>
      </c>
    </row>
    <row r="703" customFormat="false" ht="15" hidden="false" customHeight="false" outlineLevel="0" collapsed="false">
      <c r="A703" s="2" t="n">
        <v>2022</v>
      </c>
      <c r="B703" s="2" t="s">
        <v>188</v>
      </c>
      <c r="C703" s="2" t="s">
        <v>418</v>
      </c>
      <c r="D703" s="2" t="s">
        <v>83</v>
      </c>
      <c r="E703" s="2" t="n">
        <v>10</v>
      </c>
      <c r="F703" s="2" t="n">
        <v>8</v>
      </c>
      <c r="G703" s="2" t="n">
        <v>6</v>
      </c>
      <c r="H703" s="2" t="n">
        <v>2</v>
      </c>
      <c r="I703" s="2" t="n">
        <v>2</v>
      </c>
      <c r="J703" s="2" t="n">
        <v>79</v>
      </c>
      <c r="K703" s="2" t="n">
        <v>90</v>
      </c>
      <c r="L703" s="11" t="b">
        <f aca="false">TRUE()</f>
        <v>1</v>
      </c>
      <c r="M703" s="2" t="s">
        <v>406</v>
      </c>
      <c r="N703" s="2" t="n">
        <f aca="false">IF(E703&gt;0,F703/E703,"")</f>
        <v>0.8</v>
      </c>
      <c r="O703" s="2" t="n">
        <f aca="false">IF(AND(E703&gt;0,L703),J703/E703,"")</f>
        <v>7.9</v>
      </c>
    </row>
    <row r="704" customFormat="false" ht="15" hidden="false" customHeight="false" outlineLevel="0" collapsed="false">
      <c r="A704" s="2" t="n">
        <v>2022</v>
      </c>
      <c r="B704" s="2" t="s">
        <v>227</v>
      </c>
      <c r="C704" s="2" t="s">
        <v>518</v>
      </c>
      <c r="D704" s="2" t="s">
        <v>83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11" t="b">
        <f aca="false">TRUE()</f>
        <v>1</v>
      </c>
      <c r="M704" s="2" t="s">
        <v>410</v>
      </c>
      <c r="N704" s="2" t="str">
        <f aca="false">IF(E704&gt;0,F704/E704,"")</f>
        <v/>
      </c>
      <c r="O704" s="2" t="str">
        <f aca="false">IF(AND(E704&gt;0,L704),J704/E704,"")</f>
        <v/>
      </c>
    </row>
    <row r="705" customFormat="false" ht="15" hidden="false" customHeight="false" outlineLevel="0" collapsed="false">
      <c r="A705" s="2" t="n">
        <v>2022</v>
      </c>
      <c r="B705" s="2" t="s">
        <v>66</v>
      </c>
      <c r="C705" s="2" t="s">
        <v>418</v>
      </c>
      <c r="D705" s="2" t="s">
        <v>29</v>
      </c>
      <c r="E705" s="2" t="n">
        <v>10</v>
      </c>
      <c r="F705" s="2" t="n">
        <v>31</v>
      </c>
      <c r="G705" s="2" t="n">
        <v>13</v>
      </c>
      <c r="H705" s="2" t="n">
        <v>5</v>
      </c>
      <c r="I705" s="2" t="n">
        <v>2</v>
      </c>
      <c r="J705" s="2" t="n">
        <v>145</v>
      </c>
      <c r="K705" s="2" t="n">
        <v>188</v>
      </c>
      <c r="L705" s="11" t="b">
        <f aca="false">TRUE()</f>
        <v>1</v>
      </c>
      <c r="M705" s="2" t="s">
        <v>406</v>
      </c>
      <c r="N705" s="2" t="n">
        <f aca="false">IF(E705&gt;0,F705/E705,"")</f>
        <v>3.1</v>
      </c>
      <c r="O705" s="2" t="n">
        <f aca="false">IF(AND(E705&gt;0,L705),J705/E705,"")</f>
        <v>14.5</v>
      </c>
    </row>
    <row r="706" customFormat="false" ht="15" hidden="false" customHeight="false" outlineLevel="0" collapsed="false">
      <c r="A706" s="2" t="n">
        <v>2022</v>
      </c>
      <c r="B706" s="2" t="s">
        <v>73</v>
      </c>
      <c r="C706" s="2" t="s">
        <v>405</v>
      </c>
      <c r="D706" s="2" t="s">
        <v>29</v>
      </c>
      <c r="E706" s="2" t="n">
        <v>8</v>
      </c>
      <c r="F706" s="2" t="n">
        <v>36</v>
      </c>
      <c r="G706" s="2" t="n">
        <v>27</v>
      </c>
      <c r="H706" s="2" t="n">
        <v>12</v>
      </c>
      <c r="I706" s="2" t="n">
        <v>7</v>
      </c>
      <c r="J706" s="2" t="n">
        <v>156</v>
      </c>
      <c r="K706" s="2" t="n">
        <v>205</v>
      </c>
      <c r="L706" s="11" t="b">
        <f aca="false">TRUE()</f>
        <v>1</v>
      </c>
      <c r="M706" s="2" t="s">
        <v>406</v>
      </c>
      <c r="N706" s="2" t="n">
        <f aca="false">IF(E706&gt;0,F706/E706,"")</f>
        <v>4.5</v>
      </c>
      <c r="O706" s="2" t="n">
        <f aca="false">IF(AND(E706&gt;0,L706),J706/E706,"")</f>
        <v>19.5</v>
      </c>
    </row>
    <row r="707" customFormat="false" ht="15" hidden="false" customHeight="false" outlineLevel="0" collapsed="false">
      <c r="A707" s="2" t="n">
        <v>2022</v>
      </c>
      <c r="B707" s="2" t="s">
        <v>263</v>
      </c>
      <c r="C707" s="2" t="s">
        <v>518</v>
      </c>
      <c r="D707" s="2" t="s">
        <v>83</v>
      </c>
      <c r="E707" s="2" t="n">
        <v>9</v>
      </c>
      <c r="F707" s="2" t="n">
        <v>1</v>
      </c>
      <c r="G707" s="2" t="n">
        <v>0</v>
      </c>
      <c r="H707" s="2" t="n">
        <v>0</v>
      </c>
      <c r="I707" s="2" t="n">
        <v>1</v>
      </c>
      <c r="J707" s="2" t="n">
        <v>48</v>
      </c>
      <c r="K707" s="2" t="n">
        <v>51</v>
      </c>
      <c r="L707" s="11" t="b">
        <f aca="false">TRUE()</f>
        <v>1</v>
      </c>
      <c r="M707" s="2" t="s">
        <v>406</v>
      </c>
      <c r="N707" s="2" t="n">
        <f aca="false">IF(E707&gt;0,F707/E707,"")</f>
        <v>0.111111111111111</v>
      </c>
      <c r="O707" s="2" t="n">
        <f aca="false">IF(AND(E707&gt;0,L707),J707/E707,"")</f>
        <v>5.33333333333333</v>
      </c>
    </row>
    <row r="708" customFormat="false" ht="15" hidden="false" customHeight="false" outlineLevel="0" collapsed="false">
      <c r="A708" s="2" t="n">
        <v>2022</v>
      </c>
      <c r="B708" s="2" t="s">
        <v>590</v>
      </c>
      <c r="C708" s="2" t="s">
        <v>414</v>
      </c>
      <c r="D708" s="2" t="s">
        <v>117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11" t="b">
        <f aca="false">TRUE()</f>
        <v>1</v>
      </c>
      <c r="M708" s="2" t="s">
        <v>410</v>
      </c>
      <c r="N708" s="2" t="str">
        <f aca="false">IF(E708&gt;0,F708/E708,"")</f>
        <v/>
      </c>
      <c r="O708" s="2" t="str">
        <f aca="false">IF(AND(E708&gt;0,L708),J708/E708,"")</f>
        <v/>
      </c>
    </row>
    <row r="709" customFormat="false" ht="15" hidden="false" customHeight="false" outlineLevel="0" collapsed="false">
      <c r="A709" s="2" t="n">
        <v>2022</v>
      </c>
      <c r="B709" s="2" t="s">
        <v>23</v>
      </c>
      <c r="C709" s="2" t="s">
        <v>408</v>
      </c>
      <c r="D709" s="2" t="s">
        <v>24</v>
      </c>
      <c r="E709" s="2" t="n">
        <v>10</v>
      </c>
      <c r="F709" s="2" t="n">
        <v>55</v>
      </c>
      <c r="G709" s="2" t="n">
        <v>38</v>
      </c>
      <c r="H709" s="2" t="n">
        <v>19</v>
      </c>
      <c r="I709" s="2" t="n">
        <v>8</v>
      </c>
      <c r="J709" s="2" t="n">
        <v>285</v>
      </c>
      <c r="K709" s="2" t="n">
        <v>354</v>
      </c>
      <c r="L709" s="11" t="b">
        <f aca="false">TRUE()</f>
        <v>1</v>
      </c>
      <c r="M709" s="2" t="s">
        <v>406</v>
      </c>
      <c r="N709" s="2" t="n">
        <f aca="false">IF(E709&gt;0,F709/E709,"")</f>
        <v>5.5</v>
      </c>
      <c r="O709" s="2" t="n">
        <f aca="false">IF(AND(E709&gt;0,L709),J709/E709,"")</f>
        <v>28.5</v>
      </c>
    </row>
    <row r="710" customFormat="false" ht="15" hidden="false" customHeight="false" outlineLevel="0" collapsed="false">
      <c r="A710" s="2" t="n">
        <v>2022</v>
      </c>
      <c r="B710" s="2" t="s">
        <v>386</v>
      </c>
      <c r="C710" s="2" t="s">
        <v>543</v>
      </c>
      <c r="D710" s="2" t="s">
        <v>117</v>
      </c>
      <c r="E710" s="2" t="n">
        <v>2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4</v>
      </c>
      <c r="K710" s="2" t="n">
        <v>4</v>
      </c>
      <c r="L710" s="11" t="b">
        <f aca="false">TRUE()</f>
        <v>1</v>
      </c>
      <c r="M710" s="2" t="s">
        <v>410</v>
      </c>
      <c r="N710" s="2" t="n">
        <f aca="false">IF(E710&gt;0,F710/E710,"")</f>
        <v>0</v>
      </c>
      <c r="O710" s="2" t="n">
        <f aca="false">IF(AND(E710&gt;0,L710),J710/E710,"")</f>
        <v>2</v>
      </c>
    </row>
    <row r="711" customFormat="false" ht="15" hidden="false" customHeight="false" outlineLevel="0" collapsed="false">
      <c r="A711" s="2" t="n">
        <v>2022</v>
      </c>
      <c r="B711" s="2" t="s">
        <v>153</v>
      </c>
      <c r="C711" s="2" t="s">
        <v>408</v>
      </c>
      <c r="D711" s="2" t="s">
        <v>117</v>
      </c>
      <c r="E711" s="2" t="n">
        <v>10</v>
      </c>
      <c r="F711" s="2" t="n">
        <v>3</v>
      </c>
      <c r="G711" s="2" t="n">
        <v>3</v>
      </c>
      <c r="H711" s="2" t="n">
        <v>0</v>
      </c>
      <c r="I711" s="2" t="n">
        <v>0</v>
      </c>
      <c r="J711" s="2" t="n">
        <v>69</v>
      </c>
      <c r="K711" s="2" t="n">
        <v>74</v>
      </c>
      <c r="L711" s="11" t="b">
        <f aca="false">TRUE()</f>
        <v>1</v>
      </c>
      <c r="M711" s="2" t="s">
        <v>406</v>
      </c>
      <c r="N711" s="2" t="n">
        <f aca="false">IF(E711&gt;0,F711/E711,"")</f>
        <v>0.3</v>
      </c>
      <c r="O711" s="2" t="n">
        <f aca="false">IF(AND(E711&gt;0,L711),J711/E711,"")</f>
        <v>6.9</v>
      </c>
    </row>
    <row r="712" customFormat="false" ht="15" hidden="false" customHeight="false" outlineLevel="0" collapsed="false">
      <c r="A712" s="2" t="n">
        <v>2022</v>
      </c>
      <c r="B712" s="2" t="s">
        <v>373</v>
      </c>
      <c r="C712" s="2" t="s">
        <v>518</v>
      </c>
      <c r="D712" s="2" t="s">
        <v>115</v>
      </c>
      <c r="E712" s="2" t="n">
        <v>2</v>
      </c>
      <c r="F712" s="2" t="n">
        <v>1</v>
      </c>
      <c r="G712" s="2" t="n">
        <v>1</v>
      </c>
      <c r="H712" s="2" t="n">
        <v>0</v>
      </c>
      <c r="I712" s="2" t="n">
        <v>0</v>
      </c>
      <c r="J712" s="2" t="n">
        <v>5</v>
      </c>
      <c r="K712" s="2" t="n">
        <v>6</v>
      </c>
      <c r="L712" s="11" t="b">
        <f aca="false">TRUE()</f>
        <v>1</v>
      </c>
      <c r="M712" s="2" t="s">
        <v>410</v>
      </c>
      <c r="N712" s="2" t="n">
        <f aca="false">IF(E712&gt;0,F712/E712,"")</f>
        <v>0.5</v>
      </c>
      <c r="O712" s="2" t="n">
        <f aca="false">IF(AND(E712&gt;0,L712),J712/E712,"")</f>
        <v>2.5</v>
      </c>
    </row>
    <row r="713" customFormat="false" ht="15" hidden="false" customHeight="false" outlineLevel="0" collapsed="false">
      <c r="A713" s="2" t="n">
        <v>2022</v>
      </c>
      <c r="B713" s="2" t="s">
        <v>558</v>
      </c>
      <c r="C713" s="2" t="s">
        <v>405</v>
      </c>
      <c r="D713" s="2" t="s">
        <v>413</v>
      </c>
      <c r="E713" s="2" t="n">
        <v>10</v>
      </c>
      <c r="F713" s="2" t="n">
        <v>5</v>
      </c>
      <c r="G713" s="2" t="n">
        <v>3</v>
      </c>
      <c r="H713" s="2" t="n">
        <v>1</v>
      </c>
      <c r="I713" s="2" t="n">
        <v>1</v>
      </c>
      <c r="J713" s="2" t="n">
        <v>68</v>
      </c>
      <c r="K713" s="2" t="n">
        <v>82</v>
      </c>
      <c r="L713" s="11" t="b">
        <f aca="false">TRUE()</f>
        <v>1</v>
      </c>
      <c r="M713" s="2" t="s">
        <v>410</v>
      </c>
      <c r="N713" s="2" t="n">
        <f aca="false">IF(E713&gt;0,F713/E713,"")</f>
        <v>0.5</v>
      </c>
      <c r="O713" s="2" t="n">
        <f aca="false">IF(AND(E713&gt;0,L713),J713/E713,"")</f>
        <v>6.8</v>
      </c>
    </row>
    <row r="714" customFormat="false" ht="15" hidden="false" customHeight="false" outlineLevel="0" collapsed="false">
      <c r="A714" s="2" t="n">
        <v>2022</v>
      </c>
      <c r="B714" s="2" t="s">
        <v>591</v>
      </c>
      <c r="C714" s="2" t="s">
        <v>408</v>
      </c>
      <c r="D714" s="2" t="s">
        <v>413</v>
      </c>
      <c r="E714" s="2" t="n">
        <v>8</v>
      </c>
      <c r="F714" s="2" t="n">
        <v>6</v>
      </c>
      <c r="G714" s="2" t="n">
        <v>3</v>
      </c>
      <c r="H714" s="2" t="n">
        <v>2</v>
      </c>
      <c r="I714" s="2" t="n">
        <v>0</v>
      </c>
      <c r="J714" s="2" t="n">
        <v>28</v>
      </c>
      <c r="K714" s="2" t="n">
        <v>34</v>
      </c>
      <c r="L714" s="11" t="b">
        <f aca="false">TRUE()</f>
        <v>1</v>
      </c>
      <c r="M714" s="2" t="s">
        <v>410</v>
      </c>
      <c r="N714" s="2" t="n">
        <f aca="false">IF(E714&gt;0,F714/E714,"")</f>
        <v>0.75</v>
      </c>
      <c r="O714" s="2" t="n">
        <f aca="false">IF(AND(E714&gt;0,L714),J714/E714,"")</f>
        <v>3.5</v>
      </c>
    </row>
    <row r="715" customFormat="false" ht="15" hidden="false" customHeight="false" outlineLevel="0" collapsed="false">
      <c r="A715" s="2" t="n">
        <v>2022</v>
      </c>
      <c r="B715" s="2" t="s">
        <v>232</v>
      </c>
      <c r="C715" s="2" t="s">
        <v>414</v>
      </c>
      <c r="D715" s="2" t="s">
        <v>29</v>
      </c>
      <c r="E715" s="2" t="n">
        <v>6</v>
      </c>
      <c r="F715" s="2" t="n">
        <v>11</v>
      </c>
      <c r="G715" s="2" t="n">
        <v>2</v>
      </c>
      <c r="H715" s="2" t="n">
        <v>1</v>
      </c>
      <c r="I715" s="2" t="n">
        <v>0</v>
      </c>
      <c r="J715" s="2" t="n">
        <v>46</v>
      </c>
      <c r="K715" s="2" t="n">
        <v>60</v>
      </c>
      <c r="L715" s="11" t="b">
        <f aca="false">TRUE()</f>
        <v>1</v>
      </c>
      <c r="M715" s="2" t="s">
        <v>406</v>
      </c>
      <c r="N715" s="2" t="n">
        <f aca="false">IF(E715&gt;0,F715/E715,"")</f>
        <v>1.83333333333333</v>
      </c>
      <c r="O715" s="2" t="n">
        <f aca="false">IF(AND(E715&gt;0,L715),J715/E715,"")</f>
        <v>7.66666666666667</v>
      </c>
    </row>
    <row r="716" customFormat="false" ht="15" hidden="false" customHeight="false" outlineLevel="0" collapsed="false">
      <c r="A716" s="2" t="n">
        <v>2022</v>
      </c>
      <c r="B716" s="2" t="s">
        <v>78</v>
      </c>
      <c r="C716" s="2" t="s">
        <v>420</v>
      </c>
      <c r="D716" s="2" t="s">
        <v>29</v>
      </c>
      <c r="E716" s="2" t="n">
        <v>9</v>
      </c>
      <c r="F716" s="2" t="n">
        <v>19</v>
      </c>
      <c r="G716" s="2" t="n">
        <v>12</v>
      </c>
      <c r="H716" s="2" t="n">
        <v>7</v>
      </c>
      <c r="I716" s="2" t="n">
        <v>4</v>
      </c>
      <c r="J716" s="2" t="n">
        <v>176</v>
      </c>
      <c r="K716" s="2" t="n">
        <v>203</v>
      </c>
      <c r="L716" s="11" t="b">
        <f aca="false">TRUE()</f>
        <v>1</v>
      </c>
      <c r="M716" s="2" t="s">
        <v>406</v>
      </c>
      <c r="N716" s="2" t="n">
        <f aca="false">IF(E716&gt;0,F716/E716,"")</f>
        <v>2.11111111111111</v>
      </c>
      <c r="O716" s="2" t="n">
        <f aca="false">IF(AND(E716&gt;0,L716),J716/E716,"")</f>
        <v>19.5555555555556</v>
      </c>
    </row>
    <row r="717" customFormat="false" ht="15" hidden="false" customHeight="false" outlineLevel="0" collapsed="false">
      <c r="A717" s="2" t="n">
        <v>2022</v>
      </c>
      <c r="B717" s="2" t="s">
        <v>210</v>
      </c>
      <c r="C717" s="2" t="s">
        <v>543</v>
      </c>
      <c r="D717" s="2" t="s">
        <v>24</v>
      </c>
      <c r="E717" s="2" t="n">
        <v>6</v>
      </c>
      <c r="F717" s="2" t="n">
        <v>36</v>
      </c>
      <c r="G717" s="2" t="n">
        <v>28</v>
      </c>
      <c r="H717" s="2" t="n">
        <v>6</v>
      </c>
      <c r="I717" s="2" t="n">
        <v>2</v>
      </c>
      <c r="J717" s="2" t="n">
        <v>42</v>
      </c>
      <c r="K717" s="2" t="n">
        <v>88</v>
      </c>
      <c r="L717" s="11" t="b">
        <f aca="false">TRUE()</f>
        <v>1</v>
      </c>
      <c r="M717" s="2" t="s">
        <v>406</v>
      </c>
      <c r="N717" s="2" t="n">
        <f aca="false">IF(E717&gt;0,F717/E717,"")</f>
        <v>6</v>
      </c>
      <c r="O717" s="2" t="n">
        <f aca="false">IF(AND(E717&gt;0,L717),J717/E717,"")</f>
        <v>7</v>
      </c>
    </row>
    <row r="718" customFormat="false" ht="15" hidden="false" customHeight="false" outlineLevel="0" collapsed="false">
      <c r="A718" s="2" t="n">
        <v>2022</v>
      </c>
      <c r="B718" s="2" t="s">
        <v>313</v>
      </c>
      <c r="C718" s="2" t="s">
        <v>408</v>
      </c>
      <c r="D718" s="2" t="s">
        <v>29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11" t="b">
        <f aca="false">TRUE()</f>
        <v>1</v>
      </c>
      <c r="M718" s="2" t="s">
        <v>410</v>
      </c>
      <c r="N718" s="2" t="str">
        <f aca="false">IF(E718&gt;0,F718/E718,"")</f>
        <v/>
      </c>
      <c r="O718" s="2" t="str">
        <f aca="false">IF(AND(E718&gt;0,L718),J718/E718,"")</f>
        <v/>
      </c>
    </row>
    <row r="719" customFormat="false" ht="15" hidden="false" customHeight="false" outlineLevel="0" collapsed="false">
      <c r="A719" s="2" t="n">
        <v>2022</v>
      </c>
      <c r="B719" s="2" t="s">
        <v>221</v>
      </c>
      <c r="C719" s="2" t="s">
        <v>408</v>
      </c>
      <c r="D719" s="2" t="s">
        <v>117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11" t="b">
        <f aca="false">TRUE()</f>
        <v>1</v>
      </c>
      <c r="M719" s="2" t="s">
        <v>410</v>
      </c>
      <c r="N719" s="2" t="str">
        <f aca="false">IF(E719&gt;0,F719/E719,"")</f>
        <v/>
      </c>
      <c r="O719" s="2" t="str">
        <f aca="false">IF(AND(E719&gt;0,L719),J719/E719,"")</f>
        <v/>
      </c>
    </row>
    <row r="720" customFormat="false" ht="15" hidden="false" customHeight="false" outlineLevel="0" collapsed="false">
      <c r="A720" s="2" t="n">
        <v>2022</v>
      </c>
      <c r="B720" s="2" t="s">
        <v>74</v>
      </c>
      <c r="C720" s="2" t="s">
        <v>405</v>
      </c>
      <c r="D720" s="2" t="s">
        <v>29</v>
      </c>
      <c r="E720" s="2" t="n">
        <v>10</v>
      </c>
      <c r="F720" s="2" t="n">
        <v>55</v>
      </c>
      <c r="G720" s="2" t="n">
        <v>28</v>
      </c>
      <c r="H720" s="2" t="n">
        <v>12</v>
      </c>
      <c r="I720" s="2" t="n">
        <v>7</v>
      </c>
      <c r="J720" s="2" t="n">
        <v>165</v>
      </c>
      <c r="K720" s="2" t="n">
        <v>232</v>
      </c>
      <c r="L720" s="11" t="b">
        <f aca="false">TRUE()</f>
        <v>1</v>
      </c>
      <c r="M720" s="2" t="s">
        <v>406</v>
      </c>
      <c r="N720" s="2" t="n">
        <f aca="false">IF(E720&gt;0,F720/E720,"")</f>
        <v>5.5</v>
      </c>
      <c r="O720" s="2" t="n">
        <f aca="false">IF(AND(E720&gt;0,L720),J720/E720,"")</f>
        <v>16.5</v>
      </c>
    </row>
    <row r="721" customFormat="false" ht="15" hidden="false" customHeight="false" outlineLevel="0" collapsed="false">
      <c r="A721" s="2" t="n">
        <v>2022</v>
      </c>
      <c r="B721" s="2" t="s">
        <v>592</v>
      </c>
      <c r="C721" s="2" t="s">
        <v>408</v>
      </c>
      <c r="D721" s="2" t="s">
        <v>117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11" t="b">
        <f aca="false">TRUE()</f>
        <v>1</v>
      </c>
      <c r="M721" s="2" t="s">
        <v>410</v>
      </c>
      <c r="N721" s="2" t="str">
        <f aca="false">IF(E721&gt;0,F721/E721,"")</f>
        <v/>
      </c>
      <c r="O721" s="2" t="str">
        <f aca="false">IF(AND(E721&gt;0,L721),J721/E721,"")</f>
        <v/>
      </c>
    </row>
    <row r="722" customFormat="false" ht="15" hidden="false" customHeight="false" outlineLevel="0" collapsed="false">
      <c r="A722" s="2" t="n">
        <v>2022</v>
      </c>
      <c r="B722" s="2" t="s">
        <v>335</v>
      </c>
      <c r="C722" s="2" t="s">
        <v>414</v>
      </c>
      <c r="D722" s="2" t="s">
        <v>83</v>
      </c>
      <c r="E722" s="2" t="n">
        <v>5</v>
      </c>
      <c r="F722" s="2" t="n">
        <v>1</v>
      </c>
      <c r="G722" s="2" t="n">
        <v>0</v>
      </c>
      <c r="H722" s="2" t="n">
        <v>0</v>
      </c>
      <c r="I722" s="2" t="n">
        <v>0</v>
      </c>
      <c r="J722" s="2" t="n">
        <v>31</v>
      </c>
      <c r="K722" s="2" t="n">
        <v>32</v>
      </c>
      <c r="L722" s="11" t="b">
        <f aca="false">TRUE()</f>
        <v>1</v>
      </c>
      <c r="M722" s="2" t="s">
        <v>406</v>
      </c>
      <c r="N722" s="2" t="n">
        <f aca="false">IF(E722&gt;0,F722/E722,"")</f>
        <v>0.2</v>
      </c>
      <c r="O722" s="2" t="n">
        <f aca="false">IF(AND(E722&gt;0,L722),J722/E722,"")</f>
        <v>6.2</v>
      </c>
    </row>
    <row r="723" customFormat="false" ht="15" hidden="false" customHeight="false" outlineLevel="0" collapsed="false">
      <c r="A723" s="2" t="n">
        <v>2022</v>
      </c>
      <c r="B723" s="2" t="s">
        <v>560</v>
      </c>
      <c r="C723" s="2" t="s">
        <v>420</v>
      </c>
      <c r="D723" s="2" t="s">
        <v>409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11" t="b">
        <f aca="false">TRUE()</f>
        <v>1</v>
      </c>
      <c r="M723" s="2" t="s">
        <v>410</v>
      </c>
      <c r="N723" s="2" t="str">
        <f aca="false">IF(E723&gt;0,F723/E723,"")</f>
        <v/>
      </c>
      <c r="O723" s="2" t="str">
        <f aca="false">IF(AND(E723&gt;0,L723),J723/E723,"")</f>
        <v/>
      </c>
    </row>
    <row r="724" customFormat="false" ht="15" hidden="false" customHeight="false" outlineLevel="0" collapsed="false">
      <c r="A724" s="2" t="n">
        <v>2022</v>
      </c>
      <c r="B724" s="2" t="s">
        <v>530</v>
      </c>
      <c r="C724" s="2" t="s">
        <v>418</v>
      </c>
      <c r="D724" s="2" t="s">
        <v>24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11" t="b">
        <f aca="false">TRUE()</f>
        <v>1</v>
      </c>
      <c r="M724" s="2" t="s">
        <v>410</v>
      </c>
      <c r="N724" s="2" t="str">
        <f aca="false">IF(E724&gt;0,F724/E724,"")</f>
        <v/>
      </c>
      <c r="O724" s="2" t="str">
        <f aca="false">IF(AND(E724&gt;0,L724),J724/E724,"")</f>
        <v/>
      </c>
    </row>
    <row r="725" customFormat="false" ht="15" hidden="false" customHeight="false" outlineLevel="0" collapsed="false">
      <c r="A725" s="2" t="n">
        <v>2022</v>
      </c>
      <c r="B725" s="2" t="s">
        <v>69</v>
      </c>
      <c r="C725" s="2" t="s">
        <v>405</v>
      </c>
      <c r="D725" s="2" t="s">
        <v>24</v>
      </c>
      <c r="E725" s="2" t="n">
        <v>10</v>
      </c>
      <c r="F725" s="2" t="n">
        <v>46</v>
      </c>
      <c r="G725" s="2" t="n">
        <v>25</v>
      </c>
      <c r="H725" s="2" t="n">
        <v>8</v>
      </c>
      <c r="I725" s="2" t="n">
        <v>5</v>
      </c>
      <c r="J725" s="2" t="n">
        <v>222</v>
      </c>
      <c r="K725" s="2" t="n">
        <v>287</v>
      </c>
      <c r="L725" s="11" t="b">
        <f aca="false">TRUE()</f>
        <v>1</v>
      </c>
      <c r="M725" s="2" t="s">
        <v>406</v>
      </c>
      <c r="N725" s="2" t="n">
        <f aca="false">IF(E725&gt;0,F725/E725,"")</f>
        <v>4.6</v>
      </c>
      <c r="O725" s="2" t="n">
        <f aca="false">IF(AND(E725&gt;0,L725),J725/E725,"")</f>
        <v>22.2</v>
      </c>
    </row>
    <row r="726" customFormat="false" ht="15" hidden="false" customHeight="false" outlineLevel="0" collapsed="false">
      <c r="A726" s="2" t="n">
        <v>2022</v>
      </c>
      <c r="B726" s="2" t="s">
        <v>39</v>
      </c>
      <c r="C726" s="2" t="s">
        <v>518</v>
      </c>
      <c r="D726" s="2" t="s">
        <v>29</v>
      </c>
      <c r="E726" s="2" t="n">
        <v>10</v>
      </c>
      <c r="F726" s="2" t="n">
        <v>59</v>
      </c>
      <c r="G726" s="2" t="n">
        <v>30</v>
      </c>
      <c r="H726" s="2" t="n">
        <v>16</v>
      </c>
      <c r="I726" s="2" t="n">
        <v>6</v>
      </c>
      <c r="J726" s="2" t="n">
        <v>183</v>
      </c>
      <c r="K726" s="2" t="n">
        <v>260</v>
      </c>
      <c r="L726" s="11" t="b">
        <f aca="false">TRUE()</f>
        <v>1</v>
      </c>
      <c r="M726" s="2" t="s">
        <v>406</v>
      </c>
      <c r="N726" s="2" t="n">
        <f aca="false">IF(E726&gt;0,F726/E726,"")</f>
        <v>5.9</v>
      </c>
      <c r="O726" s="2" t="n">
        <f aca="false">IF(AND(E726&gt;0,L726),J726/E726,"")</f>
        <v>18.3</v>
      </c>
    </row>
    <row r="727" customFormat="false" ht="15" hidden="false" customHeight="false" outlineLevel="0" collapsed="false">
      <c r="A727" s="2" t="n">
        <v>2022</v>
      </c>
      <c r="B727" s="2" t="s">
        <v>451</v>
      </c>
      <c r="C727" s="2" t="s">
        <v>405</v>
      </c>
      <c r="D727" s="2" t="s">
        <v>409</v>
      </c>
      <c r="E727" s="2" t="n">
        <v>7</v>
      </c>
      <c r="F727" s="2" t="n">
        <v>1</v>
      </c>
      <c r="G727" s="2" t="n">
        <v>1</v>
      </c>
      <c r="H727" s="2" t="n">
        <v>0</v>
      </c>
      <c r="I727" s="2" t="n">
        <v>0</v>
      </c>
      <c r="J727" s="2" t="n">
        <v>84</v>
      </c>
      <c r="K727" s="2" t="n">
        <v>92</v>
      </c>
      <c r="L727" s="11" t="b">
        <f aca="false">TRUE()</f>
        <v>1</v>
      </c>
      <c r="M727" s="2" t="s">
        <v>410</v>
      </c>
      <c r="N727" s="2" t="n">
        <f aca="false">IF(E727&gt;0,F727/E727,"")</f>
        <v>0.142857142857143</v>
      </c>
      <c r="O727" s="2" t="n">
        <f aca="false">IF(AND(E727&gt;0,L727),J727/E727,"")</f>
        <v>12</v>
      </c>
    </row>
    <row r="728" customFormat="false" ht="15" hidden="false" customHeight="false" outlineLevel="0" collapsed="false">
      <c r="A728" s="2" t="n">
        <v>2022</v>
      </c>
      <c r="B728" s="2" t="s">
        <v>452</v>
      </c>
      <c r="C728" s="2" t="s">
        <v>545</v>
      </c>
      <c r="D728" s="2" t="s">
        <v>413</v>
      </c>
      <c r="E728" s="2" t="n">
        <v>9</v>
      </c>
      <c r="F728" s="2" t="n">
        <v>7</v>
      </c>
      <c r="G728" s="2" t="n">
        <v>6</v>
      </c>
      <c r="H728" s="2" t="n">
        <v>4</v>
      </c>
      <c r="I728" s="2" t="n">
        <v>1</v>
      </c>
      <c r="J728" s="2" t="n">
        <v>53</v>
      </c>
      <c r="K728" s="2" t="n">
        <v>68</v>
      </c>
      <c r="L728" s="11" t="b">
        <f aca="false">TRUE()</f>
        <v>1</v>
      </c>
      <c r="M728" s="2" t="s">
        <v>410</v>
      </c>
      <c r="N728" s="2" t="n">
        <f aca="false">IF(E728&gt;0,F728/E728,"")</f>
        <v>0.777777777777778</v>
      </c>
      <c r="O728" s="2" t="n">
        <f aca="false">IF(AND(E728&gt;0,L728),J728/E728,"")</f>
        <v>5.88888888888889</v>
      </c>
    </row>
    <row r="729" customFormat="false" ht="15" hidden="false" customHeight="false" outlineLevel="0" collapsed="false">
      <c r="A729" s="2" t="n">
        <v>2022</v>
      </c>
      <c r="B729" s="2" t="s">
        <v>453</v>
      </c>
      <c r="C729" s="2" t="s">
        <v>420</v>
      </c>
      <c r="D729" s="2" t="s">
        <v>413</v>
      </c>
      <c r="E729" s="2" t="n">
        <v>5</v>
      </c>
      <c r="F729" s="2" t="n">
        <v>1</v>
      </c>
      <c r="G729" s="2" t="n">
        <v>1</v>
      </c>
      <c r="H729" s="2" t="n">
        <v>1</v>
      </c>
      <c r="I729" s="2" t="n">
        <v>0</v>
      </c>
      <c r="J729" s="2" t="n">
        <v>14</v>
      </c>
      <c r="K729" s="2" t="n">
        <v>18</v>
      </c>
      <c r="L729" s="11" t="b">
        <f aca="false">TRUE()</f>
        <v>1</v>
      </c>
      <c r="M729" s="2" t="s">
        <v>410</v>
      </c>
      <c r="N729" s="2" t="n">
        <f aca="false">IF(E729&gt;0,F729/E729,"")</f>
        <v>0.2</v>
      </c>
      <c r="O729" s="2" t="n">
        <f aca="false">IF(AND(E729&gt;0,L729),J729/E729,"")</f>
        <v>2.8</v>
      </c>
    </row>
    <row r="730" customFormat="false" ht="15" hidden="false" customHeight="false" outlineLevel="0" collapsed="false">
      <c r="A730" s="2" t="n">
        <v>2022</v>
      </c>
      <c r="B730" s="2" t="s">
        <v>325</v>
      </c>
      <c r="C730" s="2" t="s">
        <v>420</v>
      </c>
      <c r="D730" s="2" t="s">
        <v>117</v>
      </c>
      <c r="E730" s="2" t="n">
        <v>5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20</v>
      </c>
      <c r="K730" s="2" t="n">
        <v>21</v>
      </c>
      <c r="L730" s="11" t="b">
        <f aca="false">TRUE()</f>
        <v>1</v>
      </c>
      <c r="M730" s="2" t="s">
        <v>406</v>
      </c>
      <c r="N730" s="2" t="n">
        <f aca="false">IF(E730&gt;0,F730/E730,"")</f>
        <v>0</v>
      </c>
      <c r="O730" s="2" t="n">
        <f aca="false">IF(AND(E730&gt;0,L730),J730/E730,"")</f>
        <v>4</v>
      </c>
    </row>
    <row r="731" customFormat="false" ht="15" hidden="false" customHeight="false" outlineLevel="0" collapsed="false">
      <c r="A731" s="2" t="n">
        <v>2022</v>
      </c>
      <c r="B731" s="2" t="s">
        <v>319</v>
      </c>
      <c r="C731" s="2" t="s">
        <v>405</v>
      </c>
      <c r="D731" s="2" t="s">
        <v>117</v>
      </c>
      <c r="E731" s="2" t="n">
        <v>2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5</v>
      </c>
      <c r="K731" s="2" t="n">
        <v>5</v>
      </c>
      <c r="L731" s="11" t="b">
        <f aca="false">TRUE()</f>
        <v>1</v>
      </c>
      <c r="M731" s="2" t="s">
        <v>410</v>
      </c>
      <c r="N731" s="2" t="n">
        <f aca="false">IF(E731&gt;0,F731/E731,"")</f>
        <v>0</v>
      </c>
      <c r="O731" s="2" t="n">
        <f aca="false">IF(AND(E731&gt;0,L731),J731/E731,"")</f>
        <v>2.5</v>
      </c>
    </row>
    <row r="732" customFormat="false" ht="15" hidden="false" customHeight="false" outlineLevel="0" collapsed="false">
      <c r="A732" s="2" t="n">
        <v>2022</v>
      </c>
      <c r="B732" s="2" t="s">
        <v>314</v>
      </c>
      <c r="C732" s="2" t="s">
        <v>543</v>
      </c>
      <c r="D732" s="2" t="s">
        <v>24</v>
      </c>
      <c r="E732" s="2" t="n">
        <v>2</v>
      </c>
      <c r="F732" s="2" t="n">
        <v>8</v>
      </c>
      <c r="G732" s="2" t="n">
        <v>0</v>
      </c>
      <c r="H732" s="2" t="n">
        <v>0</v>
      </c>
      <c r="I732" s="2" t="n">
        <v>0</v>
      </c>
      <c r="J732" s="2" t="n">
        <v>20</v>
      </c>
      <c r="K732" s="2" t="n">
        <v>30</v>
      </c>
      <c r="L732" s="11" t="b">
        <f aca="false">TRUE()</f>
        <v>1</v>
      </c>
      <c r="M732" s="2" t="s">
        <v>410</v>
      </c>
      <c r="N732" s="2" t="n">
        <f aca="false">IF(E732&gt;0,F732/E732,"")</f>
        <v>4</v>
      </c>
      <c r="O732" s="2" t="n">
        <f aca="false">IF(AND(E732&gt;0,L732),J732/E732,"")</f>
        <v>10</v>
      </c>
    </row>
    <row r="733" customFormat="false" ht="15" hidden="false" customHeight="false" outlineLevel="0" collapsed="false">
      <c r="A733" s="2" t="n">
        <v>2022</v>
      </c>
      <c r="B733" s="2" t="s">
        <v>137</v>
      </c>
      <c r="C733" s="2" t="s">
        <v>414</v>
      </c>
      <c r="D733" s="2" t="s">
        <v>29</v>
      </c>
      <c r="E733" s="2" t="n">
        <v>7</v>
      </c>
      <c r="F733" s="2" t="n">
        <v>18</v>
      </c>
      <c r="G733" s="2" t="n">
        <v>9</v>
      </c>
      <c r="H733" s="2" t="n">
        <v>6</v>
      </c>
      <c r="I733" s="2" t="n">
        <v>3</v>
      </c>
      <c r="J733" s="2" t="n">
        <v>73</v>
      </c>
      <c r="K733" s="2" t="n">
        <v>101</v>
      </c>
      <c r="L733" s="11" t="b">
        <f aca="false">TRUE()</f>
        <v>1</v>
      </c>
      <c r="M733" s="2" t="s">
        <v>406</v>
      </c>
      <c r="N733" s="2" t="n">
        <f aca="false">IF(E733&gt;0,F733/E733,"")</f>
        <v>2.57142857142857</v>
      </c>
      <c r="O733" s="2" t="n">
        <f aca="false">IF(AND(E733&gt;0,L733),J733/E733,"")</f>
        <v>10.4285714285714</v>
      </c>
    </row>
    <row r="734" customFormat="false" ht="15" hidden="false" customHeight="false" outlineLevel="0" collapsed="false">
      <c r="A734" s="2" t="n">
        <v>2022</v>
      </c>
      <c r="B734" s="2" t="s">
        <v>169</v>
      </c>
      <c r="C734" s="2" t="s">
        <v>545</v>
      </c>
      <c r="D734" s="2" t="s">
        <v>117</v>
      </c>
      <c r="E734" s="2" t="n">
        <v>10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63</v>
      </c>
      <c r="K734" s="2" t="n">
        <v>67</v>
      </c>
      <c r="L734" s="11" t="b">
        <f aca="false">TRUE()</f>
        <v>1</v>
      </c>
      <c r="M734" s="2" t="s">
        <v>406</v>
      </c>
      <c r="N734" s="2" t="n">
        <f aca="false">IF(E734&gt;0,F734/E734,"")</f>
        <v>0</v>
      </c>
      <c r="O734" s="2" t="n">
        <f aca="false">IF(AND(E734&gt;0,L734),J734/E734,"")</f>
        <v>6.3</v>
      </c>
    </row>
    <row r="735" customFormat="false" ht="15" hidden="false" customHeight="false" outlineLevel="0" collapsed="false">
      <c r="A735" s="2" t="n">
        <v>2022</v>
      </c>
      <c r="B735" s="2" t="s">
        <v>250</v>
      </c>
      <c r="C735" s="2" t="s">
        <v>418</v>
      </c>
      <c r="D735" s="2" t="s">
        <v>29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11" t="b">
        <f aca="false">TRUE()</f>
        <v>1</v>
      </c>
      <c r="M735" s="2" t="s">
        <v>410</v>
      </c>
      <c r="N735" s="2" t="str">
        <f aca="false">IF(E735&gt;0,F735/E735,"")</f>
        <v/>
      </c>
      <c r="O735" s="2" t="str">
        <f aca="false">IF(AND(E735&gt;0,L735),J735/E735,"")</f>
        <v/>
      </c>
    </row>
    <row r="736" customFormat="false" ht="15" hidden="false" customHeight="false" outlineLevel="0" collapsed="false">
      <c r="A736" s="2" t="n">
        <v>2022</v>
      </c>
      <c r="B736" s="2" t="s">
        <v>593</v>
      </c>
      <c r="C736" s="2" t="s">
        <v>545</v>
      </c>
      <c r="D736" s="2" t="s">
        <v>409</v>
      </c>
      <c r="E736" s="2" t="n">
        <v>2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13</v>
      </c>
      <c r="K736" s="2" t="n">
        <v>13</v>
      </c>
      <c r="L736" s="11" t="b">
        <f aca="false">TRUE()</f>
        <v>1</v>
      </c>
      <c r="M736" s="2" t="s">
        <v>410</v>
      </c>
      <c r="N736" s="2" t="n">
        <f aca="false">IF(E736&gt;0,F736/E736,"")</f>
        <v>0</v>
      </c>
      <c r="O736" s="2" t="n">
        <f aca="false">IF(AND(E736&gt;0,L736),J736/E736,"")</f>
        <v>6.5</v>
      </c>
    </row>
    <row r="737" customFormat="false" ht="15" hidden="false" customHeight="false" outlineLevel="0" collapsed="false">
      <c r="A737" s="2" t="n">
        <v>2022</v>
      </c>
      <c r="B737" s="2" t="s">
        <v>82</v>
      </c>
      <c r="C737" s="2" t="s">
        <v>414</v>
      </c>
      <c r="D737" s="2" t="s">
        <v>83</v>
      </c>
      <c r="E737" s="2" t="n">
        <v>10</v>
      </c>
      <c r="F737" s="2" t="n">
        <v>23</v>
      </c>
      <c r="G737" s="2" t="n">
        <v>16</v>
      </c>
      <c r="H737" s="2" t="n">
        <v>7</v>
      </c>
      <c r="I737" s="2" t="n">
        <v>1</v>
      </c>
      <c r="J737" s="2" t="n">
        <v>77</v>
      </c>
      <c r="K737" s="2" t="n">
        <v>105</v>
      </c>
      <c r="L737" s="11" t="b">
        <f aca="false">TRUE()</f>
        <v>1</v>
      </c>
      <c r="M737" s="2" t="s">
        <v>406</v>
      </c>
      <c r="N737" s="2" t="n">
        <f aca="false">IF(E737&gt;0,F737/E737,"")</f>
        <v>2.3</v>
      </c>
      <c r="O737" s="2" t="n">
        <f aca="false">IF(AND(E737&gt;0,L737),J737/E737,"")</f>
        <v>7.7</v>
      </c>
    </row>
    <row r="738" customFormat="false" ht="15" hidden="false" customHeight="false" outlineLevel="0" collapsed="false">
      <c r="A738" s="2" t="n">
        <v>2022</v>
      </c>
      <c r="B738" s="2" t="s">
        <v>359</v>
      </c>
      <c r="C738" s="2" t="s">
        <v>518</v>
      </c>
      <c r="D738" s="2" t="s">
        <v>24</v>
      </c>
      <c r="E738" s="2" t="n">
        <v>1</v>
      </c>
      <c r="F738" s="2" t="n">
        <v>3</v>
      </c>
      <c r="G738" s="2" t="n">
        <v>2</v>
      </c>
      <c r="H738" s="2" t="n">
        <v>1</v>
      </c>
      <c r="I738" s="2" t="n">
        <v>0</v>
      </c>
      <c r="J738" s="2" t="n">
        <v>5</v>
      </c>
      <c r="K738" s="2" t="n">
        <v>8</v>
      </c>
      <c r="L738" s="11" t="b">
        <f aca="false">TRUE()</f>
        <v>1</v>
      </c>
      <c r="M738" s="2" t="s">
        <v>410</v>
      </c>
      <c r="N738" s="2" t="n">
        <f aca="false">IF(E738&gt;0,F738/E738,"")</f>
        <v>3</v>
      </c>
      <c r="O738" s="2" t="n">
        <f aca="false">IF(AND(E738&gt;0,L738),J738/E738,"")</f>
        <v>5</v>
      </c>
    </row>
    <row r="739" customFormat="false" ht="15" hidden="false" customHeight="false" outlineLevel="0" collapsed="false">
      <c r="A739" s="2" t="n">
        <v>2022</v>
      </c>
      <c r="B739" s="2" t="s">
        <v>594</v>
      </c>
      <c r="C739" s="2" t="s">
        <v>408</v>
      </c>
      <c r="D739" s="2" t="s">
        <v>413</v>
      </c>
      <c r="E739" s="2" t="n">
        <v>2</v>
      </c>
      <c r="F739" s="2" t="n">
        <v>3</v>
      </c>
      <c r="G739" s="2" t="n">
        <v>1</v>
      </c>
      <c r="H739" s="2" t="n">
        <v>1</v>
      </c>
      <c r="I739" s="2" t="n">
        <v>0</v>
      </c>
      <c r="J739" s="2" t="n">
        <v>4</v>
      </c>
      <c r="K739" s="2" t="n">
        <v>8</v>
      </c>
      <c r="L739" s="11" t="b">
        <f aca="false">TRUE()</f>
        <v>1</v>
      </c>
      <c r="M739" s="2" t="s">
        <v>410</v>
      </c>
      <c r="N739" s="2" t="n">
        <f aca="false">IF(E739&gt;0,F739/E739,"")</f>
        <v>1.5</v>
      </c>
      <c r="O739" s="2" t="n">
        <f aca="false">IF(AND(E739&gt;0,L739),J739/E739,"")</f>
        <v>2</v>
      </c>
    </row>
    <row r="740" customFormat="false" ht="15" hidden="false" customHeight="false" outlineLevel="0" collapsed="false">
      <c r="A740" s="2" t="n">
        <v>2022</v>
      </c>
      <c r="B740" s="2" t="s">
        <v>68</v>
      </c>
      <c r="C740" s="2" t="s">
        <v>412</v>
      </c>
      <c r="D740" s="2" t="s">
        <v>24</v>
      </c>
      <c r="E740" s="2" t="n">
        <v>10</v>
      </c>
      <c r="F740" s="2" t="n">
        <v>33</v>
      </c>
      <c r="G740" s="2" t="n">
        <v>27</v>
      </c>
      <c r="H740" s="2" t="n">
        <v>18</v>
      </c>
      <c r="I740" s="2" t="n">
        <v>11</v>
      </c>
      <c r="J740" s="2" t="n">
        <v>283</v>
      </c>
      <c r="K740" s="2" t="n">
        <v>339</v>
      </c>
      <c r="L740" s="11" t="b">
        <f aca="false">TRUE()</f>
        <v>1</v>
      </c>
      <c r="M740" s="2" t="s">
        <v>406</v>
      </c>
      <c r="N740" s="2" t="n">
        <f aca="false">IF(E740&gt;0,F740/E740,"")</f>
        <v>3.3</v>
      </c>
      <c r="O740" s="2" t="n">
        <f aca="false">IF(AND(E740&gt;0,L740),J740/E740,"")</f>
        <v>28.3</v>
      </c>
    </row>
    <row r="741" customFormat="false" ht="15" hidden="false" customHeight="false" outlineLevel="0" collapsed="false">
      <c r="A741" s="2" t="n">
        <v>2022</v>
      </c>
      <c r="B741" s="2" t="s">
        <v>48</v>
      </c>
      <c r="C741" s="2" t="s">
        <v>408</v>
      </c>
      <c r="D741" s="2" t="s">
        <v>29</v>
      </c>
      <c r="E741" s="2" t="n">
        <v>9</v>
      </c>
      <c r="F741" s="2" t="n">
        <v>24</v>
      </c>
      <c r="G741" s="2" t="n">
        <v>13</v>
      </c>
      <c r="H741" s="2" t="n">
        <v>6</v>
      </c>
      <c r="I741" s="2" t="n">
        <v>2</v>
      </c>
      <c r="J741" s="2" t="n">
        <v>103</v>
      </c>
      <c r="K741" s="2" t="n">
        <v>129</v>
      </c>
      <c r="L741" s="11" t="b">
        <f aca="false">TRUE()</f>
        <v>1</v>
      </c>
      <c r="M741" s="2" t="s">
        <v>406</v>
      </c>
      <c r="N741" s="2" t="n">
        <f aca="false">IF(E741&gt;0,F741/E741,"")</f>
        <v>2.66666666666667</v>
      </c>
      <c r="O741" s="2" t="n">
        <f aca="false">IF(AND(E741&gt;0,L741),J741/E741,"")</f>
        <v>11.4444444444444</v>
      </c>
    </row>
    <row r="742" customFormat="false" ht="15" hidden="false" customHeight="false" outlineLevel="0" collapsed="false">
      <c r="A742" s="2" t="n">
        <v>2022</v>
      </c>
      <c r="B742" s="2" t="s">
        <v>562</v>
      </c>
      <c r="C742" s="2" t="s">
        <v>405</v>
      </c>
      <c r="D742" s="2" t="s">
        <v>24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11" t="b">
        <f aca="false">TRUE()</f>
        <v>1</v>
      </c>
      <c r="M742" s="2" t="s">
        <v>410</v>
      </c>
      <c r="N742" s="2" t="str">
        <f aca="false">IF(E742&gt;0,F742/E742,"")</f>
        <v/>
      </c>
      <c r="O742" s="2" t="str">
        <f aca="false">IF(AND(E742&gt;0,L742),J742/E742,"")</f>
        <v/>
      </c>
    </row>
    <row r="743" customFormat="false" ht="15" hidden="false" customHeight="false" outlineLevel="0" collapsed="false">
      <c r="A743" s="2" t="n">
        <v>2022</v>
      </c>
      <c r="B743" s="2" t="s">
        <v>338</v>
      </c>
      <c r="C743" s="2" t="s">
        <v>420</v>
      </c>
      <c r="D743" s="2" t="s">
        <v>24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11" t="b">
        <f aca="false">TRUE()</f>
        <v>1</v>
      </c>
      <c r="M743" s="2" t="s">
        <v>410</v>
      </c>
      <c r="N743" s="2" t="str">
        <f aca="false">IF(E743&gt;0,F743/E743,"")</f>
        <v/>
      </c>
      <c r="O743" s="2" t="str">
        <f aca="false">IF(AND(E743&gt;0,L743),J743/E743,"")</f>
        <v/>
      </c>
    </row>
    <row r="744" customFormat="false" ht="15" hidden="false" customHeight="false" outlineLevel="0" collapsed="false">
      <c r="A744" s="2" t="n">
        <v>2022</v>
      </c>
      <c r="B744" s="2" t="s">
        <v>123</v>
      </c>
      <c r="C744" s="2" t="s">
        <v>412</v>
      </c>
      <c r="D744" s="2" t="s">
        <v>83</v>
      </c>
      <c r="E744" s="2" t="n">
        <v>10</v>
      </c>
      <c r="F744" s="2" t="n">
        <v>8</v>
      </c>
      <c r="G744" s="2" t="n">
        <v>6</v>
      </c>
      <c r="H744" s="2" t="n">
        <v>4</v>
      </c>
      <c r="I744" s="2" t="n">
        <v>2</v>
      </c>
      <c r="J744" s="2" t="n">
        <v>79</v>
      </c>
      <c r="K744" s="2" t="n">
        <v>90</v>
      </c>
      <c r="L744" s="11" t="b">
        <f aca="false">TRUE()</f>
        <v>1</v>
      </c>
      <c r="M744" s="2" t="s">
        <v>406</v>
      </c>
      <c r="N744" s="2" t="n">
        <f aca="false">IF(E744&gt;0,F744/E744,"")</f>
        <v>0.8</v>
      </c>
      <c r="O744" s="2" t="n">
        <f aca="false">IF(AND(E744&gt;0,L744),J744/E744,"")</f>
        <v>7.9</v>
      </c>
    </row>
    <row r="745" customFormat="false" ht="15" hidden="false" customHeight="false" outlineLevel="0" collapsed="false">
      <c r="A745" s="2" t="n">
        <v>2022</v>
      </c>
      <c r="B745" s="2" t="s">
        <v>126</v>
      </c>
      <c r="C745" s="2" t="s">
        <v>418</v>
      </c>
      <c r="D745" s="2" t="s">
        <v>29</v>
      </c>
      <c r="E745" s="2" t="n">
        <v>9</v>
      </c>
      <c r="F745" s="2" t="n">
        <v>39</v>
      </c>
      <c r="G745" s="2" t="n">
        <v>28</v>
      </c>
      <c r="H745" s="2" t="n">
        <v>14</v>
      </c>
      <c r="I745" s="2" t="n">
        <v>1</v>
      </c>
      <c r="J745" s="2" t="n">
        <v>117</v>
      </c>
      <c r="K745" s="2" t="n">
        <v>172</v>
      </c>
      <c r="L745" s="11" t="b">
        <f aca="false">TRUE()</f>
        <v>1</v>
      </c>
      <c r="M745" s="2" t="s">
        <v>406</v>
      </c>
      <c r="N745" s="2" t="n">
        <f aca="false">IF(E745&gt;0,F745/E745,"")</f>
        <v>4.33333333333333</v>
      </c>
      <c r="O745" s="2" t="n">
        <f aca="false">IF(AND(E745&gt;0,L745),J745/E745,"")</f>
        <v>13</v>
      </c>
    </row>
    <row r="746" customFormat="false" ht="15" hidden="false" customHeight="false" outlineLevel="0" collapsed="false">
      <c r="A746" s="2" t="n">
        <v>2022</v>
      </c>
      <c r="B746" s="2" t="s">
        <v>150</v>
      </c>
      <c r="C746" s="2" t="s">
        <v>420</v>
      </c>
      <c r="D746" s="2" t="s">
        <v>83</v>
      </c>
      <c r="E746" s="2" t="n">
        <v>5</v>
      </c>
      <c r="F746" s="2" t="n">
        <v>4</v>
      </c>
      <c r="G746" s="2" t="n">
        <v>3</v>
      </c>
      <c r="H746" s="2" t="n">
        <v>0</v>
      </c>
      <c r="I746" s="2" t="n">
        <v>0</v>
      </c>
      <c r="J746" s="2" t="n">
        <v>21</v>
      </c>
      <c r="K746" s="2" t="n">
        <v>27</v>
      </c>
      <c r="L746" s="11" t="b">
        <f aca="false">TRUE()</f>
        <v>1</v>
      </c>
      <c r="M746" s="2" t="s">
        <v>406</v>
      </c>
      <c r="N746" s="2" t="n">
        <f aca="false">IF(E746&gt;0,F746/E746,"")</f>
        <v>0.8</v>
      </c>
      <c r="O746" s="2" t="n">
        <f aca="false">IF(AND(E746&gt;0,L746),J746/E746,"")</f>
        <v>4.2</v>
      </c>
    </row>
    <row r="747" customFormat="false" ht="15" hidden="false" customHeight="false" outlineLevel="0" collapsed="false">
      <c r="A747" s="2" t="n">
        <v>2022</v>
      </c>
      <c r="B747" s="2" t="s">
        <v>116</v>
      </c>
      <c r="C747" s="2" t="s">
        <v>418</v>
      </c>
      <c r="D747" s="2" t="s">
        <v>117</v>
      </c>
      <c r="E747" s="2" t="n">
        <v>10</v>
      </c>
      <c r="F747" s="2" t="n">
        <v>6</v>
      </c>
      <c r="G747" s="2" t="n">
        <v>5</v>
      </c>
      <c r="H747" s="2" t="n">
        <v>1</v>
      </c>
      <c r="I747" s="2" t="n">
        <v>2</v>
      </c>
      <c r="J747" s="2" t="n">
        <v>72</v>
      </c>
      <c r="K747" s="2" t="n">
        <v>80</v>
      </c>
      <c r="L747" s="11" t="b">
        <f aca="false">TRUE()</f>
        <v>1</v>
      </c>
      <c r="M747" s="2" t="s">
        <v>406</v>
      </c>
      <c r="N747" s="2" t="n">
        <f aca="false">IF(E747&gt;0,F747/E747,"")</f>
        <v>0.6</v>
      </c>
      <c r="O747" s="2" t="n">
        <f aca="false">IF(AND(E747&gt;0,L747),J747/E747,"")</f>
        <v>7.2</v>
      </c>
    </row>
    <row r="748" customFormat="false" ht="15" hidden="false" customHeight="false" outlineLevel="0" collapsed="false">
      <c r="A748" s="2" t="n">
        <v>2022</v>
      </c>
      <c r="B748" s="2" t="s">
        <v>64</v>
      </c>
      <c r="C748" s="2" t="s">
        <v>408</v>
      </c>
      <c r="D748" s="2" t="s">
        <v>24</v>
      </c>
      <c r="E748" s="2" t="n">
        <v>10</v>
      </c>
      <c r="F748" s="2" t="n">
        <v>56</v>
      </c>
      <c r="G748" s="2" t="n">
        <v>41</v>
      </c>
      <c r="H748" s="2" t="n">
        <v>16</v>
      </c>
      <c r="I748" s="2" t="n">
        <v>17</v>
      </c>
      <c r="J748" s="2" t="n">
        <v>268</v>
      </c>
      <c r="K748" s="2" t="n">
        <v>344</v>
      </c>
      <c r="L748" s="11" t="b">
        <f aca="false">TRUE()</f>
        <v>1</v>
      </c>
      <c r="M748" s="2" t="s">
        <v>406</v>
      </c>
      <c r="N748" s="2" t="n">
        <f aca="false">IF(E748&gt;0,F748/E748,"")</f>
        <v>5.6</v>
      </c>
      <c r="O748" s="2" t="n">
        <f aca="false">IF(AND(E748&gt;0,L748),J748/E748,"")</f>
        <v>26.8</v>
      </c>
    </row>
    <row r="749" customFormat="false" ht="15" hidden="false" customHeight="false" outlineLevel="0" collapsed="false">
      <c r="A749" s="2" t="n">
        <v>2022</v>
      </c>
      <c r="B749" s="2" t="s">
        <v>567</v>
      </c>
      <c r="C749" s="2" t="s">
        <v>545</v>
      </c>
      <c r="D749" s="2" t="s">
        <v>409</v>
      </c>
      <c r="E749" s="2" t="n">
        <v>9</v>
      </c>
      <c r="F749" s="2" t="n">
        <v>2</v>
      </c>
      <c r="G749" s="2" t="n">
        <v>2</v>
      </c>
      <c r="H749" s="2" t="n">
        <v>0</v>
      </c>
      <c r="I749" s="2" t="n">
        <v>0</v>
      </c>
      <c r="J749" s="2" t="n">
        <v>149</v>
      </c>
      <c r="K749" s="2" t="n">
        <v>151</v>
      </c>
      <c r="L749" s="11" t="b">
        <f aca="false">TRUE()</f>
        <v>1</v>
      </c>
      <c r="M749" s="2" t="s">
        <v>410</v>
      </c>
      <c r="N749" s="2" t="n">
        <f aca="false">IF(E749&gt;0,F749/E749,"")</f>
        <v>0.222222222222222</v>
      </c>
      <c r="O749" s="2" t="n">
        <f aca="false">IF(AND(E749&gt;0,L749),J749/E749,"")</f>
        <v>16.5555555555556</v>
      </c>
    </row>
    <row r="750" customFormat="false" ht="15" hidden="false" customHeight="false" outlineLevel="0" collapsed="false">
      <c r="A750" s="2" t="n">
        <v>2022</v>
      </c>
      <c r="B750" s="2" t="s">
        <v>369</v>
      </c>
      <c r="C750" s="2" t="s">
        <v>543</v>
      </c>
      <c r="D750" s="2" t="s">
        <v>29</v>
      </c>
      <c r="E750" s="2" t="n">
        <v>2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12</v>
      </c>
      <c r="K750" s="2" t="n">
        <v>12</v>
      </c>
      <c r="L750" s="11" t="b">
        <f aca="false">TRUE()</f>
        <v>1</v>
      </c>
      <c r="M750" s="2" t="s">
        <v>410</v>
      </c>
      <c r="N750" s="2" t="n">
        <f aca="false">IF(E750&gt;0,F750/E750,"")</f>
        <v>0</v>
      </c>
      <c r="O750" s="2" t="n">
        <f aca="false">IF(AND(E750&gt;0,L750),J750/E750,"")</f>
        <v>6</v>
      </c>
    </row>
    <row r="751" customFormat="false" ht="15" hidden="false" customHeight="false" outlineLevel="0" collapsed="false">
      <c r="A751" s="2" t="n">
        <v>2022</v>
      </c>
      <c r="B751" s="2" t="s">
        <v>27</v>
      </c>
      <c r="C751" s="2" t="s">
        <v>518</v>
      </c>
      <c r="D751" s="2" t="s">
        <v>24</v>
      </c>
      <c r="E751" s="2" t="n">
        <v>10</v>
      </c>
      <c r="F751" s="2" t="n">
        <v>62</v>
      </c>
      <c r="G751" s="2" t="n">
        <v>43</v>
      </c>
      <c r="H751" s="2" t="n">
        <v>19</v>
      </c>
      <c r="I751" s="2" t="n">
        <v>23</v>
      </c>
      <c r="J751" s="2" t="n">
        <v>277</v>
      </c>
      <c r="K751" s="2" t="n">
        <v>363</v>
      </c>
      <c r="L751" s="11" t="b">
        <f aca="false">TRUE()</f>
        <v>1</v>
      </c>
      <c r="M751" s="2" t="s">
        <v>406</v>
      </c>
      <c r="N751" s="2" t="n">
        <f aca="false">IF(E751&gt;0,F751/E751,"")</f>
        <v>6.2</v>
      </c>
      <c r="O751" s="2" t="n">
        <f aca="false">IF(AND(E751&gt;0,L751),J751/E751,"")</f>
        <v>27.7</v>
      </c>
    </row>
    <row r="752" customFormat="false" ht="15" hidden="false" customHeight="false" outlineLevel="0" collapsed="false">
      <c r="A752" s="2" t="n">
        <v>2022</v>
      </c>
      <c r="B752" s="2" t="s">
        <v>595</v>
      </c>
      <c r="C752" s="2" t="s">
        <v>418</v>
      </c>
      <c r="D752" s="2" t="s">
        <v>409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11" t="b">
        <f aca="false">TRUE()</f>
        <v>1</v>
      </c>
      <c r="M752" s="2" t="s">
        <v>410</v>
      </c>
      <c r="N752" s="2" t="str">
        <f aca="false">IF(E752&gt;0,F752/E752,"")</f>
        <v/>
      </c>
      <c r="O752" s="2" t="str">
        <f aca="false">IF(AND(E752&gt;0,L752),J752/E752,"")</f>
        <v/>
      </c>
    </row>
    <row r="753" customFormat="false" ht="15" hidden="false" customHeight="false" outlineLevel="0" collapsed="false">
      <c r="A753" s="2" t="n">
        <v>2022</v>
      </c>
      <c r="B753" s="2" t="s">
        <v>367</v>
      </c>
      <c r="C753" s="2" t="s">
        <v>545</v>
      </c>
      <c r="D753" s="2" t="s">
        <v>117</v>
      </c>
      <c r="E753" s="2" t="n">
        <v>3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13</v>
      </c>
      <c r="K753" s="2" t="n">
        <v>13</v>
      </c>
      <c r="L753" s="11" t="b">
        <f aca="false">TRUE()</f>
        <v>1</v>
      </c>
      <c r="M753" s="2" t="s">
        <v>406</v>
      </c>
      <c r="N753" s="2" t="n">
        <f aca="false">IF(E753&gt;0,F753/E753,"")</f>
        <v>0</v>
      </c>
      <c r="O753" s="2" t="n">
        <f aca="false">IF(AND(E753&gt;0,L753),J753/E753,"")</f>
        <v>4.33333333333333</v>
      </c>
    </row>
    <row r="754" customFormat="false" ht="15" hidden="false" customHeight="false" outlineLevel="0" collapsed="false">
      <c r="A754" s="2" t="n">
        <v>2022</v>
      </c>
      <c r="B754" s="2" t="s">
        <v>309</v>
      </c>
      <c r="C754" s="2" t="s">
        <v>408</v>
      </c>
      <c r="D754" s="2" t="s">
        <v>117</v>
      </c>
      <c r="E754" s="2" t="n">
        <v>10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20</v>
      </c>
      <c r="K754" s="2" t="n">
        <v>22</v>
      </c>
      <c r="L754" s="11" t="b">
        <f aca="false">TRUE()</f>
        <v>1</v>
      </c>
      <c r="M754" s="2" t="s">
        <v>406</v>
      </c>
      <c r="N754" s="2" t="n">
        <f aca="false">IF(E754&gt;0,F754/E754,"")</f>
        <v>0</v>
      </c>
      <c r="O754" s="2" t="n">
        <f aca="false">IF(AND(E754&gt;0,L754),J754/E754,"")</f>
        <v>2</v>
      </c>
    </row>
    <row r="755" customFormat="false" ht="15" hidden="false" customHeight="false" outlineLevel="0" collapsed="false">
      <c r="A755" s="2" t="n">
        <v>2022</v>
      </c>
      <c r="B755" s="2" t="s">
        <v>337</v>
      </c>
      <c r="C755" s="2" t="s">
        <v>408</v>
      </c>
      <c r="D755" s="2" t="s">
        <v>83</v>
      </c>
      <c r="E755" s="2" t="n">
        <v>9</v>
      </c>
      <c r="F755" s="2" t="n">
        <v>0</v>
      </c>
      <c r="G755" s="2" t="n">
        <v>0</v>
      </c>
      <c r="H755" s="2" t="n">
        <v>0</v>
      </c>
      <c r="I755" s="2" t="n">
        <v>1</v>
      </c>
      <c r="J755" s="2" t="n">
        <v>33</v>
      </c>
      <c r="K755" s="2" t="n">
        <v>36</v>
      </c>
      <c r="L755" s="11" t="b">
        <f aca="false">TRUE()</f>
        <v>1</v>
      </c>
      <c r="M755" s="2" t="s">
        <v>406</v>
      </c>
      <c r="N755" s="2" t="n">
        <f aca="false">IF(E755&gt;0,F755/E755,"")</f>
        <v>0</v>
      </c>
      <c r="O755" s="2" t="n">
        <f aca="false">IF(AND(E755&gt;0,L755),J755/E755,"")</f>
        <v>3.66666666666667</v>
      </c>
    </row>
    <row r="756" customFormat="false" ht="15" hidden="false" customHeight="false" outlineLevel="0" collapsed="false">
      <c r="A756" s="2" t="n">
        <v>2022</v>
      </c>
      <c r="B756" s="2" t="s">
        <v>372</v>
      </c>
      <c r="C756" s="2" t="s">
        <v>418</v>
      </c>
      <c r="D756" s="2" t="s">
        <v>115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11" t="b">
        <f aca="false">TRUE()</f>
        <v>1</v>
      </c>
      <c r="M756" s="2" t="s">
        <v>410</v>
      </c>
      <c r="N756" s="2" t="str">
        <f aca="false">IF(E756&gt;0,F756/E756,"")</f>
        <v/>
      </c>
      <c r="O756" s="2" t="str">
        <f aca="false">IF(AND(E756&gt;0,L756),J756/E756,"")</f>
        <v/>
      </c>
    </row>
    <row r="757" customFormat="false" ht="15" hidden="false" customHeight="false" outlineLevel="0" collapsed="false">
      <c r="A757" s="2" t="n">
        <v>2022</v>
      </c>
      <c r="B757" s="2" t="s">
        <v>203</v>
      </c>
      <c r="C757" s="2" t="s">
        <v>405</v>
      </c>
      <c r="D757" s="2" t="s">
        <v>83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11" t="b">
        <f aca="false">TRUE()</f>
        <v>1</v>
      </c>
      <c r="M757" s="2" t="s">
        <v>410</v>
      </c>
      <c r="N757" s="2" t="str">
        <f aca="false">IF(E757&gt;0,F757/E757,"")</f>
        <v/>
      </c>
      <c r="O757" s="2" t="str">
        <f aca="false">IF(AND(E757&gt;0,L757),J757/E757,"")</f>
        <v/>
      </c>
    </row>
    <row r="758" customFormat="false" ht="15" hidden="false" customHeight="false" outlineLevel="0" collapsed="false">
      <c r="A758" s="2" t="n">
        <v>2022</v>
      </c>
      <c r="B758" s="2" t="s">
        <v>340</v>
      </c>
      <c r="C758" s="2" t="s">
        <v>545</v>
      </c>
      <c r="D758" s="2" t="s">
        <v>115</v>
      </c>
      <c r="E758" s="2" t="n">
        <v>6</v>
      </c>
      <c r="F758" s="2" t="n">
        <v>0</v>
      </c>
      <c r="G758" s="2" t="n">
        <v>0</v>
      </c>
      <c r="H758" s="2" t="n">
        <v>0</v>
      </c>
      <c r="I758" s="2" t="n">
        <v>1</v>
      </c>
      <c r="J758" s="2" t="n">
        <v>31</v>
      </c>
      <c r="K758" s="2" t="n">
        <v>34</v>
      </c>
      <c r="L758" s="11" t="b">
        <f aca="false">TRUE()</f>
        <v>1</v>
      </c>
      <c r="M758" s="2" t="s">
        <v>406</v>
      </c>
      <c r="N758" s="2" t="n">
        <f aca="false">IF(E758&gt;0,F758/E758,"")</f>
        <v>0</v>
      </c>
      <c r="O758" s="2" t="n">
        <f aca="false">IF(AND(E758&gt;0,L758),J758/E758,"")</f>
        <v>5.16666666666667</v>
      </c>
    </row>
    <row r="759" customFormat="false" ht="15" hidden="false" customHeight="false" outlineLevel="0" collapsed="false">
      <c r="A759" s="2" t="n">
        <v>2022</v>
      </c>
      <c r="B759" s="2" t="s">
        <v>202</v>
      </c>
      <c r="C759" s="2" t="s">
        <v>418</v>
      </c>
      <c r="D759" s="2" t="s">
        <v>83</v>
      </c>
      <c r="E759" s="2" t="n">
        <v>10</v>
      </c>
      <c r="F759" s="2" t="n">
        <v>10</v>
      </c>
      <c r="G759" s="2" t="n">
        <v>7</v>
      </c>
      <c r="H759" s="2" t="n">
        <v>6</v>
      </c>
      <c r="I759" s="2" t="n">
        <v>0</v>
      </c>
      <c r="J759" s="2" t="n">
        <v>38</v>
      </c>
      <c r="K759" s="2" t="n">
        <v>54</v>
      </c>
      <c r="L759" s="11" t="b">
        <f aca="false">TRUE()</f>
        <v>1</v>
      </c>
      <c r="M759" s="2" t="s">
        <v>406</v>
      </c>
      <c r="N759" s="2" t="n">
        <f aca="false">IF(E759&gt;0,F759/E759,"")</f>
        <v>1</v>
      </c>
      <c r="O759" s="2" t="n">
        <f aca="false">IF(AND(E759&gt;0,L759),J759/E759,"")</f>
        <v>3.8</v>
      </c>
    </row>
    <row r="760" customFormat="false" ht="15" hidden="false" customHeight="false" outlineLevel="0" collapsed="false">
      <c r="A760" s="2" t="n">
        <v>2022</v>
      </c>
      <c r="B760" s="2" t="s">
        <v>38</v>
      </c>
      <c r="C760" s="2" t="s">
        <v>418</v>
      </c>
      <c r="D760" s="2" t="s">
        <v>24</v>
      </c>
      <c r="E760" s="2" t="n">
        <v>10</v>
      </c>
      <c r="F760" s="2" t="n">
        <v>52</v>
      </c>
      <c r="G760" s="2" t="n">
        <v>37</v>
      </c>
      <c r="H760" s="2" t="n">
        <v>14</v>
      </c>
      <c r="I760" s="2" t="n">
        <v>11</v>
      </c>
      <c r="J760" s="2" t="n">
        <v>267</v>
      </c>
      <c r="K760" s="2" t="n">
        <v>337</v>
      </c>
      <c r="L760" s="11" t="b">
        <f aca="false">TRUE()</f>
        <v>1</v>
      </c>
      <c r="M760" s="2" t="s">
        <v>406</v>
      </c>
      <c r="N760" s="2" t="n">
        <f aca="false">IF(E760&gt;0,F760/E760,"")</f>
        <v>5.2</v>
      </c>
      <c r="O760" s="2" t="n">
        <f aca="false">IF(AND(E760&gt;0,L760),J760/E760,"")</f>
        <v>26.7</v>
      </c>
    </row>
    <row r="761" customFormat="false" ht="15" hidden="false" customHeight="false" outlineLevel="0" collapsed="false">
      <c r="A761" s="2" t="n">
        <v>2022</v>
      </c>
      <c r="B761" s="2" t="s">
        <v>109</v>
      </c>
      <c r="C761" s="2" t="s">
        <v>405</v>
      </c>
      <c r="D761" s="2" t="s">
        <v>29</v>
      </c>
      <c r="E761" s="2" t="n">
        <v>10</v>
      </c>
      <c r="F761" s="2" t="n">
        <v>23</v>
      </c>
      <c r="G761" s="2" t="n">
        <v>15</v>
      </c>
      <c r="H761" s="2" t="n">
        <v>6</v>
      </c>
      <c r="I761" s="2" t="n">
        <v>2</v>
      </c>
      <c r="J761" s="2" t="n">
        <v>78</v>
      </c>
      <c r="K761" s="2" t="n">
        <v>104</v>
      </c>
      <c r="L761" s="11" t="b">
        <f aca="false">TRUE()</f>
        <v>1</v>
      </c>
      <c r="M761" s="2" t="s">
        <v>406</v>
      </c>
      <c r="N761" s="2" t="n">
        <f aca="false">IF(E761&gt;0,F761/E761,"")</f>
        <v>2.3</v>
      </c>
      <c r="O761" s="2" t="n">
        <f aca="false">IF(AND(E761&gt;0,L761),J761/E761,"")</f>
        <v>7.8</v>
      </c>
    </row>
    <row r="762" customFormat="false" ht="15" hidden="false" customHeight="false" outlineLevel="0" collapsed="false">
      <c r="A762" s="2" t="n">
        <v>2022</v>
      </c>
      <c r="B762" s="2" t="s">
        <v>67</v>
      </c>
      <c r="C762" s="2" t="s">
        <v>408</v>
      </c>
      <c r="D762" s="2" t="s">
        <v>29</v>
      </c>
      <c r="E762" s="2" t="n">
        <v>10</v>
      </c>
      <c r="F762" s="2" t="n">
        <v>43</v>
      </c>
      <c r="G762" s="2" t="n">
        <v>32</v>
      </c>
      <c r="H762" s="2" t="n">
        <v>15</v>
      </c>
      <c r="I762" s="2" t="n">
        <v>5</v>
      </c>
      <c r="J762" s="2" t="n">
        <v>118</v>
      </c>
      <c r="K762" s="2" t="n">
        <v>174</v>
      </c>
      <c r="L762" s="11" t="b">
        <f aca="false">TRUE()</f>
        <v>1</v>
      </c>
      <c r="M762" s="2" t="s">
        <v>406</v>
      </c>
      <c r="N762" s="2" t="n">
        <f aca="false">IF(E762&gt;0,F762/E762,"")</f>
        <v>4.3</v>
      </c>
      <c r="O762" s="2" t="n">
        <f aca="false">IF(AND(E762&gt;0,L762),J762/E762,"")</f>
        <v>11.8</v>
      </c>
    </row>
    <row r="763" customFormat="false" ht="15" hidden="false" customHeight="false" outlineLevel="0" collapsed="false">
      <c r="A763" s="2" t="n">
        <v>2022</v>
      </c>
      <c r="B763" s="2" t="s">
        <v>96</v>
      </c>
      <c r="C763" s="2" t="s">
        <v>418</v>
      </c>
      <c r="D763" s="2" t="s">
        <v>29</v>
      </c>
      <c r="E763" s="2" t="n">
        <v>10</v>
      </c>
      <c r="F763" s="2" t="n">
        <v>13</v>
      </c>
      <c r="G763" s="2" t="n">
        <v>10</v>
      </c>
      <c r="H763" s="2" t="n">
        <v>5</v>
      </c>
      <c r="I763" s="2" t="n">
        <v>3</v>
      </c>
      <c r="J763" s="2" t="n">
        <v>115</v>
      </c>
      <c r="K763" s="2" t="n">
        <v>139</v>
      </c>
      <c r="L763" s="11" t="b">
        <f aca="false">TRUE()</f>
        <v>1</v>
      </c>
      <c r="M763" s="2" t="s">
        <v>406</v>
      </c>
      <c r="N763" s="2" t="n">
        <f aca="false">IF(E763&gt;0,F763/E763,"")</f>
        <v>1.3</v>
      </c>
      <c r="O763" s="2" t="n">
        <f aca="false">IF(AND(E763&gt;0,L763),J763/E763,"")</f>
        <v>11.5</v>
      </c>
    </row>
    <row r="764" customFormat="false" ht="15" hidden="false" customHeight="false" outlineLevel="0" collapsed="false">
      <c r="A764" s="2" t="n">
        <v>2022</v>
      </c>
      <c r="B764" s="2" t="s">
        <v>143</v>
      </c>
      <c r="C764" s="2" t="s">
        <v>414</v>
      </c>
      <c r="D764" s="2" t="s">
        <v>117</v>
      </c>
      <c r="E764" s="2" t="n">
        <v>10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63</v>
      </c>
      <c r="K764" s="2" t="n">
        <v>65</v>
      </c>
      <c r="L764" s="11" t="b">
        <f aca="false">TRUE()</f>
        <v>1</v>
      </c>
      <c r="M764" s="2" t="s">
        <v>406</v>
      </c>
      <c r="N764" s="2" t="n">
        <f aca="false">IF(E764&gt;0,F764/E764,"")</f>
        <v>0</v>
      </c>
      <c r="O764" s="2" t="n">
        <f aca="false">IF(AND(E764&gt;0,L764),J764/E764,"")</f>
        <v>6.3</v>
      </c>
    </row>
    <row r="765" customFormat="false" ht="15" hidden="false" customHeight="false" outlineLevel="0" collapsed="false">
      <c r="A765" s="2" t="n">
        <v>2022</v>
      </c>
      <c r="B765" s="2" t="s">
        <v>596</v>
      </c>
      <c r="C765" s="2" t="s">
        <v>420</v>
      </c>
      <c r="D765" s="2" t="s">
        <v>24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11" t="b">
        <f aca="false">TRUE()</f>
        <v>1</v>
      </c>
      <c r="M765" s="2" t="s">
        <v>410</v>
      </c>
      <c r="N765" s="2" t="str">
        <f aca="false">IF(E765&gt;0,F765/E765,"")</f>
        <v/>
      </c>
      <c r="O765" s="2" t="str">
        <f aca="false">IF(AND(E765&gt;0,L765),J765/E765,"")</f>
        <v/>
      </c>
    </row>
    <row r="766" customFormat="false" ht="15" hidden="false" customHeight="false" outlineLevel="0" collapsed="false">
      <c r="A766" s="2" t="n">
        <v>2022</v>
      </c>
      <c r="B766" s="2" t="s">
        <v>467</v>
      </c>
      <c r="C766" s="2" t="s">
        <v>414</v>
      </c>
      <c r="D766" s="2" t="s">
        <v>413</v>
      </c>
      <c r="E766" s="2" t="n">
        <v>10</v>
      </c>
      <c r="F766" s="2" t="n">
        <v>8</v>
      </c>
      <c r="G766" s="2" t="n">
        <v>5</v>
      </c>
      <c r="H766" s="2" t="n">
        <v>3</v>
      </c>
      <c r="I766" s="2" t="n">
        <v>3</v>
      </c>
      <c r="J766" s="2" t="n">
        <v>89</v>
      </c>
      <c r="K766" s="2" t="n">
        <v>109</v>
      </c>
      <c r="L766" s="11" t="b">
        <f aca="false">TRUE()</f>
        <v>1</v>
      </c>
      <c r="M766" s="2" t="s">
        <v>410</v>
      </c>
      <c r="N766" s="2" t="n">
        <f aca="false">IF(E766&gt;0,F766/E766,"")</f>
        <v>0.8</v>
      </c>
      <c r="O766" s="2" t="n">
        <f aca="false">IF(AND(E766&gt;0,L766),J766/E766,"")</f>
        <v>8.9</v>
      </c>
    </row>
    <row r="767" customFormat="false" ht="15" hidden="false" customHeight="false" outlineLevel="0" collapsed="false">
      <c r="A767" s="2" t="n">
        <v>2022</v>
      </c>
      <c r="B767" s="2" t="s">
        <v>323</v>
      </c>
      <c r="C767" s="2" t="s">
        <v>405</v>
      </c>
      <c r="D767" s="2" t="s">
        <v>83</v>
      </c>
      <c r="E767" s="2" t="n">
        <v>7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45</v>
      </c>
      <c r="K767" s="2" t="n">
        <v>46</v>
      </c>
      <c r="L767" s="11" t="b">
        <f aca="false">TRUE()</f>
        <v>1</v>
      </c>
      <c r="M767" s="2" t="s">
        <v>406</v>
      </c>
      <c r="N767" s="2" t="n">
        <f aca="false">IF(E767&gt;0,F767/E767,"")</f>
        <v>0</v>
      </c>
      <c r="O767" s="2" t="n">
        <f aca="false">IF(AND(E767&gt;0,L767),J767/E767,"")</f>
        <v>6.42857142857143</v>
      </c>
    </row>
    <row r="768" customFormat="false" ht="15" hidden="false" customHeight="false" outlineLevel="0" collapsed="false">
      <c r="A768" s="2" t="n">
        <v>2022</v>
      </c>
      <c r="B768" s="2" t="s">
        <v>146</v>
      </c>
      <c r="C768" s="2" t="s">
        <v>420</v>
      </c>
      <c r="D768" s="2" t="s">
        <v>117</v>
      </c>
      <c r="E768" s="2" t="n">
        <v>10</v>
      </c>
      <c r="F768" s="2" t="n">
        <v>6</v>
      </c>
      <c r="G768" s="2" t="n">
        <v>2</v>
      </c>
      <c r="H768" s="2" t="n">
        <v>0</v>
      </c>
      <c r="I768" s="2" t="n">
        <v>1</v>
      </c>
      <c r="J768" s="2" t="n">
        <v>36</v>
      </c>
      <c r="K768" s="2" t="n">
        <v>47</v>
      </c>
      <c r="L768" s="11" t="b">
        <f aca="false">TRUE()</f>
        <v>1</v>
      </c>
      <c r="M768" s="2" t="s">
        <v>406</v>
      </c>
      <c r="N768" s="2" t="n">
        <f aca="false">IF(E768&gt;0,F768/E768,"")</f>
        <v>0.6</v>
      </c>
      <c r="O768" s="2" t="n">
        <f aca="false">IF(AND(E768&gt;0,L768),J768/E768,"")</f>
        <v>3.6</v>
      </c>
    </row>
    <row r="769" customFormat="false" ht="15" hidden="false" customHeight="false" outlineLevel="0" collapsed="false">
      <c r="A769" s="2" t="n">
        <v>2022</v>
      </c>
      <c r="B769" s="2" t="s">
        <v>358</v>
      </c>
      <c r="C769" s="2" t="s">
        <v>545</v>
      </c>
      <c r="D769" s="2" t="s">
        <v>115</v>
      </c>
      <c r="E769" s="2" t="n">
        <v>4</v>
      </c>
      <c r="F769" s="2" t="n">
        <v>3</v>
      </c>
      <c r="G769" s="2" t="n">
        <v>2</v>
      </c>
      <c r="H769" s="2" t="n">
        <v>1</v>
      </c>
      <c r="I769" s="2" t="n">
        <v>0</v>
      </c>
      <c r="J769" s="2" t="n">
        <v>6</v>
      </c>
      <c r="K769" s="2" t="n">
        <v>9</v>
      </c>
      <c r="L769" s="11" t="b">
        <f aca="false">TRUE()</f>
        <v>1</v>
      </c>
      <c r="M769" s="2" t="s">
        <v>406</v>
      </c>
      <c r="N769" s="2" t="n">
        <f aca="false">IF(E769&gt;0,F769/E769,"")</f>
        <v>0.75</v>
      </c>
      <c r="O769" s="2" t="n">
        <f aca="false">IF(AND(E769&gt;0,L769),J769/E769,"")</f>
        <v>1.5</v>
      </c>
    </row>
    <row r="770" customFormat="false" ht="15" hidden="false" customHeight="false" outlineLevel="0" collapsed="false">
      <c r="A770" s="2" t="n">
        <v>2022</v>
      </c>
      <c r="B770" s="2" t="s">
        <v>79</v>
      </c>
      <c r="C770" s="2" t="s">
        <v>418</v>
      </c>
      <c r="D770" s="2" t="s">
        <v>24</v>
      </c>
      <c r="E770" s="2" t="n">
        <v>10</v>
      </c>
      <c r="F770" s="2" t="n">
        <v>57</v>
      </c>
      <c r="G770" s="2" t="n">
        <v>38</v>
      </c>
      <c r="H770" s="2" t="n">
        <v>16</v>
      </c>
      <c r="I770" s="2" t="n">
        <v>22</v>
      </c>
      <c r="J770" s="2" t="n">
        <v>382</v>
      </c>
      <c r="K770" s="2" t="n">
        <v>472</v>
      </c>
      <c r="L770" s="11" t="b">
        <f aca="false">TRUE()</f>
        <v>1</v>
      </c>
      <c r="M770" s="2" t="s">
        <v>406</v>
      </c>
      <c r="N770" s="2" t="n">
        <f aca="false">IF(E770&gt;0,F770/E770,"")</f>
        <v>5.7</v>
      </c>
      <c r="O770" s="2" t="n">
        <f aca="false">IF(AND(E770&gt;0,L770),J770/E770,"")</f>
        <v>38.2</v>
      </c>
    </row>
    <row r="771" customFormat="false" ht="15" hidden="false" customHeight="false" outlineLevel="0" collapsed="false">
      <c r="A771" s="2" t="n">
        <v>2022</v>
      </c>
      <c r="B771" s="2" t="s">
        <v>37</v>
      </c>
      <c r="C771" s="2" t="s">
        <v>545</v>
      </c>
      <c r="D771" s="2" t="s">
        <v>24</v>
      </c>
      <c r="E771" s="2" t="n">
        <v>10</v>
      </c>
      <c r="F771" s="2" t="n">
        <v>49</v>
      </c>
      <c r="G771" s="2" t="n">
        <v>38</v>
      </c>
      <c r="H771" s="2" t="n">
        <v>14</v>
      </c>
      <c r="I771" s="2" t="n">
        <v>9</v>
      </c>
      <c r="J771" s="2" t="n">
        <v>202</v>
      </c>
      <c r="K771" s="2" t="n">
        <v>282</v>
      </c>
      <c r="L771" s="11" t="b">
        <f aca="false">TRUE()</f>
        <v>1</v>
      </c>
      <c r="M771" s="2" t="s">
        <v>406</v>
      </c>
      <c r="N771" s="2" t="n">
        <f aca="false">IF(E771&gt;0,F771/E771,"")</f>
        <v>4.9</v>
      </c>
      <c r="O771" s="2" t="n">
        <f aca="false">IF(AND(E771&gt;0,L771),J771/E771,"")</f>
        <v>20.2</v>
      </c>
    </row>
    <row r="772" customFormat="false" ht="15" hidden="false" customHeight="false" outlineLevel="0" collapsed="false">
      <c r="A772" s="2" t="n">
        <v>2022</v>
      </c>
      <c r="B772" s="2" t="s">
        <v>33</v>
      </c>
      <c r="C772" s="2" t="s">
        <v>420</v>
      </c>
      <c r="D772" s="2" t="s">
        <v>29</v>
      </c>
      <c r="E772" s="2" t="n">
        <v>10</v>
      </c>
      <c r="F772" s="2" t="n">
        <v>30</v>
      </c>
      <c r="G772" s="2" t="n">
        <v>20</v>
      </c>
      <c r="H772" s="2" t="n">
        <v>11</v>
      </c>
      <c r="I772" s="2" t="n">
        <v>3</v>
      </c>
      <c r="J772" s="2" t="n">
        <v>162</v>
      </c>
      <c r="K772" s="2" t="n">
        <v>199</v>
      </c>
      <c r="L772" s="11" t="b">
        <f aca="false">TRUE()</f>
        <v>1</v>
      </c>
      <c r="M772" s="2" t="s">
        <v>406</v>
      </c>
      <c r="N772" s="2" t="n">
        <f aca="false">IF(E772&gt;0,F772/E772,"")</f>
        <v>3</v>
      </c>
      <c r="O772" s="2" t="n">
        <f aca="false">IF(AND(E772&gt;0,L772),J772/E772,"")</f>
        <v>16.2</v>
      </c>
    </row>
    <row r="773" customFormat="false" ht="15" hidden="false" customHeight="false" outlineLevel="0" collapsed="false">
      <c r="A773" s="2" t="n">
        <v>2022</v>
      </c>
      <c r="B773" s="2" t="s">
        <v>597</v>
      </c>
      <c r="C773" s="2" t="s">
        <v>518</v>
      </c>
      <c r="D773" s="2" t="s">
        <v>29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11" t="b">
        <f aca="false">TRUE()</f>
        <v>1</v>
      </c>
      <c r="M773" s="2" t="s">
        <v>410</v>
      </c>
      <c r="N773" s="2" t="str">
        <f aca="false">IF(E773&gt;0,F773/E773,"")</f>
        <v/>
      </c>
      <c r="O773" s="2" t="str">
        <f aca="false">IF(AND(E773&gt;0,L773),J773/E773,"")</f>
        <v/>
      </c>
    </row>
    <row r="774" customFormat="false" ht="15" hidden="false" customHeight="false" outlineLevel="0" collapsed="false">
      <c r="A774" s="2" t="n">
        <v>2022</v>
      </c>
      <c r="B774" s="2" t="s">
        <v>258</v>
      </c>
      <c r="C774" s="2" t="s">
        <v>543</v>
      </c>
      <c r="D774" s="2" t="s">
        <v>24</v>
      </c>
      <c r="E774" s="2" t="n">
        <v>4</v>
      </c>
      <c r="F774" s="2" t="n">
        <v>6</v>
      </c>
      <c r="G774" s="2" t="n">
        <v>4</v>
      </c>
      <c r="H774" s="2" t="n">
        <v>0</v>
      </c>
      <c r="I774" s="2" t="n">
        <v>4</v>
      </c>
      <c r="J774" s="2" t="n">
        <v>90</v>
      </c>
      <c r="K774" s="2" t="n">
        <v>104</v>
      </c>
      <c r="L774" s="11" t="b">
        <f aca="false">TRUE()</f>
        <v>1</v>
      </c>
      <c r="M774" s="2" t="s">
        <v>406</v>
      </c>
      <c r="N774" s="2" t="n">
        <f aca="false">IF(E774&gt;0,F774/E774,"")</f>
        <v>1.5</v>
      </c>
      <c r="O774" s="2" t="n">
        <f aca="false">IF(AND(E774&gt;0,L774),J774/E774,"")</f>
        <v>22.5</v>
      </c>
    </row>
    <row r="775" customFormat="false" ht="15" hidden="false" customHeight="false" outlineLevel="0" collapsed="false">
      <c r="A775" s="2" t="n">
        <v>2022</v>
      </c>
      <c r="B775" s="2" t="s">
        <v>26</v>
      </c>
      <c r="C775" s="2" t="s">
        <v>405</v>
      </c>
      <c r="D775" s="2" t="s">
        <v>24</v>
      </c>
      <c r="E775" s="2" t="n">
        <v>10</v>
      </c>
      <c r="F775" s="2" t="n">
        <v>49</v>
      </c>
      <c r="G775" s="2" t="n">
        <v>28</v>
      </c>
      <c r="H775" s="2" t="n">
        <v>16</v>
      </c>
      <c r="I775" s="2" t="n">
        <v>22</v>
      </c>
      <c r="J775" s="2" t="n">
        <v>262</v>
      </c>
      <c r="K775" s="2" t="n">
        <v>330</v>
      </c>
      <c r="L775" s="11" t="b">
        <f aca="false">TRUE()</f>
        <v>1</v>
      </c>
      <c r="M775" s="2" t="s">
        <v>406</v>
      </c>
      <c r="N775" s="2" t="n">
        <f aca="false">IF(E775&gt;0,F775/E775,"")</f>
        <v>4.9</v>
      </c>
      <c r="O775" s="2" t="n">
        <f aca="false">IF(AND(E775&gt;0,L775),J775/E775,"")</f>
        <v>26.2</v>
      </c>
    </row>
    <row r="776" customFormat="false" ht="15" hidden="false" customHeight="false" outlineLevel="0" collapsed="false">
      <c r="A776" s="2" t="n">
        <v>2022</v>
      </c>
      <c r="B776" s="2" t="s">
        <v>86</v>
      </c>
      <c r="C776" s="2" t="s">
        <v>405</v>
      </c>
      <c r="D776" s="2" t="s">
        <v>29</v>
      </c>
      <c r="E776" s="2" t="n">
        <v>9</v>
      </c>
      <c r="F776" s="2" t="n">
        <v>43</v>
      </c>
      <c r="G776" s="2" t="n">
        <v>24</v>
      </c>
      <c r="H776" s="2" t="n">
        <v>8</v>
      </c>
      <c r="I776" s="2" t="n">
        <v>1</v>
      </c>
      <c r="J776" s="2" t="n">
        <v>147</v>
      </c>
      <c r="K776" s="2" t="n">
        <v>197</v>
      </c>
      <c r="L776" s="11" t="b">
        <f aca="false">TRUE()</f>
        <v>1</v>
      </c>
      <c r="M776" s="2" t="s">
        <v>406</v>
      </c>
      <c r="N776" s="2" t="n">
        <f aca="false">IF(E776&gt;0,F776/E776,"")</f>
        <v>4.77777777777778</v>
      </c>
      <c r="O776" s="2" t="n">
        <f aca="false">IF(AND(E776&gt;0,L776),J776/E776,"")</f>
        <v>16.3333333333333</v>
      </c>
    </row>
    <row r="777" customFormat="false" ht="15" hidden="false" customHeight="false" outlineLevel="0" collapsed="false">
      <c r="A777" s="2" t="n">
        <v>2022</v>
      </c>
      <c r="B777" s="2" t="s">
        <v>357</v>
      </c>
      <c r="C777" s="2" t="s">
        <v>412</v>
      </c>
      <c r="D777" s="2" t="s">
        <v>24</v>
      </c>
      <c r="E777" s="2" t="n">
        <v>1</v>
      </c>
      <c r="F777" s="2" t="n">
        <v>3</v>
      </c>
      <c r="G777" s="2" t="n">
        <v>1</v>
      </c>
      <c r="H777" s="2" t="n">
        <v>1</v>
      </c>
      <c r="I777" s="2" t="n">
        <v>1</v>
      </c>
      <c r="J777" s="2" t="n">
        <v>6</v>
      </c>
      <c r="K777" s="2" t="n">
        <v>9</v>
      </c>
      <c r="L777" s="11" t="b">
        <f aca="false">TRUE()</f>
        <v>1</v>
      </c>
      <c r="M777" s="2" t="s">
        <v>410</v>
      </c>
      <c r="N777" s="2" t="n">
        <f aca="false">IF(E777&gt;0,F777/E777,"")</f>
        <v>3</v>
      </c>
      <c r="O777" s="2" t="n">
        <f aca="false">IF(AND(E777&gt;0,L777),J777/E777,"")</f>
        <v>6</v>
      </c>
    </row>
    <row r="778" customFormat="false" ht="15" hidden="false" customHeight="false" outlineLevel="0" collapsed="false">
      <c r="A778" s="2" t="n">
        <v>2022</v>
      </c>
      <c r="B778" s="2" t="s">
        <v>598</v>
      </c>
      <c r="C778" s="2" t="s">
        <v>412</v>
      </c>
      <c r="D778" s="2" t="s">
        <v>413</v>
      </c>
      <c r="E778" s="2" t="n">
        <v>1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4</v>
      </c>
      <c r="K778" s="2" t="n">
        <v>5</v>
      </c>
      <c r="L778" s="11" t="b">
        <f aca="false">TRUE()</f>
        <v>1</v>
      </c>
      <c r="M778" s="2" t="s">
        <v>410</v>
      </c>
      <c r="N778" s="2" t="n">
        <f aca="false">IF(E778&gt;0,F778/E778,"")</f>
        <v>0</v>
      </c>
      <c r="O778" s="2" t="n">
        <f aca="false">IF(AND(E778&gt;0,L778),J778/E778,"")</f>
        <v>4</v>
      </c>
    </row>
    <row r="779" customFormat="false" ht="15" hidden="false" customHeight="false" outlineLevel="0" collapsed="false">
      <c r="A779" s="2" t="n">
        <v>2022</v>
      </c>
      <c r="B779" s="2" t="s">
        <v>570</v>
      </c>
      <c r="C779" s="2" t="s">
        <v>414</v>
      </c>
      <c r="D779" s="2" t="s">
        <v>409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11" t="b">
        <f aca="false">TRUE()</f>
        <v>1</v>
      </c>
      <c r="M779" s="2" t="s">
        <v>410</v>
      </c>
      <c r="N779" s="2" t="str">
        <f aca="false">IF(E779&gt;0,F779/E779,"")</f>
        <v/>
      </c>
      <c r="O779" s="2" t="str">
        <f aca="false">IF(AND(E779&gt;0,L779),J779/E779,"")</f>
        <v/>
      </c>
    </row>
    <row r="780" customFormat="false" ht="15" hidden="false" customHeight="false" outlineLevel="0" collapsed="false">
      <c r="A780" s="2" t="n">
        <v>2022</v>
      </c>
      <c r="B780" s="2" t="s">
        <v>599</v>
      </c>
      <c r="C780" s="2" t="s">
        <v>405</v>
      </c>
      <c r="D780" s="2" t="s">
        <v>24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11" t="b">
        <f aca="false">TRUE()</f>
        <v>1</v>
      </c>
      <c r="M780" s="2" t="s">
        <v>410</v>
      </c>
      <c r="N780" s="2" t="str">
        <f aca="false">IF(E780&gt;0,F780/E780,"")</f>
        <v/>
      </c>
      <c r="O780" s="2" t="str">
        <f aca="false">IF(AND(E780&gt;0,L780),J780/E780,"")</f>
        <v/>
      </c>
    </row>
    <row r="781" customFormat="false" ht="15" hidden="false" customHeight="false" outlineLevel="0" collapsed="false">
      <c r="A781" s="2" t="n">
        <v>2022</v>
      </c>
      <c r="B781" s="2" t="s">
        <v>475</v>
      </c>
      <c r="C781" s="2" t="s">
        <v>412</v>
      </c>
      <c r="D781" s="2" t="s">
        <v>117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11" t="b">
        <f aca="false">TRUE()</f>
        <v>1</v>
      </c>
      <c r="M781" s="2" t="s">
        <v>410</v>
      </c>
      <c r="N781" s="2" t="str">
        <f aca="false">IF(E781&gt;0,F781/E781,"")</f>
        <v/>
      </c>
      <c r="O781" s="2" t="str">
        <f aca="false">IF(AND(E781&gt;0,L781),J781/E781,"")</f>
        <v/>
      </c>
    </row>
    <row r="782" customFormat="false" ht="15" hidden="false" customHeight="false" outlineLevel="0" collapsed="false">
      <c r="A782" s="2" t="n">
        <v>2022</v>
      </c>
      <c r="B782" s="2" t="s">
        <v>476</v>
      </c>
      <c r="C782" s="2" t="s">
        <v>408</v>
      </c>
      <c r="D782" s="2" t="s">
        <v>117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11" t="b">
        <f aca="false">TRUE()</f>
        <v>1</v>
      </c>
      <c r="M782" s="2" t="s">
        <v>410</v>
      </c>
      <c r="N782" s="2" t="str">
        <f aca="false">IF(E782&gt;0,F782/E782,"")</f>
        <v/>
      </c>
      <c r="O782" s="2" t="str">
        <f aca="false">IF(AND(E782&gt;0,L782),J782/E782,"")</f>
        <v/>
      </c>
    </row>
    <row r="783" customFormat="false" ht="15" hidden="false" customHeight="false" outlineLevel="0" collapsed="false">
      <c r="A783" s="2" t="n">
        <v>2022</v>
      </c>
      <c r="B783" s="2" t="s">
        <v>571</v>
      </c>
      <c r="C783" s="2" t="s">
        <v>412</v>
      </c>
      <c r="D783" s="2" t="s">
        <v>115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11" t="b">
        <f aca="false">TRUE()</f>
        <v>1</v>
      </c>
      <c r="M783" s="2" t="s">
        <v>410</v>
      </c>
      <c r="N783" s="2" t="str">
        <f aca="false">IF(E783&gt;0,F783/E783,"")</f>
        <v/>
      </c>
      <c r="O783" s="2" t="str">
        <f aca="false">IF(AND(E783&gt;0,L783),J783/E783,"")</f>
        <v/>
      </c>
    </row>
    <row r="784" customFormat="false" ht="15" hidden="false" customHeight="false" outlineLevel="0" collapsed="false">
      <c r="A784" s="2" t="n">
        <v>2022</v>
      </c>
      <c r="B784" s="2" t="s">
        <v>600</v>
      </c>
      <c r="C784" s="2" t="s">
        <v>418</v>
      </c>
      <c r="D784" s="2" t="s">
        <v>413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11" t="b">
        <f aca="false">TRUE()</f>
        <v>1</v>
      </c>
      <c r="M784" s="2" t="s">
        <v>410</v>
      </c>
      <c r="N784" s="2" t="str">
        <f aca="false">IF(E784&gt;0,F784/E784,"")</f>
        <v/>
      </c>
      <c r="O784" s="2" t="str">
        <f aca="false">IF(AND(E784&gt;0,L784),J784/E784,"")</f>
        <v/>
      </c>
    </row>
    <row r="785" customFormat="false" ht="15" hidden="false" customHeight="false" outlineLevel="0" collapsed="false">
      <c r="A785" s="2" t="n">
        <v>2022</v>
      </c>
      <c r="B785" s="2" t="s">
        <v>163</v>
      </c>
      <c r="C785" s="2" t="s">
        <v>414</v>
      </c>
      <c r="D785" s="2" t="s">
        <v>83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11" t="b">
        <f aca="false">TRUE()</f>
        <v>1</v>
      </c>
      <c r="M785" s="2" t="s">
        <v>410</v>
      </c>
      <c r="N785" s="2" t="str">
        <f aca="false">IF(E785&gt;0,F785/E785,"")</f>
        <v/>
      </c>
      <c r="O785" s="2" t="str">
        <f aca="false">IF(AND(E785&gt;0,L785),J785/E785,"")</f>
        <v/>
      </c>
    </row>
    <row r="786" customFormat="false" ht="15" hidden="false" customHeight="false" outlineLevel="0" collapsed="false">
      <c r="A786" s="2" t="n">
        <v>2022</v>
      </c>
      <c r="B786" s="2" t="s">
        <v>270</v>
      </c>
      <c r="C786" s="2" t="s">
        <v>545</v>
      </c>
      <c r="D786" s="2" t="s">
        <v>117</v>
      </c>
      <c r="E786" s="2" t="n">
        <v>10</v>
      </c>
      <c r="F786" s="2" t="n">
        <v>5</v>
      </c>
      <c r="G786" s="2" t="n">
        <v>3</v>
      </c>
      <c r="H786" s="2" t="n">
        <v>1</v>
      </c>
      <c r="I786" s="2" t="n">
        <v>0</v>
      </c>
      <c r="J786" s="2" t="n">
        <v>43</v>
      </c>
      <c r="K786" s="2" t="n">
        <v>57</v>
      </c>
      <c r="L786" s="11" t="b">
        <f aca="false">TRUE()</f>
        <v>1</v>
      </c>
      <c r="M786" s="2" t="s">
        <v>406</v>
      </c>
      <c r="N786" s="2" t="n">
        <f aca="false">IF(E786&gt;0,F786/E786,"")</f>
        <v>0.5</v>
      </c>
      <c r="O786" s="2" t="n">
        <f aca="false">IF(AND(E786&gt;0,L786),J786/E786,"")</f>
        <v>4.3</v>
      </c>
    </row>
    <row r="787" customFormat="false" ht="15" hidden="false" customHeight="false" outlineLevel="0" collapsed="false">
      <c r="A787" s="2" t="n">
        <v>2022</v>
      </c>
      <c r="B787" s="2" t="s">
        <v>480</v>
      </c>
      <c r="C787" s="2" t="s">
        <v>420</v>
      </c>
      <c r="D787" s="2" t="s">
        <v>413</v>
      </c>
      <c r="E787" s="2" t="n">
        <v>1</v>
      </c>
      <c r="F787" s="2" t="n">
        <v>1</v>
      </c>
      <c r="G787" s="2" t="n">
        <v>1</v>
      </c>
      <c r="H787" s="2" t="n">
        <v>1</v>
      </c>
      <c r="I787" s="2" t="n">
        <v>0</v>
      </c>
      <c r="J787" s="2" t="n">
        <v>1</v>
      </c>
      <c r="K787" s="2" t="n">
        <v>2</v>
      </c>
      <c r="L787" s="11" t="b">
        <f aca="false">TRUE()</f>
        <v>1</v>
      </c>
      <c r="M787" s="2" t="s">
        <v>410</v>
      </c>
      <c r="N787" s="2" t="n">
        <f aca="false">IF(E787&gt;0,F787/E787,"")</f>
        <v>1</v>
      </c>
      <c r="O787" s="2" t="n">
        <f aca="false">IF(AND(E787&gt;0,L787),J787/E787,"")</f>
        <v>1</v>
      </c>
    </row>
    <row r="788" customFormat="false" ht="15" hidden="false" customHeight="false" outlineLevel="0" collapsed="false">
      <c r="A788" s="2" t="n">
        <v>2022</v>
      </c>
      <c r="B788" s="2" t="s">
        <v>299</v>
      </c>
      <c r="C788" s="2" t="s">
        <v>405</v>
      </c>
      <c r="D788" s="2" t="s">
        <v>117</v>
      </c>
      <c r="E788" s="2" t="n">
        <v>10</v>
      </c>
      <c r="F788" s="2" t="n">
        <v>2</v>
      </c>
      <c r="G788" s="2" t="n">
        <v>2</v>
      </c>
      <c r="H788" s="2" t="n">
        <v>0</v>
      </c>
      <c r="I788" s="2" t="n">
        <v>0</v>
      </c>
      <c r="J788" s="2" t="n">
        <v>48</v>
      </c>
      <c r="K788" s="2" t="n">
        <v>54</v>
      </c>
      <c r="L788" s="11" t="b">
        <f aca="false">TRUE()</f>
        <v>1</v>
      </c>
      <c r="M788" s="2" t="s">
        <v>406</v>
      </c>
      <c r="N788" s="2" t="n">
        <f aca="false">IF(E788&gt;0,F788/E788,"")</f>
        <v>0.2</v>
      </c>
      <c r="O788" s="2" t="n">
        <f aca="false">IF(AND(E788&gt;0,L788),J788/E788,"")</f>
        <v>4.8</v>
      </c>
    </row>
    <row r="789" customFormat="false" ht="15" hidden="false" customHeight="false" outlineLevel="0" collapsed="false">
      <c r="A789" s="2" t="n">
        <v>2022</v>
      </c>
      <c r="B789" s="2" t="s">
        <v>42</v>
      </c>
      <c r="C789" s="2" t="s">
        <v>414</v>
      </c>
      <c r="D789" s="2" t="s">
        <v>24</v>
      </c>
      <c r="E789" s="2" t="n">
        <v>10</v>
      </c>
      <c r="F789" s="2" t="n">
        <v>76</v>
      </c>
      <c r="G789" s="2" t="n">
        <v>46</v>
      </c>
      <c r="H789" s="2" t="n">
        <v>21</v>
      </c>
      <c r="I789" s="2" t="n">
        <v>11</v>
      </c>
      <c r="J789" s="2" t="n">
        <v>199</v>
      </c>
      <c r="K789" s="2" t="n">
        <v>303</v>
      </c>
      <c r="L789" s="11" t="b">
        <f aca="false">TRUE()</f>
        <v>1</v>
      </c>
      <c r="M789" s="2" t="s">
        <v>406</v>
      </c>
      <c r="N789" s="2" t="n">
        <f aca="false">IF(E789&gt;0,F789/E789,"")</f>
        <v>7.6</v>
      </c>
      <c r="O789" s="2" t="n">
        <f aca="false">IF(AND(E789&gt;0,L789),J789/E789,"")</f>
        <v>19.9</v>
      </c>
    </row>
    <row r="790" customFormat="false" ht="15" hidden="false" customHeight="false" outlineLevel="0" collapsed="false">
      <c r="A790" s="2" t="n">
        <v>2022</v>
      </c>
      <c r="B790" s="2" t="s">
        <v>322</v>
      </c>
      <c r="C790" s="2" t="s">
        <v>418</v>
      </c>
      <c r="D790" s="2" t="s">
        <v>29</v>
      </c>
      <c r="E790" s="2" t="n">
        <v>3</v>
      </c>
      <c r="F790" s="2" t="n">
        <v>4</v>
      </c>
      <c r="G790" s="2" t="n">
        <v>3</v>
      </c>
      <c r="H790" s="2" t="n">
        <v>1</v>
      </c>
      <c r="I790" s="2" t="n">
        <v>0</v>
      </c>
      <c r="J790" s="2" t="n">
        <v>30</v>
      </c>
      <c r="K790" s="2" t="n">
        <v>36</v>
      </c>
      <c r="L790" s="11" t="b">
        <f aca="false">TRUE()</f>
        <v>1</v>
      </c>
      <c r="M790" s="2" t="s">
        <v>406</v>
      </c>
      <c r="N790" s="2" t="n">
        <f aca="false">IF(E790&gt;0,F790/E790,"")</f>
        <v>1.33333333333333</v>
      </c>
      <c r="O790" s="2" t="n">
        <f aca="false">IF(AND(E790&gt;0,L790),J790/E790,"")</f>
        <v>10</v>
      </c>
    </row>
    <row r="791" customFormat="false" ht="15" hidden="false" customHeight="false" outlineLevel="0" collapsed="false">
      <c r="A791" s="2" t="n">
        <v>2022</v>
      </c>
      <c r="B791" s="2" t="s">
        <v>130</v>
      </c>
      <c r="C791" s="2" t="s">
        <v>518</v>
      </c>
      <c r="D791" s="2" t="s">
        <v>117</v>
      </c>
      <c r="E791" s="2" t="n">
        <v>10</v>
      </c>
      <c r="F791" s="2" t="n">
        <v>5</v>
      </c>
      <c r="G791" s="2" t="n">
        <v>5</v>
      </c>
      <c r="H791" s="2" t="n">
        <v>2</v>
      </c>
      <c r="I791" s="2" t="n">
        <v>1</v>
      </c>
      <c r="J791" s="2" t="n">
        <v>50</v>
      </c>
      <c r="K791" s="2" t="n">
        <v>59</v>
      </c>
      <c r="L791" s="11" t="b">
        <f aca="false">TRUE()</f>
        <v>1</v>
      </c>
      <c r="M791" s="2" t="s">
        <v>406</v>
      </c>
      <c r="N791" s="2" t="n">
        <f aca="false">IF(E791&gt;0,F791/E791,"")</f>
        <v>0.5</v>
      </c>
      <c r="O791" s="2" t="n">
        <f aca="false">IF(AND(E791&gt;0,L791),J791/E791,"")</f>
        <v>5</v>
      </c>
    </row>
    <row r="792" customFormat="false" ht="15" hidden="false" customHeight="false" outlineLevel="0" collapsed="false">
      <c r="A792" s="2" t="n">
        <v>2022</v>
      </c>
      <c r="B792" s="2" t="s">
        <v>239</v>
      </c>
      <c r="C792" s="2" t="s">
        <v>408</v>
      </c>
      <c r="D792" s="2" t="s">
        <v>117</v>
      </c>
      <c r="E792" s="2" t="n">
        <v>10</v>
      </c>
      <c r="F792" s="2" t="n">
        <v>10</v>
      </c>
      <c r="G792" s="2" t="n">
        <v>8</v>
      </c>
      <c r="H792" s="2" t="n">
        <v>1</v>
      </c>
      <c r="I792" s="2" t="n">
        <v>1</v>
      </c>
      <c r="J792" s="2" t="n">
        <v>97</v>
      </c>
      <c r="K792" s="2" t="n">
        <v>111</v>
      </c>
      <c r="L792" s="11" t="b">
        <f aca="false">TRUE()</f>
        <v>1</v>
      </c>
      <c r="M792" s="2" t="s">
        <v>406</v>
      </c>
      <c r="N792" s="2" t="n">
        <f aca="false">IF(E792&gt;0,F792/E792,"")</f>
        <v>1</v>
      </c>
      <c r="O792" s="2" t="n">
        <f aca="false">IF(AND(E792&gt;0,L792),J792/E792,"")</f>
        <v>9.7</v>
      </c>
    </row>
    <row r="793" customFormat="false" ht="15" hidden="false" customHeight="false" outlineLevel="0" collapsed="false">
      <c r="A793" s="2" t="n">
        <v>2022</v>
      </c>
      <c r="B793" s="2" t="s">
        <v>277</v>
      </c>
      <c r="C793" s="2" t="s">
        <v>420</v>
      </c>
      <c r="D793" s="2" t="s">
        <v>117</v>
      </c>
      <c r="E793" s="2" t="n">
        <v>5</v>
      </c>
      <c r="F793" s="2" t="n">
        <v>4</v>
      </c>
      <c r="G793" s="2" t="n">
        <v>2</v>
      </c>
      <c r="H793" s="2" t="n">
        <v>0</v>
      </c>
      <c r="I793" s="2" t="n">
        <v>0</v>
      </c>
      <c r="J793" s="2" t="n">
        <v>12</v>
      </c>
      <c r="K793" s="2" t="n">
        <v>18</v>
      </c>
      <c r="L793" s="11" t="b">
        <f aca="false">TRUE()</f>
        <v>1</v>
      </c>
      <c r="M793" s="2" t="s">
        <v>406</v>
      </c>
      <c r="N793" s="2" t="n">
        <f aca="false">IF(E793&gt;0,F793/E793,"")</f>
        <v>0.8</v>
      </c>
      <c r="O793" s="2" t="n">
        <f aca="false">IF(AND(E793&gt;0,L793),J793/E793,"")</f>
        <v>2.4</v>
      </c>
    </row>
    <row r="794" customFormat="false" ht="15" hidden="false" customHeight="false" outlineLevel="0" collapsed="false">
      <c r="A794" s="2" t="n">
        <v>2022</v>
      </c>
      <c r="B794" s="2" t="s">
        <v>209</v>
      </c>
      <c r="C794" s="2" t="s">
        <v>518</v>
      </c>
      <c r="D794" s="2" t="s">
        <v>115</v>
      </c>
      <c r="E794" s="2" t="n">
        <v>9</v>
      </c>
      <c r="F794" s="2" t="n">
        <v>11</v>
      </c>
      <c r="G794" s="2" t="n">
        <v>7</v>
      </c>
      <c r="H794" s="2" t="n">
        <v>3</v>
      </c>
      <c r="I794" s="2" t="n">
        <v>1</v>
      </c>
      <c r="J794" s="2" t="n">
        <v>30</v>
      </c>
      <c r="K794" s="2" t="n">
        <v>44</v>
      </c>
      <c r="L794" s="11" t="b">
        <f aca="false">TRUE()</f>
        <v>1</v>
      </c>
      <c r="M794" s="2" t="s">
        <v>406</v>
      </c>
      <c r="N794" s="2" t="n">
        <f aca="false">IF(E794&gt;0,F794/E794,"")</f>
        <v>1.22222222222222</v>
      </c>
      <c r="O794" s="2" t="n">
        <f aca="false">IF(AND(E794&gt;0,L794),J794/E794,"")</f>
        <v>3.33333333333333</v>
      </c>
    </row>
    <row r="795" customFormat="false" ht="15" hidden="false" customHeight="false" outlineLevel="0" collapsed="false">
      <c r="A795" s="2" t="n">
        <v>2022</v>
      </c>
      <c r="B795" s="2" t="s">
        <v>114</v>
      </c>
      <c r="C795" s="2" t="s">
        <v>420</v>
      </c>
      <c r="D795" s="2" t="s">
        <v>115</v>
      </c>
      <c r="E795" s="2" t="n">
        <v>10</v>
      </c>
      <c r="F795" s="2" t="n">
        <v>3</v>
      </c>
      <c r="G795" s="2" t="n">
        <v>3</v>
      </c>
      <c r="H795" s="2" t="n">
        <v>1</v>
      </c>
      <c r="I795" s="2" t="n">
        <v>0</v>
      </c>
      <c r="J795" s="2" t="n">
        <v>85</v>
      </c>
      <c r="K795" s="2" t="n">
        <v>89</v>
      </c>
      <c r="L795" s="11" t="b">
        <f aca="false">TRUE()</f>
        <v>1</v>
      </c>
      <c r="M795" s="2" t="s">
        <v>406</v>
      </c>
      <c r="N795" s="2" t="n">
        <f aca="false">IF(E795&gt;0,F795/E795,"")</f>
        <v>0.3</v>
      </c>
      <c r="O795" s="2" t="n">
        <f aca="false">IF(AND(E795&gt;0,L795),J795/E795,"")</f>
        <v>8.5</v>
      </c>
    </row>
    <row r="796" customFormat="false" ht="15" hidden="false" customHeight="false" outlineLevel="0" collapsed="false">
      <c r="A796" s="2" t="n">
        <v>2022</v>
      </c>
      <c r="B796" s="2" t="s">
        <v>147</v>
      </c>
      <c r="C796" s="2" t="s">
        <v>545</v>
      </c>
      <c r="D796" s="2" t="s">
        <v>29</v>
      </c>
      <c r="E796" s="2" t="n">
        <v>10</v>
      </c>
      <c r="F796" s="2" t="n">
        <v>29</v>
      </c>
      <c r="G796" s="2" t="n">
        <v>17</v>
      </c>
      <c r="H796" s="2" t="n">
        <v>6</v>
      </c>
      <c r="I796" s="2" t="n">
        <v>8</v>
      </c>
      <c r="J796" s="2" t="n">
        <v>232</v>
      </c>
      <c r="K796" s="2" t="n">
        <v>277</v>
      </c>
      <c r="L796" s="11" t="b">
        <f aca="false">TRUE()</f>
        <v>1</v>
      </c>
      <c r="M796" s="2" t="s">
        <v>406</v>
      </c>
      <c r="N796" s="2" t="n">
        <f aca="false">IF(E796&gt;0,F796/E796,"")</f>
        <v>2.9</v>
      </c>
      <c r="O796" s="2" t="n">
        <f aca="false">IF(AND(E796&gt;0,L796),J796/E796,"")</f>
        <v>23.2</v>
      </c>
    </row>
    <row r="797" customFormat="false" ht="15" hidden="false" customHeight="false" outlineLevel="0" collapsed="false">
      <c r="A797" s="2" t="n">
        <v>2022</v>
      </c>
      <c r="B797" s="2" t="s">
        <v>247</v>
      </c>
      <c r="C797" s="2" t="s">
        <v>414</v>
      </c>
      <c r="D797" s="2" t="s">
        <v>24</v>
      </c>
      <c r="E797" s="2" t="n">
        <v>4</v>
      </c>
      <c r="F797" s="2" t="n">
        <v>12</v>
      </c>
      <c r="G797" s="2" t="n">
        <v>5</v>
      </c>
      <c r="H797" s="2" t="n">
        <v>4</v>
      </c>
      <c r="I797" s="2" t="n">
        <v>0</v>
      </c>
      <c r="J797" s="2" t="n">
        <v>32</v>
      </c>
      <c r="K797" s="2" t="n">
        <v>47</v>
      </c>
      <c r="L797" s="11" t="b">
        <f aca="false">TRUE()</f>
        <v>1</v>
      </c>
      <c r="M797" s="2" t="s">
        <v>406</v>
      </c>
      <c r="N797" s="2" t="n">
        <f aca="false">IF(E797&gt;0,F797/E797,"")</f>
        <v>3</v>
      </c>
      <c r="O797" s="2" t="n">
        <f aca="false">IF(AND(E797&gt;0,L797),J797/E797,"")</f>
        <v>8</v>
      </c>
    </row>
    <row r="798" customFormat="false" ht="15" hidden="false" customHeight="false" outlineLevel="0" collapsed="false">
      <c r="A798" s="2" t="n">
        <v>2022</v>
      </c>
      <c r="B798" s="2" t="s">
        <v>165</v>
      </c>
      <c r="C798" s="2" t="s">
        <v>420</v>
      </c>
      <c r="D798" s="2" t="s">
        <v>83</v>
      </c>
      <c r="E798" s="2" t="n">
        <v>10</v>
      </c>
      <c r="F798" s="2" t="n">
        <v>4</v>
      </c>
      <c r="G798" s="2" t="n">
        <v>3</v>
      </c>
      <c r="H798" s="2" t="n">
        <v>1</v>
      </c>
      <c r="I798" s="2" t="n">
        <v>1</v>
      </c>
      <c r="J798" s="2" t="n">
        <v>68</v>
      </c>
      <c r="K798" s="2" t="n">
        <v>76</v>
      </c>
      <c r="L798" s="11" t="b">
        <f aca="false">TRUE()</f>
        <v>1</v>
      </c>
      <c r="M798" s="2" t="s">
        <v>406</v>
      </c>
      <c r="N798" s="2" t="n">
        <f aca="false">IF(E798&gt;0,F798/E798,"")</f>
        <v>0.4</v>
      </c>
      <c r="O798" s="2" t="n">
        <f aca="false">IF(AND(E798&gt;0,L798),J798/E798,"")</f>
        <v>6.8</v>
      </c>
    </row>
    <row r="799" customFormat="false" ht="15" hidden="false" customHeight="false" outlineLevel="0" collapsed="false">
      <c r="A799" s="2" t="n">
        <v>2022</v>
      </c>
      <c r="B799" s="2" t="s">
        <v>483</v>
      </c>
      <c r="C799" s="2" t="s">
        <v>420</v>
      </c>
      <c r="D799" s="2" t="s">
        <v>24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11" t="b">
        <f aca="false">TRUE()</f>
        <v>1</v>
      </c>
      <c r="M799" s="2" t="s">
        <v>410</v>
      </c>
      <c r="N799" s="2" t="str">
        <f aca="false">IF(E799&gt;0,F799/E799,"")</f>
        <v/>
      </c>
      <c r="O799" s="2" t="str">
        <f aca="false">IF(AND(E799&gt;0,L799),J799/E799,"")</f>
        <v/>
      </c>
    </row>
    <row r="800" customFormat="false" ht="15" hidden="false" customHeight="false" outlineLevel="0" collapsed="false">
      <c r="A800" s="2" t="n">
        <v>2022</v>
      </c>
      <c r="B800" s="2" t="s">
        <v>162</v>
      </c>
      <c r="C800" s="2" t="s">
        <v>412</v>
      </c>
      <c r="D800" s="2" t="s">
        <v>117</v>
      </c>
      <c r="E800" s="2" t="n">
        <v>10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49</v>
      </c>
      <c r="K800" s="2" t="n">
        <v>52</v>
      </c>
      <c r="L800" s="11" t="b">
        <f aca="false">TRUE()</f>
        <v>1</v>
      </c>
      <c r="M800" s="2" t="s">
        <v>406</v>
      </c>
      <c r="N800" s="2" t="n">
        <f aca="false">IF(E800&gt;0,F800/E800,"")</f>
        <v>0</v>
      </c>
      <c r="O800" s="2" t="n">
        <f aca="false">IF(AND(E800&gt;0,L800),J800/E800,"")</f>
        <v>4.9</v>
      </c>
    </row>
    <row r="801" customFormat="false" ht="15" hidden="false" customHeight="false" outlineLevel="0" collapsed="false">
      <c r="A801" s="2" t="n">
        <v>2022</v>
      </c>
      <c r="B801" s="2" t="s">
        <v>194</v>
      </c>
      <c r="C801" s="2" t="s">
        <v>412</v>
      </c>
      <c r="D801" s="2" t="s">
        <v>83</v>
      </c>
      <c r="E801" s="2" t="n">
        <v>10</v>
      </c>
      <c r="F801" s="2" t="n">
        <v>4</v>
      </c>
      <c r="G801" s="2" t="n">
        <v>4</v>
      </c>
      <c r="H801" s="2" t="n">
        <v>1</v>
      </c>
      <c r="I801" s="2" t="n">
        <v>1</v>
      </c>
      <c r="J801" s="2" t="n">
        <v>70</v>
      </c>
      <c r="K801" s="2" t="n">
        <v>77</v>
      </c>
      <c r="L801" s="11" t="b">
        <f aca="false">TRUE()</f>
        <v>1</v>
      </c>
      <c r="M801" s="2" t="s">
        <v>406</v>
      </c>
      <c r="N801" s="2" t="n">
        <f aca="false">IF(E801&gt;0,F801/E801,"")</f>
        <v>0.4</v>
      </c>
      <c r="O801" s="2" t="n">
        <f aca="false">IF(AND(E801&gt;0,L801),J801/E801,"")</f>
        <v>7</v>
      </c>
    </row>
    <row r="802" customFormat="false" ht="15" hidden="false" customHeight="false" outlineLevel="0" collapsed="false">
      <c r="A802" s="2" t="n">
        <v>2022</v>
      </c>
      <c r="B802" s="2" t="s">
        <v>487</v>
      </c>
      <c r="C802" s="2" t="s">
        <v>420</v>
      </c>
      <c r="D802" s="2" t="s">
        <v>409</v>
      </c>
      <c r="E802" s="2" t="n">
        <v>10</v>
      </c>
      <c r="F802" s="2" t="n">
        <v>3</v>
      </c>
      <c r="G802" s="2" t="n">
        <v>1</v>
      </c>
      <c r="H802" s="2" t="n">
        <v>0</v>
      </c>
      <c r="I802" s="2" t="n">
        <v>1</v>
      </c>
      <c r="J802" s="2" t="n">
        <v>144</v>
      </c>
      <c r="K802" s="2" t="n">
        <v>150</v>
      </c>
      <c r="L802" s="11" t="b">
        <f aca="false">TRUE()</f>
        <v>1</v>
      </c>
      <c r="M802" s="2" t="s">
        <v>410</v>
      </c>
      <c r="N802" s="2" t="n">
        <f aca="false">IF(E802&gt;0,F802/E802,"")</f>
        <v>0.3</v>
      </c>
      <c r="O802" s="2" t="n">
        <f aca="false">IF(AND(E802&gt;0,L802),J802/E802,"")</f>
        <v>14.4</v>
      </c>
    </row>
    <row r="803" customFormat="false" ht="15" hidden="false" customHeight="false" outlineLevel="0" collapsed="false">
      <c r="A803" s="2" t="n">
        <v>2022</v>
      </c>
      <c r="B803" s="2" t="s">
        <v>253</v>
      </c>
      <c r="C803" s="2" t="s">
        <v>408</v>
      </c>
      <c r="D803" s="2" t="s">
        <v>115</v>
      </c>
      <c r="E803" s="2" t="n">
        <v>9</v>
      </c>
      <c r="F803" s="2" t="n">
        <v>2</v>
      </c>
      <c r="G803" s="2" t="n">
        <v>1</v>
      </c>
      <c r="H803" s="2" t="n">
        <v>1</v>
      </c>
      <c r="I803" s="2" t="n">
        <v>0</v>
      </c>
      <c r="J803" s="2" t="n">
        <v>16</v>
      </c>
      <c r="K803" s="2" t="n">
        <v>19</v>
      </c>
      <c r="L803" s="11" t="b">
        <f aca="false">TRUE()</f>
        <v>1</v>
      </c>
      <c r="M803" s="2" t="s">
        <v>406</v>
      </c>
      <c r="N803" s="2" t="n">
        <f aca="false">IF(E803&gt;0,F803/E803,"")</f>
        <v>0.222222222222222</v>
      </c>
      <c r="O803" s="2" t="n">
        <f aca="false">IF(AND(E803&gt;0,L803),J803/E803,"")</f>
        <v>1.77777777777778</v>
      </c>
    </row>
    <row r="804" customFormat="false" ht="15" hidden="false" customHeight="false" outlineLevel="0" collapsed="false">
      <c r="A804" s="2" t="n">
        <v>2022</v>
      </c>
      <c r="B804" s="2" t="s">
        <v>317</v>
      </c>
      <c r="C804" s="2" t="s">
        <v>405</v>
      </c>
      <c r="D804" s="2" t="s">
        <v>24</v>
      </c>
      <c r="E804" s="2" t="n">
        <v>4</v>
      </c>
      <c r="F804" s="2" t="n">
        <v>9</v>
      </c>
      <c r="G804" s="2" t="n">
        <v>6</v>
      </c>
      <c r="H804" s="2" t="n">
        <v>1</v>
      </c>
      <c r="I804" s="2" t="n">
        <v>1</v>
      </c>
      <c r="J804" s="2" t="n">
        <v>14</v>
      </c>
      <c r="K804" s="2" t="n">
        <v>27</v>
      </c>
      <c r="L804" s="11" t="b">
        <f aca="false">TRUE()</f>
        <v>1</v>
      </c>
      <c r="M804" s="2" t="s">
        <v>406</v>
      </c>
      <c r="N804" s="2" t="n">
        <f aca="false">IF(E804&gt;0,F804/E804,"")</f>
        <v>2.25</v>
      </c>
      <c r="O804" s="2" t="n">
        <f aca="false">IF(AND(E804&gt;0,L804),J804/E804,"")</f>
        <v>3.5</v>
      </c>
    </row>
    <row r="805" customFormat="false" ht="15" hidden="false" customHeight="false" outlineLevel="0" collapsed="false">
      <c r="A805" s="2" t="n">
        <v>2022</v>
      </c>
      <c r="B805" s="2" t="s">
        <v>172</v>
      </c>
      <c r="C805" s="2" t="s">
        <v>420</v>
      </c>
      <c r="D805" s="2" t="s">
        <v>29</v>
      </c>
      <c r="E805" s="2" t="n">
        <v>7</v>
      </c>
      <c r="F805" s="2" t="n">
        <v>15</v>
      </c>
      <c r="G805" s="2" t="n">
        <v>10</v>
      </c>
      <c r="H805" s="2" t="n">
        <v>9</v>
      </c>
      <c r="I805" s="2" t="n">
        <v>3</v>
      </c>
      <c r="J805" s="2" t="n">
        <v>92</v>
      </c>
      <c r="K805" s="2" t="n">
        <v>121</v>
      </c>
      <c r="L805" s="11" t="b">
        <f aca="false">TRUE()</f>
        <v>1</v>
      </c>
      <c r="M805" s="2" t="s">
        <v>406</v>
      </c>
      <c r="N805" s="2" t="n">
        <f aca="false">IF(E805&gt;0,F805/E805,"")</f>
        <v>2.14285714285714</v>
      </c>
      <c r="O805" s="2" t="n">
        <f aca="false">IF(AND(E805&gt;0,L805),J805/E805,"")</f>
        <v>13.1428571428571</v>
      </c>
    </row>
    <row r="806" customFormat="false" ht="15" hidden="false" customHeight="false" outlineLevel="0" collapsed="false">
      <c r="A806" s="2" t="n">
        <v>2022</v>
      </c>
      <c r="B806" s="2" t="s">
        <v>219</v>
      </c>
      <c r="C806" s="2" t="s">
        <v>418</v>
      </c>
      <c r="D806" s="2" t="s">
        <v>29</v>
      </c>
      <c r="E806" s="2" t="n">
        <v>5</v>
      </c>
      <c r="F806" s="2" t="n">
        <v>11</v>
      </c>
      <c r="G806" s="2" t="n">
        <v>5</v>
      </c>
      <c r="H806" s="2" t="n">
        <v>1</v>
      </c>
      <c r="I806" s="2" t="n">
        <v>3</v>
      </c>
      <c r="J806" s="2" t="n">
        <v>61</v>
      </c>
      <c r="K806" s="2" t="n">
        <v>74</v>
      </c>
      <c r="L806" s="11" t="b">
        <f aca="false">TRUE()</f>
        <v>1</v>
      </c>
      <c r="M806" s="2" t="s">
        <v>406</v>
      </c>
      <c r="N806" s="2" t="n">
        <f aca="false">IF(E806&gt;0,F806/E806,"")</f>
        <v>2.2</v>
      </c>
      <c r="O806" s="2" t="n">
        <f aca="false">IF(AND(E806&gt;0,L806),J806/E806,"")</f>
        <v>12.2</v>
      </c>
    </row>
    <row r="807" customFormat="false" ht="15" hidden="false" customHeight="false" outlineLevel="0" collapsed="false">
      <c r="A807" s="2" t="n">
        <v>2022</v>
      </c>
      <c r="B807" s="2" t="s">
        <v>159</v>
      </c>
      <c r="C807" s="2" t="s">
        <v>420</v>
      </c>
      <c r="D807" s="2" t="s">
        <v>117</v>
      </c>
      <c r="E807" s="2" t="n">
        <v>10</v>
      </c>
      <c r="F807" s="2" t="n">
        <v>2</v>
      </c>
      <c r="G807" s="2" t="n">
        <v>1</v>
      </c>
      <c r="H807" s="2" t="n">
        <v>1</v>
      </c>
      <c r="I807" s="2" t="n">
        <v>0</v>
      </c>
      <c r="J807" s="2" t="n">
        <v>49</v>
      </c>
      <c r="K807" s="2" t="n">
        <v>53</v>
      </c>
      <c r="L807" s="11" t="b">
        <f aca="false">TRUE()</f>
        <v>1</v>
      </c>
      <c r="M807" s="2" t="s">
        <v>406</v>
      </c>
      <c r="N807" s="2" t="n">
        <f aca="false">IF(E807&gt;0,F807/E807,"")</f>
        <v>0.2</v>
      </c>
      <c r="O807" s="2" t="n">
        <f aca="false">IF(AND(E807&gt;0,L807),J807/E807,"")</f>
        <v>4.9</v>
      </c>
    </row>
    <row r="808" customFormat="false" ht="15" hidden="false" customHeight="false" outlineLevel="0" collapsed="false">
      <c r="A808" s="2" t="n">
        <v>2022</v>
      </c>
      <c r="B808" s="2" t="s">
        <v>264</v>
      </c>
      <c r="C808" s="2" t="s">
        <v>518</v>
      </c>
      <c r="D808" s="2" t="s">
        <v>115</v>
      </c>
      <c r="E808" s="2" t="n">
        <v>9</v>
      </c>
      <c r="F808" s="2" t="n">
        <v>2</v>
      </c>
      <c r="G808" s="2" t="n">
        <v>2</v>
      </c>
      <c r="H808" s="2" t="n">
        <v>0</v>
      </c>
      <c r="I808" s="2" t="n">
        <v>3</v>
      </c>
      <c r="J808" s="2" t="n">
        <v>25</v>
      </c>
      <c r="K808" s="2" t="n">
        <v>28</v>
      </c>
      <c r="L808" s="11" t="b">
        <f aca="false">TRUE()</f>
        <v>1</v>
      </c>
      <c r="M808" s="2" t="s">
        <v>406</v>
      </c>
      <c r="N808" s="2" t="n">
        <f aca="false">IF(E808&gt;0,F808/E808,"")</f>
        <v>0.222222222222222</v>
      </c>
      <c r="O808" s="2" t="n">
        <f aca="false">IF(AND(E808&gt;0,L808),J808/E808,"")</f>
        <v>2.77777777777778</v>
      </c>
    </row>
    <row r="809" customFormat="false" ht="15" hidden="false" customHeight="false" outlineLevel="0" collapsed="false">
      <c r="A809" s="2" t="n">
        <v>2022</v>
      </c>
      <c r="B809" s="2" t="s">
        <v>240</v>
      </c>
      <c r="C809" s="2" t="s">
        <v>418</v>
      </c>
      <c r="D809" s="2" t="s">
        <v>115</v>
      </c>
      <c r="E809" s="2" t="n">
        <v>10</v>
      </c>
      <c r="F809" s="2" t="n">
        <v>11</v>
      </c>
      <c r="G809" s="2" t="n">
        <v>8</v>
      </c>
      <c r="H809" s="2" t="n">
        <v>4</v>
      </c>
      <c r="I809" s="2" t="n">
        <v>2</v>
      </c>
      <c r="J809" s="2" t="n">
        <v>43</v>
      </c>
      <c r="K809" s="2" t="n">
        <v>56</v>
      </c>
      <c r="L809" s="11" t="b">
        <f aca="false">TRUE()</f>
        <v>1</v>
      </c>
      <c r="M809" s="2" t="s">
        <v>406</v>
      </c>
      <c r="N809" s="2" t="n">
        <f aca="false">IF(E809&gt;0,F809/E809,"")</f>
        <v>1.1</v>
      </c>
      <c r="O809" s="2" t="n">
        <f aca="false">IF(AND(E809&gt;0,L809),J809/E809,"")</f>
        <v>4.3</v>
      </c>
    </row>
    <row r="810" customFormat="false" ht="15" hidden="false" customHeight="false" outlineLevel="0" collapsed="false">
      <c r="A810" s="2" t="n">
        <v>2022</v>
      </c>
      <c r="B810" s="2" t="s">
        <v>601</v>
      </c>
      <c r="C810" s="2" t="s">
        <v>414</v>
      </c>
      <c r="D810" s="2" t="s">
        <v>413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11" t="b">
        <f aca="false">TRUE()</f>
        <v>1</v>
      </c>
      <c r="M810" s="2" t="s">
        <v>410</v>
      </c>
      <c r="N810" s="2" t="str">
        <f aca="false">IF(E810&gt;0,F810/E810,"")</f>
        <v/>
      </c>
      <c r="O810" s="2" t="str">
        <f aca="false">IF(AND(E810&gt;0,L810),J810/E810,"")</f>
        <v/>
      </c>
    </row>
    <row r="811" customFormat="false" ht="15" hidden="false" customHeight="false" outlineLevel="0" collapsed="false">
      <c r="A811" s="2" t="n">
        <v>2022</v>
      </c>
      <c r="B811" s="2" t="s">
        <v>171</v>
      </c>
      <c r="C811" s="2" t="s">
        <v>518</v>
      </c>
      <c r="D811" s="2" t="s">
        <v>83</v>
      </c>
      <c r="E811" s="2" t="n">
        <v>6</v>
      </c>
      <c r="F811" s="2" t="n">
        <v>0</v>
      </c>
      <c r="G811" s="2" t="n">
        <v>0</v>
      </c>
      <c r="H811" s="2" t="n">
        <v>0</v>
      </c>
      <c r="I811" s="2" t="n">
        <v>1</v>
      </c>
      <c r="J811" s="2" t="n">
        <v>33</v>
      </c>
      <c r="K811" s="2" t="n">
        <v>33</v>
      </c>
      <c r="L811" s="11" t="b">
        <f aca="false">TRUE()</f>
        <v>1</v>
      </c>
      <c r="M811" s="2" t="s">
        <v>406</v>
      </c>
      <c r="N811" s="2" t="n">
        <f aca="false">IF(E811&gt;0,F811/E811,"")</f>
        <v>0</v>
      </c>
      <c r="O811" s="2" t="n">
        <f aca="false">IF(AND(E811&gt;0,L811),J811/E811,"")</f>
        <v>5.5</v>
      </c>
    </row>
    <row r="812" customFormat="false" ht="15" hidden="false" customHeight="false" outlineLevel="0" collapsed="false">
      <c r="A812" s="2" t="n">
        <v>2022</v>
      </c>
      <c r="B812" s="2" t="s">
        <v>180</v>
      </c>
      <c r="C812" s="2" t="s">
        <v>518</v>
      </c>
      <c r="D812" s="2" t="s">
        <v>29</v>
      </c>
      <c r="E812" s="2" t="n">
        <v>6</v>
      </c>
      <c r="F812" s="2" t="n">
        <v>18</v>
      </c>
      <c r="G812" s="2" t="n">
        <v>12</v>
      </c>
      <c r="H812" s="2" t="n">
        <v>4</v>
      </c>
      <c r="I812" s="2" t="n">
        <v>0</v>
      </c>
      <c r="J812" s="2" t="n">
        <v>74</v>
      </c>
      <c r="K812" s="2" t="n">
        <v>97</v>
      </c>
      <c r="L812" s="11" t="b">
        <f aca="false">TRUE()</f>
        <v>1</v>
      </c>
      <c r="M812" s="2" t="s">
        <v>406</v>
      </c>
      <c r="N812" s="2" t="n">
        <f aca="false">IF(E812&gt;0,F812/E812,"")</f>
        <v>3</v>
      </c>
      <c r="O812" s="2" t="n">
        <f aca="false">IF(AND(E812&gt;0,L812),J812/E812,"")</f>
        <v>12.3333333333333</v>
      </c>
    </row>
    <row r="813" customFormat="false" ht="15" hidden="false" customHeight="false" outlineLevel="0" collapsed="false">
      <c r="A813" s="2" t="n">
        <v>2022</v>
      </c>
      <c r="B813" s="2" t="s">
        <v>34</v>
      </c>
      <c r="C813" s="2" t="s">
        <v>408</v>
      </c>
      <c r="D813" s="2" t="s">
        <v>29</v>
      </c>
      <c r="E813" s="2" t="n">
        <v>10</v>
      </c>
      <c r="F813" s="2" t="n">
        <v>52</v>
      </c>
      <c r="G813" s="2" t="n">
        <v>37</v>
      </c>
      <c r="H813" s="2" t="n">
        <v>19</v>
      </c>
      <c r="I813" s="2" t="n">
        <v>14</v>
      </c>
      <c r="J813" s="2" t="n">
        <v>299</v>
      </c>
      <c r="K813" s="2" t="n">
        <v>374</v>
      </c>
      <c r="L813" s="11" t="b">
        <f aca="false">TRUE()</f>
        <v>1</v>
      </c>
      <c r="M813" s="2" t="s">
        <v>406</v>
      </c>
      <c r="N813" s="2" t="n">
        <f aca="false">IF(E813&gt;0,F813/E813,"")</f>
        <v>5.2</v>
      </c>
      <c r="O813" s="2" t="n">
        <f aca="false">IF(AND(E813&gt;0,L813),J813/E813,"")</f>
        <v>29.9</v>
      </c>
    </row>
    <row r="814" customFormat="false" ht="15" hidden="false" customHeight="false" outlineLevel="0" collapsed="false">
      <c r="A814" s="2" t="n">
        <v>2022</v>
      </c>
      <c r="B814" s="2" t="s">
        <v>576</v>
      </c>
      <c r="C814" s="2" t="s">
        <v>418</v>
      </c>
      <c r="D814" s="2" t="s">
        <v>409</v>
      </c>
      <c r="E814" s="2" t="n">
        <v>10</v>
      </c>
      <c r="F814" s="2" t="n">
        <v>0</v>
      </c>
      <c r="G814" s="2" t="n">
        <v>0</v>
      </c>
      <c r="H814" s="2" t="n">
        <v>0</v>
      </c>
      <c r="I814" s="2" t="n">
        <v>1</v>
      </c>
      <c r="J814" s="2" t="n">
        <v>133</v>
      </c>
      <c r="K814" s="2" t="n">
        <v>136</v>
      </c>
      <c r="L814" s="11" t="b">
        <f aca="false">TRUE()</f>
        <v>1</v>
      </c>
      <c r="M814" s="2" t="s">
        <v>410</v>
      </c>
      <c r="N814" s="2" t="n">
        <f aca="false">IF(E814&gt;0,F814/E814,"")</f>
        <v>0</v>
      </c>
      <c r="O814" s="2" t="n">
        <f aca="false">IF(AND(E814&gt;0,L814),J814/E814,"")</f>
        <v>13.3</v>
      </c>
    </row>
    <row r="815" customFormat="false" ht="15" hidden="false" customHeight="false" outlineLevel="0" collapsed="false">
      <c r="A815" s="2" t="n">
        <v>2022</v>
      </c>
      <c r="B815" s="2" t="s">
        <v>285</v>
      </c>
      <c r="C815" s="2" t="s">
        <v>405</v>
      </c>
      <c r="D815" s="2" t="s">
        <v>115</v>
      </c>
      <c r="E815" s="2" t="n">
        <v>7</v>
      </c>
      <c r="F815" s="2" t="n">
        <v>3</v>
      </c>
      <c r="G815" s="2" t="n">
        <v>2</v>
      </c>
      <c r="H815" s="2" t="n">
        <v>0</v>
      </c>
      <c r="I815" s="2" t="n">
        <v>1</v>
      </c>
      <c r="J815" s="2" t="n">
        <v>20</v>
      </c>
      <c r="K815" s="2" t="n">
        <v>26</v>
      </c>
      <c r="L815" s="11" t="b">
        <f aca="false">TRUE()</f>
        <v>1</v>
      </c>
      <c r="M815" s="2" t="s">
        <v>406</v>
      </c>
      <c r="N815" s="2" t="n">
        <f aca="false">IF(E815&gt;0,F815/E815,"")</f>
        <v>0.428571428571429</v>
      </c>
      <c r="O815" s="2" t="n">
        <f aca="false">IF(AND(E815&gt;0,L815),J815/E815,"")</f>
        <v>2.85714285714286</v>
      </c>
    </row>
    <row r="816" customFormat="false" ht="15" hidden="false" customHeight="false" outlineLevel="0" collapsed="false">
      <c r="A816" s="2" t="n">
        <v>2022</v>
      </c>
      <c r="B816" s="2" t="s">
        <v>241</v>
      </c>
      <c r="C816" s="2" t="s">
        <v>418</v>
      </c>
      <c r="D816" s="2" t="s">
        <v>83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11" t="b">
        <f aca="false">TRUE()</f>
        <v>1</v>
      </c>
      <c r="M816" s="2" t="s">
        <v>410</v>
      </c>
      <c r="N816" s="2" t="str">
        <f aca="false">IF(E816&gt;0,F816/E816,"")</f>
        <v/>
      </c>
      <c r="O816" s="2" t="str">
        <f aca="false">IF(AND(E816&gt;0,L816),J816/E816,"")</f>
        <v/>
      </c>
    </row>
    <row r="817" customFormat="false" ht="15" hidden="false" customHeight="false" outlineLevel="0" collapsed="false">
      <c r="A817" s="2" t="n">
        <v>2022</v>
      </c>
      <c r="B817" s="2" t="s">
        <v>70</v>
      </c>
      <c r="C817" s="2" t="s">
        <v>414</v>
      </c>
      <c r="D817" s="2" t="s">
        <v>29</v>
      </c>
      <c r="E817" s="2" t="n">
        <v>10</v>
      </c>
      <c r="F817" s="2" t="n">
        <v>57</v>
      </c>
      <c r="G817" s="2" t="n">
        <v>38</v>
      </c>
      <c r="H817" s="2" t="n">
        <v>13</v>
      </c>
      <c r="I817" s="2" t="n">
        <v>8</v>
      </c>
      <c r="J817" s="2" t="n">
        <v>164</v>
      </c>
      <c r="K817" s="2" t="n">
        <v>231</v>
      </c>
      <c r="L817" s="11" t="b">
        <f aca="false">TRUE()</f>
        <v>1</v>
      </c>
      <c r="M817" s="2" t="s">
        <v>406</v>
      </c>
      <c r="N817" s="2" t="n">
        <f aca="false">IF(E817&gt;0,F817/E817,"")</f>
        <v>5.7</v>
      </c>
      <c r="O817" s="2" t="n">
        <f aca="false">IF(AND(E817&gt;0,L817),J817/E817,"")</f>
        <v>16.4</v>
      </c>
    </row>
    <row r="818" customFormat="false" ht="15" hidden="false" customHeight="false" outlineLevel="0" collapsed="false">
      <c r="A818" s="2" t="n">
        <v>2022</v>
      </c>
      <c r="B818" s="2" t="s">
        <v>98</v>
      </c>
      <c r="C818" s="2" t="s">
        <v>420</v>
      </c>
      <c r="D818" s="2" t="s">
        <v>29</v>
      </c>
      <c r="E818" s="2" t="n">
        <v>7</v>
      </c>
      <c r="F818" s="2" t="n">
        <v>29</v>
      </c>
      <c r="G818" s="2" t="n">
        <v>17</v>
      </c>
      <c r="H818" s="2" t="n">
        <v>6</v>
      </c>
      <c r="I818" s="2" t="n">
        <v>17</v>
      </c>
      <c r="J818" s="2" t="n">
        <v>202</v>
      </c>
      <c r="K818" s="2" t="n">
        <v>243</v>
      </c>
      <c r="L818" s="11" t="b">
        <f aca="false">TRUE()</f>
        <v>1</v>
      </c>
      <c r="M818" s="2" t="s">
        <v>406</v>
      </c>
      <c r="N818" s="2" t="n">
        <f aca="false">IF(E818&gt;0,F818/E818,"")</f>
        <v>4.14285714285714</v>
      </c>
      <c r="O818" s="2" t="n">
        <f aca="false">IF(AND(E818&gt;0,L818),J818/E818,"")</f>
        <v>28.8571428571429</v>
      </c>
    </row>
    <row r="819" customFormat="false" ht="15" hidden="false" customHeight="false" outlineLevel="0" collapsed="false">
      <c r="A819" s="2" t="n">
        <v>2022</v>
      </c>
      <c r="B819" s="2" t="s">
        <v>231</v>
      </c>
      <c r="C819" s="2" t="s">
        <v>412</v>
      </c>
      <c r="D819" s="2" t="s">
        <v>115</v>
      </c>
      <c r="E819" s="2" t="n">
        <v>10</v>
      </c>
      <c r="F819" s="2" t="n">
        <v>5</v>
      </c>
      <c r="G819" s="2" t="n">
        <v>4</v>
      </c>
      <c r="H819" s="2" t="n">
        <v>3</v>
      </c>
      <c r="I819" s="2" t="n">
        <v>0</v>
      </c>
      <c r="J819" s="2" t="n">
        <v>19</v>
      </c>
      <c r="K819" s="2" t="n">
        <v>28</v>
      </c>
      <c r="L819" s="11" t="b">
        <f aca="false">TRUE()</f>
        <v>1</v>
      </c>
      <c r="M819" s="2" t="s">
        <v>406</v>
      </c>
      <c r="N819" s="2" t="n">
        <f aca="false">IF(E819&gt;0,F819/E819,"")</f>
        <v>0.5</v>
      </c>
      <c r="O819" s="2" t="n">
        <f aca="false">IF(AND(E819&gt;0,L819),J819/E819,"")</f>
        <v>1.9</v>
      </c>
    </row>
    <row r="820" customFormat="false" ht="15" hidden="false" customHeight="false" outlineLevel="0" collapsed="false">
      <c r="A820" s="2" t="n">
        <v>2022</v>
      </c>
      <c r="B820" s="2" t="s">
        <v>141</v>
      </c>
      <c r="C820" s="2" t="s">
        <v>420</v>
      </c>
      <c r="D820" s="2" t="s">
        <v>29</v>
      </c>
      <c r="E820" s="2" t="n">
        <v>8</v>
      </c>
      <c r="F820" s="2" t="n">
        <v>15</v>
      </c>
      <c r="G820" s="2" t="n">
        <v>12</v>
      </c>
      <c r="H820" s="2" t="n">
        <v>8</v>
      </c>
      <c r="I820" s="2" t="n">
        <v>5</v>
      </c>
      <c r="J820" s="2" t="n">
        <v>108</v>
      </c>
      <c r="K820" s="2" t="n">
        <v>128</v>
      </c>
      <c r="L820" s="11" t="b">
        <f aca="false">TRUE()</f>
        <v>1</v>
      </c>
      <c r="M820" s="2" t="s">
        <v>406</v>
      </c>
      <c r="N820" s="2" t="n">
        <f aca="false">IF(E820&gt;0,F820/E820,"")</f>
        <v>1.875</v>
      </c>
      <c r="O820" s="2" t="n">
        <f aca="false">IF(AND(E820&gt;0,L820),J820/E820,"")</f>
        <v>13.5</v>
      </c>
    </row>
    <row r="821" customFormat="false" ht="15" hidden="false" customHeight="false" outlineLevel="0" collapsed="false">
      <c r="A821" s="2" t="n">
        <v>2022</v>
      </c>
      <c r="B821" s="2" t="s">
        <v>602</v>
      </c>
      <c r="C821" s="2" t="s">
        <v>418</v>
      </c>
      <c r="D821" s="2" t="s">
        <v>117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11" t="b">
        <f aca="false">TRUE()</f>
        <v>1</v>
      </c>
      <c r="M821" s="2" t="s">
        <v>410</v>
      </c>
      <c r="N821" s="2" t="str">
        <f aca="false">IF(E821&gt;0,F821/E821,"")</f>
        <v/>
      </c>
      <c r="O821" s="2" t="str">
        <f aca="false">IF(AND(E821&gt;0,L821),J821/E821,"")</f>
        <v/>
      </c>
    </row>
    <row r="822" customFormat="false" ht="15" hidden="false" customHeight="false" outlineLevel="0" collapsed="false">
      <c r="A822" s="2" t="n">
        <v>2022</v>
      </c>
      <c r="B822" s="2" t="s">
        <v>500</v>
      </c>
      <c r="C822" s="2" t="s">
        <v>518</v>
      </c>
      <c r="D822" s="2" t="s">
        <v>29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11" t="b">
        <f aca="false">TRUE()</f>
        <v>1</v>
      </c>
      <c r="M822" s="2" t="s">
        <v>410</v>
      </c>
      <c r="N822" s="2" t="str">
        <f aca="false">IF(E822&gt;0,F822/E822,"")</f>
        <v/>
      </c>
      <c r="O822" s="2" t="str">
        <f aca="false">IF(AND(E822&gt;0,L822),J822/E822,"")</f>
        <v/>
      </c>
    </row>
    <row r="823" customFormat="false" ht="15" hidden="false" customHeight="false" outlineLevel="0" collapsed="false">
      <c r="A823" s="2" t="n">
        <v>2022</v>
      </c>
      <c r="B823" s="2" t="s">
        <v>25</v>
      </c>
      <c r="C823" s="2" t="s">
        <v>518</v>
      </c>
      <c r="D823" s="2" t="s">
        <v>24</v>
      </c>
      <c r="E823" s="2" t="n">
        <v>9</v>
      </c>
      <c r="F823" s="2" t="n">
        <v>59</v>
      </c>
      <c r="G823" s="2" t="n">
        <v>41</v>
      </c>
      <c r="H823" s="2" t="n">
        <v>21</v>
      </c>
      <c r="I823" s="2" t="n">
        <v>11</v>
      </c>
      <c r="J823" s="2" t="n">
        <v>184</v>
      </c>
      <c r="K823" s="2" t="n">
        <v>255</v>
      </c>
      <c r="L823" s="11" t="b">
        <f aca="false">TRUE()</f>
        <v>1</v>
      </c>
      <c r="M823" s="2" t="s">
        <v>406</v>
      </c>
      <c r="N823" s="2" t="n">
        <f aca="false">IF(E823&gt;0,F823/E823,"")</f>
        <v>6.55555555555556</v>
      </c>
      <c r="O823" s="2" t="n">
        <f aca="false">IF(AND(E823&gt;0,L823),J823/E823,"")</f>
        <v>20.4444444444444</v>
      </c>
    </row>
    <row r="824" customFormat="false" ht="15" hidden="false" customHeight="false" outlineLevel="0" collapsed="false">
      <c r="A824" s="2" t="n">
        <v>2022</v>
      </c>
      <c r="B824" s="2" t="s">
        <v>206</v>
      </c>
      <c r="C824" s="2" t="s">
        <v>414</v>
      </c>
      <c r="D824" s="2" t="s">
        <v>115</v>
      </c>
      <c r="E824" s="2" t="n">
        <v>10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26</v>
      </c>
      <c r="K824" s="2" t="n">
        <v>28</v>
      </c>
      <c r="L824" s="11" t="b">
        <f aca="false">TRUE()</f>
        <v>1</v>
      </c>
      <c r="M824" s="2" t="s">
        <v>406</v>
      </c>
      <c r="N824" s="2" t="n">
        <f aca="false">IF(E824&gt;0,F824/E824,"")</f>
        <v>0</v>
      </c>
      <c r="O824" s="2" t="n">
        <f aca="false">IF(AND(E824&gt;0,L824),J824/E824,"")</f>
        <v>2.6</v>
      </c>
    </row>
    <row r="825" customFormat="false" ht="15" hidden="false" customHeight="false" outlineLevel="0" collapsed="false">
      <c r="A825" s="2" t="n">
        <v>2022</v>
      </c>
      <c r="B825" s="2" t="s">
        <v>260</v>
      </c>
      <c r="C825" s="2" t="s">
        <v>543</v>
      </c>
      <c r="D825" s="2" t="s">
        <v>29</v>
      </c>
      <c r="E825" s="2" t="n">
        <v>4</v>
      </c>
      <c r="F825" s="2" t="n">
        <v>16</v>
      </c>
      <c r="G825" s="2" t="n">
        <v>10</v>
      </c>
      <c r="H825" s="2" t="n">
        <v>2</v>
      </c>
      <c r="I825" s="2" t="n">
        <v>4</v>
      </c>
      <c r="J825" s="2" t="n">
        <v>50</v>
      </c>
      <c r="K825" s="2" t="n">
        <v>80</v>
      </c>
      <c r="L825" s="11" t="b">
        <f aca="false">TRUE()</f>
        <v>1</v>
      </c>
      <c r="M825" s="2" t="s">
        <v>406</v>
      </c>
      <c r="N825" s="2" t="n">
        <f aca="false">IF(E825&gt;0,F825/E825,"")</f>
        <v>4</v>
      </c>
      <c r="O825" s="2" t="n">
        <f aca="false">IF(AND(E825&gt;0,L825),J825/E825,"")</f>
        <v>12.5</v>
      </c>
    </row>
    <row r="826" customFormat="false" ht="15" hidden="false" customHeight="false" outlineLevel="0" collapsed="false">
      <c r="A826" s="2" t="n">
        <v>2022</v>
      </c>
      <c r="B826" s="2" t="s">
        <v>501</v>
      </c>
      <c r="C826" s="2" t="s">
        <v>518</v>
      </c>
      <c r="D826" s="2" t="s">
        <v>409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11" t="b">
        <f aca="false">TRUE()</f>
        <v>1</v>
      </c>
      <c r="M826" s="2" t="s">
        <v>410</v>
      </c>
      <c r="N826" s="2" t="str">
        <f aca="false">IF(E826&gt;0,F826/E826,"")</f>
        <v/>
      </c>
      <c r="O826" s="2" t="str">
        <f aca="false">IF(AND(E826&gt;0,L826),J826/E826,"")</f>
        <v/>
      </c>
    </row>
    <row r="827" customFormat="false" ht="15" hidden="false" customHeight="false" outlineLevel="0" collapsed="false">
      <c r="A827" s="2" t="n">
        <v>2022</v>
      </c>
      <c r="B827" s="2" t="s">
        <v>344</v>
      </c>
      <c r="C827" s="2" t="s">
        <v>405</v>
      </c>
      <c r="D827" s="2" t="s">
        <v>117</v>
      </c>
      <c r="E827" s="2" t="n">
        <v>6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21</v>
      </c>
      <c r="K827" s="2" t="n">
        <v>24</v>
      </c>
      <c r="L827" s="11" t="b">
        <f aca="false">TRUE()</f>
        <v>1</v>
      </c>
      <c r="M827" s="2" t="s">
        <v>406</v>
      </c>
      <c r="N827" s="2" t="n">
        <f aca="false">IF(E827&gt;0,F827/E827,"")</f>
        <v>0</v>
      </c>
      <c r="O827" s="2" t="n">
        <f aca="false">IF(AND(E827&gt;0,L827),J827/E827,"")</f>
        <v>3.5</v>
      </c>
    </row>
    <row r="828" customFormat="false" ht="15" hidden="false" customHeight="false" outlineLevel="0" collapsed="false">
      <c r="A828" s="2" t="n">
        <v>2022</v>
      </c>
      <c r="B828" s="2" t="s">
        <v>380</v>
      </c>
      <c r="C828" s="2" t="s">
        <v>420</v>
      </c>
      <c r="D828" s="2" t="s">
        <v>117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11" t="b">
        <f aca="false">TRUE()</f>
        <v>1</v>
      </c>
      <c r="M828" s="2" t="s">
        <v>410</v>
      </c>
      <c r="N828" s="2" t="str">
        <f aca="false">IF(E828&gt;0,F828/E828,"")</f>
        <v/>
      </c>
      <c r="O828" s="2" t="str">
        <f aca="false">IF(AND(E828&gt;0,L828),J828/E828,"")</f>
        <v/>
      </c>
    </row>
    <row r="829" customFormat="false" ht="15" hidden="false" customHeight="false" outlineLevel="0" collapsed="false">
      <c r="A829" s="2" t="n">
        <v>2022</v>
      </c>
      <c r="B829" s="2" t="s">
        <v>31</v>
      </c>
      <c r="C829" s="2" t="s">
        <v>412</v>
      </c>
      <c r="D829" s="2" t="s">
        <v>24</v>
      </c>
      <c r="E829" s="2" t="n">
        <v>10</v>
      </c>
      <c r="F829" s="2" t="n">
        <v>52</v>
      </c>
      <c r="G829" s="2" t="n">
        <v>36</v>
      </c>
      <c r="H829" s="2" t="n">
        <v>22</v>
      </c>
      <c r="I829" s="2" t="n">
        <v>16</v>
      </c>
      <c r="J829" s="2" t="n">
        <v>289</v>
      </c>
      <c r="K829" s="2" t="n">
        <v>362</v>
      </c>
      <c r="L829" s="11" t="b">
        <f aca="false">TRUE()</f>
        <v>1</v>
      </c>
      <c r="M829" s="2" t="s">
        <v>406</v>
      </c>
      <c r="N829" s="2" t="n">
        <f aca="false">IF(E829&gt;0,F829/E829,"")</f>
        <v>5.2</v>
      </c>
      <c r="O829" s="2" t="n">
        <f aca="false">IF(AND(E829&gt;0,L829),J829/E829,"")</f>
        <v>28.9</v>
      </c>
    </row>
    <row r="830" customFormat="false" ht="15" hidden="false" customHeight="false" outlineLevel="0" collapsed="false">
      <c r="A830" s="2" t="n">
        <v>2022</v>
      </c>
      <c r="B830" s="2" t="s">
        <v>90</v>
      </c>
      <c r="C830" s="2" t="s">
        <v>418</v>
      </c>
      <c r="D830" s="2" t="s">
        <v>83</v>
      </c>
      <c r="E830" s="2" t="n">
        <v>10</v>
      </c>
      <c r="F830" s="2" t="n">
        <v>4</v>
      </c>
      <c r="G830" s="2" t="n">
        <v>3</v>
      </c>
      <c r="H830" s="2" t="n">
        <v>2</v>
      </c>
      <c r="I830" s="2" t="n">
        <v>3</v>
      </c>
      <c r="J830" s="2" t="n">
        <v>105</v>
      </c>
      <c r="K830" s="2" t="n">
        <v>116</v>
      </c>
      <c r="L830" s="11" t="b">
        <f aca="false">TRUE()</f>
        <v>1</v>
      </c>
      <c r="M830" s="2" t="s">
        <v>406</v>
      </c>
      <c r="N830" s="2" t="n">
        <f aca="false">IF(E830&gt;0,F830/E830,"")</f>
        <v>0.4</v>
      </c>
      <c r="O830" s="2" t="n">
        <f aca="false">IF(AND(E830&gt;0,L830),J830/E830,"")</f>
        <v>10.5</v>
      </c>
    </row>
    <row r="831" customFormat="false" ht="15" hidden="false" customHeight="false" outlineLevel="0" collapsed="false">
      <c r="A831" s="2" t="n">
        <v>2022</v>
      </c>
      <c r="B831" s="2" t="s">
        <v>125</v>
      </c>
      <c r="C831" s="2" t="s">
        <v>545</v>
      </c>
      <c r="D831" s="2" t="s">
        <v>24</v>
      </c>
      <c r="E831" s="2" t="n">
        <v>9</v>
      </c>
      <c r="F831" s="2" t="n">
        <v>66</v>
      </c>
      <c r="G831" s="2" t="n">
        <v>42</v>
      </c>
      <c r="H831" s="2" t="n">
        <v>26</v>
      </c>
      <c r="I831" s="2" t="n">
        <v>18</v>
      </c>
      <c r="J831" s="2" t="n">
        <v>192</v>
      </c>
      <c r="K831" s="2" t="n">
        <v>283</v>
      </c>
      <c r="L831" s="11" t="b">
        <f aca="false">TRUE()</f>
        <v>1</v>
      </c>
      <c r="M831" s="2" t="s">
        <v>406</v>
      </c>
      <c r="N831" s="2" t="n">
        <f aca="false">IF(E831&gt;0,F831/E831,"")</f>
        <v>7.33333333333333</v>
      </c>
      <c r="O831" s="2" t="n">
        <f aca="false">IF(AND(E831&gt;0,L831),J831/E831,"")</f>
        <v>21.3333333333333</v>
      </c>
    </row>
    <row r="832" customFormat="false" ht="15" hidden="false" customHeight="false" outlineLevel="0" collapsed="false">
      <c r="A832" s="2" t="n">
        <v>2022</v>
      </c>
      <c r="B832" s="2" t="s">
        <v>207</v>
      </c>
      <c r="C832" s="2" t="s">
        <v>545</v>
      </c>
      <c r="D832" s="2" t="s">
        <v>29</v>
      </c>
      <c r="E832" s="2" t="n">
        <v>7</v>
      </c>
      <c r="F832" s="2" t="n">
        <v>14</v>
      </c>
      <c r="G832" s="2" t="n">
        <v>10</v>
      </c>
      <c r="H832" s="2" t="n">
        <v>5</v>
      </c>
      <c r="I832" s="2" t="n">
        <v>0</v>
      </c>
      <c r="J832" s="2" t="n">
        <v>65</v>
      </c>
      <c r="K832" s="2" t="n">
        <v>87</v>
      </c>
      <c r="L832" s="11" t="b">
        <f aca="false">TRUE()</f>
        <v>1</v>
      </c>
      <c r="M832" s="2" t="s">
        <v>406</v>
      </c>
      <c r="N832" s="2" t="n">
        <f aca="false">IF(E832&gt;0,F832/E832,"")</f>
        <v>2</v>
      </c>
      <c r="O832" s="2" t="n">
        <f aca="false">IF(AND(E832&gt;0,L832),J832/E832,"")</f>
        <v>9.28571428571429</v>
      </c>
    </row>
    <row r="833" customFormat="false" ht="15" hidden="false" customHeight="false" outlineLevel="0" collapsed="false">
      <c r="A833" s="2" t="n">
        <v>2022</v>
      </c>
      <c r="B833" s="2" t="s">
        <v>111</v>
      </c>
      <c r="C833" s="2" t="s">
        <v>408</v>
      </c>
      <c r="D833" s="2" t="s">
        <v>29</v>
      </c>
      <c r="E833" s="2" t="n">
        <v>5</v>
      </c>
      <c r="F833" s="2" t="n">
        <v>8</v>
      </c>
      <c r="G833" s="2" t="n">
        <v>5</v>
      </c>
      <c r="H833" s="2" t="n">
        <v>3</v>
      </c>
      <c r="I833" s="2" t="n">
        <v>0</v>
      </c>
      <c r="J833" s="2" t="n">
        <v>40</v>
      </c>
      <c r="K833" s="2" t="n">
        <v>48</v>
      </c>
      <c r="L833" s="11" t="b">
        <f aca="false">TRUE()</f>
        <v>1</v>
      </c>
      <c r="M833" s="2" t="s">
        <v>406</v>
      </c>
      <c r="N833" s="2" t="n">
        <f aca="false">IF(E833&gt;0,F833/E833,"")</f>
        <v>1.6</v>
      </c>
      <c r="O833" s="2" t="n">
        <f aca="false">IF(AND(E833&gt;0,L833),J833/E833,"")</f>
        <v>8</v>
      </c>
    </row>
    <row r="834" customFormat="false" ht="15" hidden="false" customHeight="false" outlineLevel="0" collapsed="false">
      <c r="A834" s="2" t="n">
        <v>2022</v>
      </c>
      <c r="B834" s="2" t="s">
        <v>508</v>
      </c>
      <c r="C834" s="2" t="s">
        <v>405</v>
      </c>
      <c r="D834" s="2" t="s">
        <v>409</v>
      </c>
      <c r="E834" s="2" t="n">
        <v>4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46</v>
      </c>
      <c r="K834" s="2" t="n">
        <v>47</v>
      </c>
      <c r="L834" s="11" t="b">
        <f aca="false">TRUE()</f>
        <v>1</v>
      </c>
      <c r="M834" s="2" t="s">
        <v>410</v>
      </c>
      <c r="N834" s="2" t="n">
        <f aca="false">IF(E834&gt;0,F834/E834,"")</f>
        <v>0</v>
      </c>
      <c r="O834" s="2" t="n">
        <f aca="false">IF(AND(E834&gt;0,L834),J834/E834,"")</f>
        <v>11.5</v>
      </c>
    </row>
    <row r="835" customFormat="false" ht="15" hidden="false" customHeight="false" outlineLevel="0" collapsed="false">
      <c r="A835" s="2" t="n">
        <v>2022</v>
      </c>
      <c r="B835" s="2" t="s">
        <v>603</v>
      </c>
      <c r="C835" s="2" t="s">
        <v>518</v>
      </c>
      <c r="D835" s="2" t="s">
        <v>413</v>
      </c>
      <c r="E835" s="2" t="n">
        <v>4</v>
      </c>
      <c r="F835" s="2" t="n">
        <v>5</v>
      </c>
      <c r="G835" s="2" t="n">
        <v>2</v>
      </c>
      <c r="H835" s="2" t="n">
        <v>0</v>
      </c>
      <c r="I835" s="2" t="n">
        <v>1</v>
      </c>
      <c r="J835" s="2" t="n">
        <v>12</v>
      </c>
      <c r="K835" s="2" t="n">
        <v>18</v>
      </c>
      <c r="L835" s="11" t="b">
        <f aca="false">TRUE()</f>
        <v>1</v>
      </c>
      <c r="M835" s="2" t="s">
        <v>410</v>
      </c>
      <c r="N835" s="2" t="n">
        <f aca="false">IF(E835&gt;0,F835/E835,"")</f>
        <v>1.25</v>
      </c>
      <c r="O835" s="2" t="n">
        <f aca="false">IF(AND(E835&gt;0,L835),J835/E835,"")</f>
        <v>3</v>
      </c>
    </row>
    <row r="836" customFormat="false" ht="15" hidden="false" customHeight="false" outlineLevel="0" collapsed="false">
      <c r="A836" s="2" t="n">
        <v>2022</v>
      </c>
      <c r="B836" s="2" t="s">
        <v>288</v>
      </c>
      <c r="C836" s="2" t="s">
        <v>543</v>
      </c>
      <c r="D836" s="2" t="s">
        <v>24</v>
      </c>
      <c r="E836" s="2" t="n">
        <v>2</v>
      </c>
      <c r="F836" s="2" t="n">
        <v>6</v>
      </c>
      <c r="G836" s="2" t="n">
        <v>4</v>
      </c>
      <c r="H836" s="2" t="n">
        <v>2</v>
      </c>
      <c r="I836" s="2" t="n">
        <v>0</v>
      </c>
      <c r="J836" s="2" t="n">
        <v>10</v>
      </c>
      <c r="K836" s="2" t="n">
        <v>18</v>
      </c>
      <c r="L836" s="11" t="b">
        <f aca="false">TRUE()</f>
        <v>1</v>
      </c>
      <c r="M836" s="2" t="s">
        <v>410</v>
      </c>
      <c r="N836" s="2" t="n">
        <f aca="false">IF(E836&gt;0,F836/E836,"")</f>
        <v>3</v>
      </c>
      <c r="O836" s="2" t="n">
        <f aca="false">IF(AND(E836&gt;0,L836),J836/E836,"")</f>
        <v>5</v>
      </c>
    </row>
    <row r="837" customFormat="false" ht="15" hidden="false" customHeight="false" outlineLevel="0" collapsed="false">
      <c r="A837" s="2" t="n">
        <v>2022</v>
      </c>
      <c r="B837" s="2" t="s">
        <v>57</v>
      </c>
      <c r="C837" s="2" t="s">
        <v>518</v>
      </c>
      <c r="D837" s="2" t="s">
        <v>24</v>
      </c>
      <c r="E837" s="2" t="n">
        <v>9</v>
      </c>
      <c r="F837" s="2" t="n">
        <v>30</v>
      </c>
      <c r="G837" s="2" t="n">
        <v>16</v>
      </c>
      <c r="H837" s="2" t="n">
        <v>9</v>
      </c>
      <c r="I837" s="2" t="n">
        <v>4</v>
      </c>
      <c r="J837" s="2" t="n">
        <v>195</v>
      </c>
      <c r="K837" s="2" t="n">
        <v>235</v>
      </c>
      <c r="L837" s="11" t="b">
        <f aca="false">TRUE()</f>
        <v>1</v>
      </c>
      <c r="M837" s="2" t="s">
        <v>406</v>
      </c>
      <c r="N837" s="2" t="n">
        <f aca="false">IF(E837&gt;0,F837/E837,"")</f>
        <v>3.33333333333333</v>
      </c>
      <c r="O837" s="2" t="n">
        <f aca="false">IF(AND(E837&gt;0,L837),J837/E837,"")</f>
        <v>21.6666666666667</v>
      </c>
    </row>
    <row r="838" customFormat="false" ht="15" hidden="false" customHeight="false" outlineLevel="0" collapsed="false">
      <c r="A838" s="2" t="n">
        <v>2022</v>
      </c>
      <c r="B838" s="2" t="s">
        <v>514</v>
      </c>
      <c r="C838" s="2" t="s">
        <v>405</v>
      </c>
      <c r="D838" s="2" t="s">
        <v>29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11" t="b">
        <f aca="false">TRUE()</f>
        <v>1</v>
      </c>
      <c r="M838" s="2" t="s">
        <v>410</v>
      </c>
      <c r="N838" s="2" t="str">
        <f aca="false">IF(E838&gt;0,F838/E838,"")</f>
        <v/>
      </c>
      <c r="O838" s="2" t="str">
        <f aca="false">IF(AND(E838&gt;0,L838),J838/E838,"")</f>
        <v/>
      </c>
    </row>
    <row r="839" customFormat="false" ht="15" hidden="false" customHeight="false" outlineLevel="0" collapsed="false">
      <c r="A839" s="2" t="n">
        <v>2022</v>
      </c>
      <c r="B839" s="2" t="s">
        <v>539</v>
      </c>
      <c r="C839" s="2" t="s">
        <v>518</v>
      </c>
      <c r="D839" s="2" t="s">
        <v>409</v>
      </c>
      <c r="E839" s="2" t="n">
        <v>6</v>
      </c>
      <c r="F839" s="2" t="n">
        <v>0</v>
      </c>
      <c r="G839" s="2" t="n">
        <v>0</v>
      </c>
      <c r="H839" s="2" t="n">
        <v>0</v>
      </c>
      <c r="I839" s="2" t="n">
        <v>1</v>
      </c>
      <c r="J839" s="2" t="n">
        <v>70</v>
      </c>
      <c r="K839" s="2" t="n">
        <v>73</v>
      </c>
      <c r="L839" s="11" t="b">
        <f aca="false">TRUE()</f>
        <v>1</v>
      </c>
      <c r="M839" s="2" t="s">
        <v>410</v>
      </c>
      <c r="N839" s="2" t="n">
        <f aca="false">IF(E839&gt;0,F839/E839,"")</f>
        <v>0</v>
      </c>
      <c r="O839" s="2" t="n">
        <f aca="false">IF(AND(E839&gt;0,L839),J839/E839,"")</f>
        <v>11.6666666666667</v>
      </c>
    </row>
    <row r="840" customFormat="false" ht="15" hidden="false" customHeight="false" outlineLevel="0" collapsed="false">
      <c r="A840" s="2" t="n">
        <v>2022</v>
      </c>
      <c r="B840" s="2" t="s">
        <v>245</v>
      </c>
      <c r="C840" s="2" t="s">
        <v>414</v>
      </c>
      <c r="D840" s="2" t="s">
        <v>83</v>
      </c>
      <c r="E840" s="2" t="n">
        <v>9</v>
      </c>
      <c r="F840" s="2" t="n">
        <v>1</v>
      </c>
      <c r="G840" s="2" t="n">
        <v>1</v>
      </c>
      <c r="H840" s="2" t="n">
        <v>1</v>
      </c>
      <c r="I840" s="2" t="n">
        <v>0</v>
      </c>
      <c r="J840" s="2" t="n">
        <v>72</v>
      </c>
      <c r="K840" s="2" t="n">
        <v>74</v>
      </c>
      <c r="L840" s="11" t="b">
        <f aca="false">TRUE()</f>
        <v>1</v>
      </c>
      <c r="M840" s="2" t="s">
        <v>406</v>
      </c>
      <c r="N840" s="2" t="n">
        <f aca="false">IF(E840&gt;0,F840/E840,"")</f>
        <v>0.111111111111111</v>
      </c>
      <c r="O840" s="2" t="n">
        <f aca="false">IF(AND(E840&gt;0,L840),J840/E840,"")</f>
        <v>8</v>
      </c>
    </row>
    <row r="841" customFormat="false" ht="15" hidden="false" customHeight="false" outlineLevel="0" collapsed="false">
      <c r="A841" s="2" t="n">
        <v>2022</v>
      </c>
      <c r="B841" s="2" t="s">
        <v>584</v>
      </c>
      <c r="C841" s="2" t="s">
        <v>543</v>
      </c>
      <c r="D841" s="2" t="s">
        <v>409</v>
      </c>
      <c r="E841" s="2" t="n">
        <v>4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2</v>
      </c>
      <c r="K841" s="2" t="n">
        <v>4</v>
      </c>
      <c r="L841" s="11" t="b">
        <f aca="false">TRUE()</f>
        <v>1</v>
      </c>
      <c r="M841" s="2" t="s">
        <v>410</v>
      </c>
      <c r="N841" s="2" t="n">
        <f aca="false">IF(E841&gt;0,F841/E841,"")</f>
        <v>0</v>
      </c>
      <c r="O841" s="2" t="n">
        <f aca="false">IF(AND(E841&gt;0,L841),J841/E841,"")</f>
        <v>0.5</v>
      </c>
    </row>
    <row r="842" customFormat="false" ht="15" hidden="false" customHeight="false" outlineLevel="0" collapsed="false">
      <c r="A842" s="2" t="n">
        <v>2022</v>
      </c>
      <c r="B842" s="2" t="s">
        <v>290</v>
      </c>
      <c r="C842" s="2" t="s">
        <v>543</v>
      </c>
      <c r="D842" s="2" t="s">
        <v>24</v>
      </c>
      <c r="E842" s="2" t="n">
        <v>4</v>
      </c>
      <c r="F842" s="2" t="n">
        <v>4</v>
      </c>
      <c r="G842" s="2" t="n">
        <v>2</v>
      </c>
      <c r="H842" s="2" t="n">
        <v>0</v>
      </c>
      <c r="I842" s="2" t="n">
        <v>2</v>
      </c>
      <c r="J842" s="2" t="n">
        <v>56</v>
      </c>
      <c r="K842" s="2" t="n">
        <v>66</v>
      </c>
      <c r="L842" s="11" t="b">
        <f aca="false">TRUE()</f>
        <v>1</v>
      </c>
      <c r="M842" s="2" t="s">
        <v>406</v>
      </c>
      <c r="N842" s="2" t="n">
        <f aca="false">IF(E842&gt;0,F842/E842,"")</f>
        <v>1</v>
      </c>
      <c r="O842" s="2" t="n">
        <f aca="false">IF(AND(E842&gt;0,L842),J842/E842,"")</f>
        <v>14</v>
      </c>
    </row>
    <row r="843" customFormat="false" ht="15" hidden="false" customHeight="false" outlineLevel="0" collapsed="false">
      <c r="A843" s="2" t="n">
        <v>2022</v>
      </c>
      <c r="B843" s="2" t="s">
        <v>330</v>
      </c>
      <c r="C843" s="2" t="s">
        <v>412</v>
      </c>
      <c r="D843" s="2" t="s">
        <v>117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11" t="b">
        <f aca="false">TRUE()</f>
        <v>1</v>
      </c>
      <c r="M843" s="2" t="s">
        <v>410</v>
      </c>
      <c r="N843" s="2" t="str">
        <f aca="false">IF(E843&gt;0,F843/E843,"")</f>
        <v/>
      </c>
      <c r="O843" s="2" t="str">
        <f aca="false">IF(AND(E843&gt;0,L843),J843/E843,"")</f>
        <v/>
      </c>
    </row>
    <row r="844" customFormat="false" ht="15" hidden="false" customHeight="false" outlineLevel="0" collapsed="false">
      <c r="A844" s="2" t="n">
        <v>2022</v>
      </c>
      <c r="B844" s="2" t="s">
        <v>282</v>
      </c>
      <c r="C844" s="2" t="s">
        <v>418</v>
      </c>
      <c r="D844" s="2" t="s">
        <v>117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11" t="b">
        <f aca="false">TRUE()</f>
        <v>1</v>
      </c>
      <c r="M844" s="2" t="s">
        <v>410</v>
      </c>
      <c r="N844" s="2" t="str">
        <f aca="false">IF(E844&gt;0,F844/E844,"")</f>
        <v/>
      </c>
      <c r="O844" s="2" t="str">
        <f aca="false">IF(AND(E844&gt;0,L844),J844/E844,"")</f>
        <v/>
      </c>
    </row>
    <row r="845" customFormat="false" ht="15" hidden="false" customHeight="false" outlineLevel="0" collapsed="false">
      <c r="A845" s="2" t="n">
        <v>2022</v>
      </c>
      <c r="B845" s="2" t="s">
        <v>124</v>
      </c>
      <c r="C845" s="2" t="s">
        <v>518</v>
      </c>
      <c r="D845" s="2" t="s">
        <v>83</v>
      </c>
      <c r="E845" s="2" t="n">
        <v>10</v>
      </c>
      <c r="F845" s="2" t="n">
        <v>6</v>
      </c>
      <c r="G845" s="2" t="n">
        <v>4</v>
      </c>
      <c r="H845" s="2" t="n">
        <v>0</v>
      </c>
      <c r="I845" s="2" t="n">
        <v>0</v>
      </c>
      <c r="J845" s="2" t="n">
        <v>60</v>
      </c>
      <c r="K845" s="2" t="n">
        <v>66</v>
      </c>
      <c r="L845" s="11" t="b">
        <f aca="false">TRUE()</f>
        <v>1</v>
      </c>
      <c r="M845" s="2" t="s">
        <v>406</v>
      </c>
      <c r="N845" s="2" t="n">
        <f aca="false">IF(E845&gt;0,F845/E845,"")</f>
        <v>0.6</v>
      </c>
      <c r="O845" s="2" t="n">
        <f aca="false">IF(AND(E845&gt;0,L845),J845/E845,"")</f>
        <v>6</v>
      </c>
    </row>
    <row r="846" customFormat="false" ht="15" hidden="false" customHeight="false" outlineLevel="0" collapsed="false">
      <c r="A846" s="2" t="n">
        <v>2022</v>
      </c>
      <c r="B846" s="2" t="s">
        <v>212</v>
      </c>
      <c r="C846" s="2" t="s">
        <v>418</v>
      </c>
      <c r="D846" s="2" t="s">
        <v>29</v>
      </c>
      <c r="E846" s="2" t="n">
        <v>4</v>
      </c>
      <c r="F846" s="2" t="n">
        <v>12</v>
      </c>
      <c r="G846" s="2" t="n">
        <v>9</v>
      </c>
      <c r="H846" s="2" t="n">
        <v>5</v>
      </c>
      <c r="I846" s="2" t="n">
        <v>2</v>
      </c>
      <c r="J846" s="2" t="n">
        <v>44</v>
      </c>
      <c r="K846" s="2" t="n">
        <v>58</v>
      </c>
      <c r="L846" s="11" t="b">
        <f aca="false">TRUE()</f>
        <v>1</v>
      </c>
      <c r="M846" s="2" t="s">
        <v>406</v>
      </c>
      <c r="N846" s="2" t="n">
        <f aca="false">IF(E846&gt;0,F846/E846,"")</f>
        <v>3</v>
      </c>
      <c r="O846" s="2" t="n">
        <f aca="false">IF(AND(E846&gt;0,L846),J846/E846,"")</f>
        <v>11</v>
      </c>
    </row>
    <row r="847" customFormat="false" ht="15" hidden="false" customHeight="false" outlineLevel="0" collapsed="false">
      <c r="A847" s="2" t="n">
        <v>2022</v>
      </c>
      <c r="B847" s="2" t="s">
        <v>50</v>
      </c>
      <c r="C847" s="2" t="s">
        <v>414</v>
      </c>
      <c r="D847" s="2" t="s">
        <v>24</v>
      </c>
      <c r="E847" s="2" t="n">
        <v>7</v>
      </c>
      <c r="F847" s="2" t="n">
        <v>48</v>
      </c>
      <c r="G847" s="2" t="n">
        <v>29</v>
      </c>
      <c r="H847" s="2" t="n">
        <v>13</v>
      </c>
      <c r="I847" s="2" t="n">
        <v>6</v>
      </c>
      <c r="J847" s="2" t="n">
        <v>143</v>
      </c>
      <c r="K847" s="2" t="n">
        <v>207</v>
      </c>
      <c r="L847" s="11" t="b">
        <f aca="false">TRUE()</f>
        <v>1</v>
      </c>
      <c r="M847" s="2" t="s">
        <v>406</v>
      </c>
      <c r="N847" s="2" t="n">
        <f aca="false">IF(E847&gt;0,F847/E847,"")</f>
        <v>6.85714285714286</v>
      </c>
      <c r="O847" s="2" t="n">
        <f aca="false">IF(AND(E847&gt;0,L847),J847/E847,"")</f>
        <v>20.4285714285714</v>
      </c>
    </row>
    <row r="848" customFormat="false" ht="15" hidden="false" customHeight="false" outlineLevel="0" collapsed="false">
      <c r="A848" s="2" t="n">
        <v>2022</v>
      </c>
      <c r="B848" s="2" t="s">
        <v>36</v>
      </c>
      <c r="C848" s="2" t="s">
        <v>418</v>
      </c>
      <c r="D848" s="2" t="s">
        <v>24</v>
      </c>
      <c r="E848" s="2" t="n">
        <v>9</v>
      </c>
      <c r="F848" s="2" t="n">
        <v>62</v>
      </c>
      <c r="G848" s="2" t="n">
        <v>40</v>
      </c>
      <c r="H848" s="2" t="n">
        <v>24</v>
      </c>
      <c r="I848" s="2" t="n">
        <v>11</v>
      </c>
      <c r="J848" s="2" t="n">
        <v>217</v>
      </c>
      <c r="K848" s="2" t="n">
        <v>286</v>
      </c>
      <c r="L848" s="11" t="b">
        <f aca="false">TRUE()</f>
        <v>1</v>
      </c>
      <c r="M848" s="2" t="s">
        <v>406</v>
      </c>
      <c r="N848" s="2" t="n">
        <f aca="false">IF(E848&gt;0,F848/E848,"")</f>
        <v>6.88888888888889</v>
      </c>
      <c r="O848" s="2" t="n">
        <f aca="false">IF(AND(E848&gt;0,L848),J848/E848,"")</f>
        <v>24.1111111111111</v>
      </c>
    </row>
    <row r="849" customFormat="false" ht="15" hidden="false" customHeight="false" outlineLevel="0" collapsed="false">
      <c r="A849" s="2" t="n">
        <v>2022</v>
      </c>
      <c r="B849" s="2" t="s">
        <v>540</v>
      </c>
      <c r="C849" s="2" t="s">
        <v>518</v>
      </c>
      <c r="D849" s="2" t="s">
        <v>413</v>
      </c>
      <c r="E849" s="2" t="n">
        <v>6</v>
      </c>
      <c r="F849" s="2" t="n">
        <v>3</v>
      </c>
      <c r="G849" s="2" t="n">
        <v>1</v>
      </c>
      <c r="H849" s="2" t="n">
        <v>1</v>
      </c>
      <c r="I849" s="2" t="n">
        <v>0</v>
      </c>
      <c r="J849" s="2" t="n">
        <v>24</v>
      </c>
      <c r="K849" s="2" t="n">
        <v>29</v>
      </c>
      <c r="L849" s="11" t="b">
        <f aca="false">TRUE()</f>
        <v>1</v>
      </c>
      <c r="M849" s="2" t="s">
        <v>410</v>
      </c>
      <c r="N849" s="2" t="n">
        <f aca="false">IF(E849&gt;0,F849/E849,"")</f>
        <v>0.5</v>
      </c>
      <c r="O849" s="2" t="n">
        <f aca="false">IF(AND(E849&gt;0,L849),J849/E849,"")</f>
        <v>4</v>
      </c>
    </row>
    <row r="850" customFormat="false" ht="15" hidden="false" customHeight="false" outlineLevel="0" collapsed="false">
      <c r="A850" s="2" t="n">
        <v>2022</v>
      </c>
      <c r="B850" s="2" t="s">
        <v>516</v>
      </c>
      <c r="C850" s="2" t="s">
        <v>418</v>
      </c>
      <c r="D850" s="2" t="s">
        <v>24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11" t="b">
        <f aca="false">TRUE()</f>
        <v>1</v>
      </c>
      <c r="M850" s="2" t="s">
        <v>410</v>
      </c>
      <c r="N850" s="2" t="str">
        <f aca="false">IF(E850&gt;0,F850/E850,"")</f>
        <v/>
      </c>
      <c r="O850" s="2" t="str">
        <f aca="false">IF(AND(E850&gt;0,L850),J850/E850,"")</f>
        <v/>
      </c>
    </row>
    <row r="851" customFormat="false" ht="15" hidden="false" customHeight="false" outlineLevel="0" collapsed="false">
      <c r="A851" s="2" t="n">
        <v>2022</v>
      </c>
      <c r="B851" s="2" t="s">
        <v>604</v>
      </c>
      <c r="C851" s="2" t="s">
        <v>545</v>
      </c>
      <c r="D851" s="2" t="s">
        <v>413</v>
      </c>
      <c r="E851" s="2" t="n">
        <v>4</v>
      </c>
      <c r="F851" s="2" t="n">
        <v>0</v>
      </c>
      <c r="G851" s="2" t="n">
        <v>0</v>
      </c>
      <c r="H851" s="2" t="n">
        <v>0</v>
      </c>
      <c r="I851" s="2" t="n">
        <v>1</v>
      </c>
      <c r="J851" s="2" t="n">
        <v>10</v>
      </c>
      <c r="K851" s="2" t="n">
        <v>12</v>
      </c>
      <c r="L851" s="11" t="b">
        <f aca="false">TRUE()</f>
        <v>1</v>
      </c>
      <c r="M851" s="2" t="s">
        <v>410</v>
      </c>
      <c r="N851" s="2" t="n">
        <f aca="false">IF(E851&gt;0,F851/E851,"")</f>
        <v>0</v>
      </c>
      <c r="O851" s="2" t="n">
        <f aca="false">IF(AND(E851&gt;0,L851),J851/E851,"")</f>
        <v>2.5</v>
      </c>
    </row>
    <row r="852" customFormat="false" ht="15" hidden="false" customHeight="false" outlineLevel="0" collapsed="false">
      <c r="A852" s="2" t="n">
        <v>2022</v>
      </c>
      <c r="B852" s="2" t="s">
        <v>198</v>
      </c>
      <c r="C852" s="2" t="s">
        <v>414</v>
      </c>
      <c r="D852" s="2" t="s">
        <v>117</v>
      </c>
      <c r="E852" s="2" t="n">
        <v>10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45</v>
      </c>
      <c r="K852" s="2" t="n">
        <v>48</v>
      </c>
      <c r="L852" s="11" t="b">
        <f aca="false">TRUE()</f>
        <v>1</v>
      </c>
      <c r="M852" s="2" t="s">
        <v>406</v>
      </c>
      <c r="N852" s="2" t="n">
        <f aca="false">IF(E852&gt;0,F852/E852,"")</f>
        <v>0</v>
      </c>
      <c r="O852" s="2" t="n">
        <f aca="false">IF(AND(E852&gt;0,L852),J852/E852,"")</f>
        <v>4.5</v>
      </c>
    </row>
    <row r="853" customFormat="false" ht="15" hidden="false" customHeight="false" outlineLevel="0" collapsed="false">
      <c r="A853" s="2" t="n">
        <v>2022</v>
      </c>
      <c r="B853" s="2" t="s">
        <v>148</v>
      </c>
      <c r="C853" s="2" t="s">
        <v>412</v>
      </c>
      <c r="D853" s="2" t="s">
        <v>117</v>
      </c>
      <c r="E853" s="2" t="n">
        <v>10</v>
      </c>
      <c r="F853" s="2" t="n">
        <v>12</v>
      </c>
      <c r="G853" s="2" t="n">
        <v>7</v>
      </c>
      <c r="H853" s="2" t="n">
        <v>3</v>
      </c>
      <c r="I853" s="2" t="n">
        <v>1</v>
      </c>
      <c r="J853" s="2" t="n">
        <v>58</v>
      </c>
      <c r="K853" s="2" t="n">
        <v>75</v>
      </c>
      <c r="L853" s="11" t="b">
        <f aca="false">TRUE()</f>
        <v>1</v>
      </c>
      <c r="M853" s="2" t="s">
        <v>406</v>
      </c>
      <c r="N853" s="2" t="n">
        <f aca="false">IF(E853&gt;0,F853/E853,"")</f>
        <v>1.2</v>
      </c>
      <c r="O853" s="2" t="n">
        <f aca="false">IF(AND(E853&gt;0,L853),J853/E853,"")</f>
        <v>5.8</v>
      </c>
    </row>
    <row r="854" customFormat="false" ht="15" hidden="false" customHeight="false" outlineLevel="0" collapsed="false">
      <c r="A854" s="2" t="n">
        <v>2023</v>
      </c>
      <c r="B854" s="2" t="s">
        <v>197</v>
      </c>
      <c r="C854" s="2" t="s">
        <v>412</v>
      </c>
      <c r="D854" s="2" t="s">
        <v>117</v>
      </c>
      <c r="E854" s="2" t="n">
        <v>7</v>
      </c>
      <c r="F854" s="2" t="n">
        <v>1</v>
      </c>
      <c r="G854" s="2" t="n">
        <v>1</v>
      </c>
      <c r="H854" s="2" t="n">
        <v>1</v>
      </c>
      <c r="I854" s="2" t="n">
        <v>0</v>
      </c>
      <c r="J854" s="2" t="n">
        <v>49</v>
      </c>
      <c r="K854" s="2" t="n">
        <v>51</v>
      </c>
      <c r="L854" s="11" t="b">
        <f aca="false">TRUE()</f>
        <v>1</v>
      </c>
      <c r="M854" s="2" t="s">
        <v>406</v>
      </c>
      <c r="N854" s="2" t="n">
        <f aca="false">IF(E854&gt;0,F854/E854,"")</f>
        <v>0.142857142857143</v>
      </c>
      <c r="O854" s="2" t="n">
        <f aca="false">IF(AND(E854&gt;0,L854),J854/E854,"")</f>
        <v>7</v>
      </c>
    </row>
    <row r="855" customFormat="false" ht="15" hidden="false" customHeight="false" outlineLevel="0" collapsed="false">
      <c r="A855" s="2" t="n">
        <v>2023</v>
      </c>
      <c r="B855" s="2" t="s">
        <v>541</v>
      </c>
      <c r="C855" s="2" t="s">
        <v>420</v>
      </c>
      <c r="D855" s="2" t="s">
        <v>413</v>
      </c>
      <c r="E855" s="2" t="n">
        <v>1</v>
      </c>
      <c r="F855" s="2" t="n">
        <v>1</v>
      </c>
      <c r="G855" s="2" t="n">
        <v>1</v>
      </c>
      <c r="H855" s="2" t="n">
        <v>0</v>
      </c>
      <c r="I855" s="2" t="n">
        <v>0</v>
      </c>
      <c r="J855" s="2" t="n">
        <v>3</v>
      </c>
      <c r="K855" s="2" t="n">
        <v>6</v>
      </c>
      <c r="L855" s="11" t="b">
        <f aca="false">TRUE()</f>
        <v>1</v>
      </c>
      <c r="M855" s="2" t="s">
        <v>410</v>
      </c>
      <c r="N855" s="2" t="n">
        <f aca="false">IF(E855&gt;0,F855/E855,"")</f>
        <v>1</v>
      </c>
      <c r="O855" s="2" t="n">
        <f aca="false">IF(AND(E855&gt;0,L855),J855/E855,"")</f>
        <v>3</v>
      </c>
    </row>
    <row r="856" customFormat="false" ht="15" hidden="false" customHeight="false" outlineLevel="0" collapsed="false">
      <c r="A856" s="2" t="n">
        <v>2023</v>
      </c>
      <c r="B856" s="2" t="s">
        <v>605</v>
      </c>
      <c r="C856" s="2" t="s">
        <v>420</v>
      </c>
      <c r="D856" s="2" t="s">
        <v>409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11" t="b">
        <f aca="false">TRUE()</f>
        <v>1</v>
      </c>
      <c r="M856" s="2" t="s">
        <v>410</v>
      </c>
      <c r="N856" s="2" t="str">
        <f aca="false">IF(E856&gt;0,F856/E856,"")</f>
        <v/>
      </c>
      <c r="O856" s="2" t="str">
        <f aca="false">IF(AND(E856&gt;0,L856),J856/E856,"")</f>
        <v/>
      </c>
    </row>
    <row r="857" customFormat="false" ht="15" hidden="false" customHeight="false" outlineLevel="0" collapsed="false">
      <c r="A857" s="2" t="n">
        <v>2023</v>
      </c>
      <c r="B857" s="2" t="s">
        <v>102</v>
      </c>
      <c r="C857" s="2" t="s">
        <v>412</v>
      </c>
      <c r="D857" s="2" t="s">
        <v>29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11" t="b">
        <f aca="false">TRUE()</f>
        <v>1</v>
      </c>
      <c r="M857" s="2" t="s">
        <v>410</v>
      </c>
      <c r="N857" s="2" t="str">
        <f aca="false">IF(E857&gt;0,F857/E857,"")</f>
        <v/>
      </c>
      <c r="O857" s="2" t="str">
        <f aca="false">IF(AND(E857&gt;0,L857),J857/E857,"")</f>
        <v/>
      </c>
    </row>
    <row r="858" customFormat="false" ht="15" hidden="false" customHeight="false" outlineLevel="0" collapsed="false">
      <c r="A858" s="2" t="n">
        <v>2023</v>
      </c>
      <c r="B858" s="2" t="s">
        <v>52</v>
      </c>
      <c r="C858" s="2" t="s">
        <v>408</v>
      </c>
      <c r="D858" s="2" t="s">
        <v>29</v>
      </c>
      <c r="E858" s="2" t="n">
        <v>10</v>
      </c>
      <c r="F858" s="2" t="n">
        <v>24</v>
      </c>
      <c r="G858" s="2" t="n">
        <v>15</v>
      </c>
      <c r="H858" s="2" t="n">
        <v>7</v>
      </c>
      <c r="I858" s="2" t="n">
        <v>4</v>
      </c>
      <c r="J858" s="2" t="n">
        <v>149</v>
      </c>
      <c r="K858" s="2" t="n">
        <v>184</v>
      </c>
      <c r="L858" s="11" t="b">
        <f aca="false">TRUE()</f>
        <v>1</v>
      </c>
      <c r="M858" s="2" t="s">
        <v>406</v>
      </c>
      <c r="N858" s="2" t="n">
        <f aca="false">IF(E858&gt;0,F858/E858,"")</f>
        <v>2.4</v>
      </c>
      <c r="O858" s="2" t="n">
        <f aca="false">IF(AND(E858&gt;0,L858),J858/E858,"")</f>
        <v>14.9</v>
      </c>
    </row>
    <row r="859" customFormat="false" ht="15" hidden="false" customHeight="false" outlineLevel="0" collapsed="false">
      <c r="A859" s="2" t="n">
        <v>2023</v>
      </c>
      <c r="B859" s="2" t="s">
        <v>54</v>
      </c>
      <c r="C859" s="2" t="s">
        <v>408</v>
      </c>
      <c r="D859" s="2" t="s">
        <v>29</v>
      </c>
      <c r="E859" s="2" t="n">
        <v>8</v>
      </c>
      <c r="F859" s="2" t="n">
        <v>26</v>
      </c>
      <c r="G859" s="2" t="n">
        <v>12</v>
      </c>
      <c r="H859" s="2" t="n">
        <v>4</v>
      </c>
      <c r="I859" s="2" t="n">
        <v>9</v>
      </c>
      <c r="J859" s="2" t="n">
        <v>184</v>
      </c>
      <c r="K859" s="2" t="n">
        <v>218</v>
      </c>
      <c r="L859" s="11" t="b">
        <f aca="false">TRUE()</f>
        <v>1</v>
      </c>
      <c r="M859" s="2" t="s">
        <v>406</v>
      </c>
      <c r="N859" s="2" t="n">
        <f aca="false">IF(E859&gt;0,F859/E859,"")</f>
        <v>3.25</v>
      </c>
      <c r="O859" s="2" t="n">
        <f aca="false">IF(AND(E859&gt;0,L859),J859/E859,"")</f>
        <v>23</v>
      </c>
    </row>
    <row r="860" customFormat="false" ht="15" hidden="false" customHeight="false" outlineLevel="0" collapsed="false">
      <c r="A860" s="2" t="n">
        <v>2023</v>
      </c>
      <c r="B860" s="2" t="s">
        <v>606</v>
      </c>
      <c r="C860" s="2" t="s">
        <v>412</v>
      </c>
      <c r="D860" s="2" t="s">
        <v>117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11" t="b">
        <f aca="false">TRUE()</f>
        <v>1</v>
      </c>
      <c r="M860" s="2" t="s">
        <v>410</v>
      </c>
      <c r="N860" s="2" t="str">
        <f aca="false">IF(E860&gt;0,F860/E860,"")</f>
        <v/>
      </c>
      <c r="O860" s="2" t="str">
        <f aca="false">IF(AND(E860&gt;0,L860),J860/E860,"")</f>
        <v/>
      </c>
    </row>
    <row r="861" customFormat="false" ht="15" hidden="false" customHeight="false" outlineLevel="0" collapsed="false">
      <c r="A861" s="2" t="n">
        <v>2023</v>
      </c>
      <c r="B861" s="2" t="s">
        <v>49</v>
      </c>
      <c r="C861" s="2" t="s">
        <v>418</v>
      </c>
      <c r="D861" s="2" t="s">
        <v>29</v>
      </c>
      <c r="E861" s="2" t="n">
        <v>10</v>
      </c>
      <c r="F861" s="2" t="n">
        <v>37</v>
      </c>
      <c r="G861" s="2" t="n">
        <v>27</v>
      </c>
      <c r="H861" s="2" t="n">
        <v>9</v>
      </c>
      <c r="I861" s="2" t="n">
        <v>1</v>
      </c>
      <c r="J861" s="2" t="n">
        <v>140</v>
      </c>
      <c r="K861" s="2" t="n">
        <v>187</v>
      </c>
      <c r="L861" s="11" t="b">
        <f aca="false">TRUE()</f>
        <v>1</v>
      </c>
      <c r="M861" s="2" t="s">
        <v>406</v>
      </c>
      <c r="N861" s="2" t="n">
        <f aca="false">IF(E861&gt;0,F861/E861,"")</f>
        <v>3.7</v>
      </c>
      <c r="O861" s="2" t="n">
        <f aca="false">IF(AND(E861&gt;0,L861),J861/E861,"")</f>
        <v>14</v>
      </c>
    </row>
    <row r="862" customFormat="false" ht="15" hidden="false" customHeight="false" outlineLevel="0" collapsed="false">
      <c r="A862" s="2" t="n">
        <v>2023</v>
      </c>
      <c r="B862" s="2" t="s">
        <v>75</v>
      </c>
      <c r="C862" s="2" t="s">
        <v>545</v>
      </c>
      <c r="D862" s="2" t="s">
        <v>29</v>
      </c>
      <c r="E862" s="2" t="n">
        <v>10</v>
      </c>
      <c r="F862" s="2" t="n">
        <v>52</v>
      </c>
      <c r="G862" s="2" t="n">
        <v>31</v>
      </c>
      <c r="H862" s="2" t="n">
        <v>13</v>
      </c>
      <c r="I862" s="2" t="n">
        <v>5</v>
      </c>
      <c r="J862" s="2" t="n">
        <v>170</v>
      </c>
      <c r="K862" s="2" t="n">
        <v>229</v>
      </c>
      <c r="L862" s="11" t="b">
        <f aca="false">TRUE()</f>
        <v>1</v>
      </c>
      <c r="M862" s="2" t="s">
        <v>406</v>
      </c>
      <c r="N862" s="2" t="n">
        <f aca="false">IF(E862&gt;0,F862/E862,"")</f>
        <v>5.2</v>
      </c>
      <c r="O862" s="2" t="n">
        <f aca="false">IF(AND(E862&gt;0,L862),J862/E862,"")</f>
        <v>17</v>
      </c>
    </row>
    <row r="863" customFormat="false" ht="15" hidden="false" customHeight="false" outlineLevel="0" collapsed="false">
      <c r="A863" s="2" t="n">
        <v>2023</v>
      </c>
      <c r="B863" s="2" t="s">
        <v>291</v>
      </c>
      <c r="C863" s="2" t="s">
        <v>545</v>
      </c>
      <c r="D863" s="2" t="s">
        <v>83</v>
      </c>
      <c r="E863" s="2" t="n">
        <v>10</v>
      </c>
      <c r="F863" s="2" t="n">
        <v>3</v>
      </c>
      <c r="G863" s="2" t="n">
        <v>1</v>
      </c>
      <c r="H863" s="2" t="n">
        <v>0</v>
      </c>
      <c r="I863" s="2" t="n">
        <v>1</v>
      </c>
      <c r="J863" s="2" t="n">
        <v>38</v>
      </c>
      <c r="K863" s="2" t="n">
        <v>46</v>
      </c>
      <c r="L863" s="11" t="b">
        <f aca="false">TRUE()</f>
        <v>1</v>
      </c>
      <c r="M863" s="2" t="s">
        <v>406</v>
      </c>
      <c r="N863" s="2" t="n">
        <f aca="false">IF(E863&gt;0,F863/E863,"")</f>
        <v>0.3</v>
      </c>
      <c r="O863" s="2" t="n">
        <f aca="false">IF(AND(E863&gt;0,L863),J863/E863,"")</f>
        <v>3.8</v>
      </c>
    </row>
    <row r="864" customFormat="false" ht="15" hidden="false" customHeight="false" outlineLevel="0" collapsed="false">
      <c r="A864" s="2" t="n">
        <v>2023</v>
      </c>
      <c r="B864" s="2" t="s">
        <v>200</v>
      </c>
      <c r="C864" s="2" t="s">
        <v>408</v>
      </c>
      <c r="D864" s="2" t="s">
        <v>29</v>
      </c>
      <c r="E864" s="2" t="n">
        <v>4</v>
      </c>
      <c r="F864" s="2" t="n">
        <v>15</v>
      </c>
      <c r="G864" s="2" t="n">
        <v>8</v>
      </c>
      <c r="H864" s="2" t="n">
        <v>3</v>
      </c>
      <c r="I864" s="2" t="n">
        <v>0</v>
      </c>
      <c r="J864" s="2" t="n">
        <v>30</v>
      </c>
      <c r="K864" s="2" t="n">
        <v>45</v>
      </c>
      <c r="L864" s="11" t="b">
        <f aca="false">TRUE()</f>
        <v>1</v>
      </c>
      <c r="M864" s="2" t="s">
        <v>406</v>
      </c>
      <c r="N864" s="2" t="n">
        <f aca="false">IF(E864&gt;0,F864/E864,"")</f>
        <v>3.75</v>
      </c>
      <c r="O864" s="2" t="n">
        <f aca="false">IF(AND(E864&gt;0,L864),J864/E864,"")</f>
        <v>7.5</v>
      </c>
    </row>
    <row r="865" customFormat="false" ht="15" hidden="false" customHeight="false" outlineLevel="0" collapsed="false">
      <c r="A865" s="2" t="n">
        <v>2023</v>
      </c>
      <c r="B865" s="2" t="s">
        <v>411</v>
      </c>
      <c r="C865" s="2" t="s">
        <v>412</v>
      </c>
      <c r="D865" s="2" t="s">
        <v>413</v>
      </c>
      <c r="E865" s="2" t="n">
        <v>10</v>
      </c>
      <c r="F865" s="2" t="n">
        <v>24</v>
      </c>
      <c r="G865" s="2" t="n">
        <v>11</v>
      </c>
      <c r="H865" s="2" t="n">
        <v>5</v>
      </c>
      <c r="I865" s="2" t="n">
        <v>2</v>
      </c>
      <c r="J865" s="2" t="n">
        <v>137</v>
      </c>
      <c r="K865" s="2" t="n">
        <v>176</v>
      </c>
      <c r="L865" s="11" t="b">
        <f aca="false">TRUE()</f>
        <v>1</v>
      </c>
      <c r="M865" s="2" t="s">
        <v>410</v>
      </c>
      <c r="N865" s="2" t="n">
        <f aca="false">IF(E865&gt;0,F865/E865,"")</f>
        <v>2.4</v>
      </c>
      <c r="O865" s="2" t="n">
        <f aca="false">IF(AND(E865&gt;0,L865),J865/E865,"")</f>
        <v>13.7</v>
      </c>
    </row>
    <row r="866" customFormat="false" ht="15" hidden="false" customHeight="false" outlineLevel="0" collapsed="false">
      <c r="A866" s="2" t="n">
        <v>2023</v>
      </c>
      <c r="B866" s="2" t="s">
        <v>377</v>
      </c>
      <c r="C866" s="2" t="s">
        <v>414</v>
      </c>
      <c r="D866" s="2" t="s">
        <v>117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11" t="b">
        <f aca="false">TRUE()</f>
        <v>1</v>
      </c>
      <c r="M866" s="2" t="s">
        <v>410</v>
      </c>
      <c r="N866" s="2" t="str">
        <f aca="false">IF(E866&gt;0,F866/E866,"")</f>
        <v/>
      </c>
      <c r="O866" s="2" t="str">
        <f aca="false">IF(AND(E866&gt;0,L866),J866/E866,"")</f>
        <v/>
      </c>
    </row>
    <row r="867" customFormat="false" ht="15" hidden="false" customHeight="false" outlineLevel="0" collapsed="false">
      <c r="A867" s="2" t="n">
        <v>2023</v>
      </c>
      <c r="B867" s="2" t="s">
        <v>104</v>
      </c>
      <c r="C867" s="2" t="s">
        <v>405</v>
      </c>
      <c r="D867" s="2" t="s">
        <v>24</v>
      </c>
      <c r="E867" s="2" t="n">
        <v>10</v>
      </c>
      <c r="F867" s="2" t="n">
        <v>43</v>
      </c>
      <c r="G867" s="2" t="n">
        <v>34</v>
      </c>
      <c r="H867" s="2" t="n">
        <v>21</v>
      </c>
      <c r="I867" s="2" t="n">
        <v>2</v>
      </c>
      <c r="J867" s="2" t="n">
        <v>140</v>
      </c>
      <c r="K867" s="2" t="n">
        <v>192</v>
      </c>
      <c r="L867" s="11" t="b">
        <f aca="false">TRUE()</f>
        <v>1</v>
      </c>
      <c r="M867" s="2" t="s">
        <v>406</v>
      </c>
      <c r="N867" s="2" t="n">
        <f aca="false">IF(E867&gt;0,F867/E867,"")</f>
        <v>4.3</v>
      </c>
      <c r="O867" s="2" t="n">
        <f aca="false">IF(AND(E867&gt;0,L867),J867/E867,"")</f>
        <v>14</v>
      </c>
    </row>
    <row r="868" customFormat="false" ht="15" hidden="false" customHeight="false" outlineLevel="0" collapsed="false">
      <c r="A868" s="2" t="n">
        <v>2023</v>
      </c>
      <c r="B868" s="2" t="s">
        <v>179</v>
      </c>
      <c r="C868" s="2" t="s">
        <v>414</v>
      </c>
      <c r="D868" s="2" t="s">
        <v>83</v>
      </c>
      <c r="E868" s="2" t="n">
        <v>8</v>
      </c>
      <c r="F868" s="2" t="n">
        <v>4</v>
      </c>
      <c r="G868" s="2" t="n">
        <v>0</v>
      </c>
      <c r="H868" s="2" t="n">
        <v>0</v>
      </c>
      <c r="I868" s="2" t="n">
        <v>1</v>
      </c>
      <c r="J868" s="2" t="n">
        <v>35</v>
      </c>
      <c r="K868" s="2" t="n">
        <v>41</v>
      </c>
      <c r="L868" s="11" t="b">
        <f aca="false">TRUE()</f>
        <v>1</v>
      </c>
      <c r="M868" s="2" t="s">
        <v>406</v>
      </c>
      <c r="N868" s="2" t="n">
        <f aca="false">IF(E868&gt;0,F868/E868,"")</f>
        <v>0.5</v>
      </c>
      <c r="O868" s="2" t="n">
        <f aca="false">IF(AND(E868&gt;0,L868),J868/E868,"")</f>
        <v>4.375</v>
      </c>
    </row>
    <row r="869" customFormat="false" ht="15" hidden="false" customHeight="false" outlineLevel="0" collapsed="false">
      <c r="A869" s="2" t="n">
        <v>2023</v>
      </c>
      <c r="B869" s="2" t="s">
        <v>161</v>
      </c>
      <c r="C869" s="2" t="s">
        <v>418</v>
      </c>
      <c r="D869" s="2" t="s">
        <v>117</v>
      </c>
      <c r="E869" s="2" t="n">
        <v>8</v>
      </c>
      <c r="F869" s="2" t="n">
        <v>4</v>
      </c>
      <c r="G869" s="2" t="n">
        <v>0</v>
      </c>
      <c r="H869" s="2" t="n">
        <v>0</v>
      </c>
      <c r="I869" s="2" t="n">
        <v>4</v>
      </c>
      <c r="J869" s="2" t="n">
        <v>75</v>
      </c>
      <c r="K869" s="2" t="n">
        <v>80</v>
      </c>
      <c r="L869" s="11" t="b">
        <f aca="false">TRUE()</f>
        <v>1</v>
      </c>
      <c r="M869" s="2" t="s">
        <v>406</v>
      </c>
      <c r="N869" s="2" t="n">
        <f aca="false">IF(E869&gt;0,F869/E869,"")</f>
        <v>0.5</v>
      </c>
      <c r="O869" s="2" t="n">
        <f aca="false">IF(AND(E869&gt;0,L869),J869/E869,"")</f>
        <v>9.375</v>
      </c>
    </row>
    <row r="870" customFormat="false" ht="15" hidden="false" customHeight="false" outlineLevel="0" collapsed="false">
      <c r="A870" s="2" t="n">
        <v>2023</v>
      </c>
      <c r="B870" s="2" t="s">
        <v>416</v>
      </c>
      <c r="C870" s="2" t="s">
        <v>414</v>
      </c>
      <c r="D870" s="2" t="s">
        <v>409</v>
      </c>
      <c r="E870" s="2" t="n">
        <v>6</v>
      </c>
      <c r="F870" s="2" t="n">
        <v>0</v>
      </c>
      <c r="G870" s="2" t="n">
        <v>0</v>
      </c>
      <c r="H870" s="2" t="n">
        <v>0</v>
      </c>
      <c r="I870" s="2" t="n">
        <v>1</v>
      </c>
      <c r="J870" s="2" t="n">
        <v>86</v>
      </c>
      <c r="K870" s="2" t="n">
        <v>88</v>
      </c>
      <c r="L870" s="11" t="b">
        <f aca="false">TRUE()</f>
        <v>1</v>
      </c>
      <c r="M870" s="2" t="s">
        <v>410</v>
      </c>
      <c r="N870" s="2" t="n">
        <f aca="false">IF(E870&gt;0,F870/E870,"")</f>
        <v>0</v>
      </c>
      <c r="O870" s="2" t="n">
        <f aca="false">IF(AND(E870&gt;0,L870),J870/E870,"")</f>
        <v>14.3333333333333</v>
      </c>
    </row>
    <row r="871" customFormat="false" ht="15" hidden="false" customHeight="false" outlineLevel="0" collapsed="false">
      <c r="A871" s="2" t="n">
        <v>2023</v>
      </c>
      <c r="B871" s="2" t="s">
        <v>59</v>
      </c>
      <c r="C871" s="2" t="s">
        <v>405</v>
      </c>
      <c r="D871" s="2" t="s">
        <v>29</v>
      </c>
      <c r="E871" s="2" t="n">
        <v>9</v>
      </c>
      <c r="F871" s="2" t="n">
        <v>35</v>
      </c>
      <c r="G871" s="2" t="n">
        <v>16</v>
      </c>
      <c r="H871" s="2" t="n">
        <v>7</v>
      </c>
      <c r="I871" s="2" t="n">
        <v>5</v>
      </c>
      <c r="J871" s="2" t="n">
        <v>170</v>
      </c>
      <c r="K871" s="2" t="n">
        <v>218</v>
      </c>
      <c r="L871" s="11" t="b">
        <f aca="false">TRUE()</f>
        <v>1</v>
      </c>
      <c r="M871" s="2" t="s">
        <v>406</v>
      </c>
      <c r="N871" s="2" t="n">
        <f aca="false">IF(E871&gt;0,F871/E871,"")</f>
        <v>3.88888888888889</v>
      </c>
      <c r="O871" s="2" t="n">
        <f aca="false">IF(AND(E871&gt;0,L871),J871/E871,"")</f>
        <v>18.8888888888889</v>
      </c>
    </row>
    <row r="872" customFormat="false" ht="15" hidden="false" customHeight="false" outlineLevel="0" collapsed="false">
      <c r="A872" s="2" t="n">
        <v>2023</v>
      </c>
      <c r="B872" s="2" t="s">
        <v>546</v>
      </c>
      <c r="C872" s="2" t="s">
        <v>418</v>
      </c>
      <c r="D872" s="2" t="s">
        <v>83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11" t="b">
        <f aca="false">TRUE()</f>
        <v>1</v>
      </c>
      <c r="M872" s="2" t="s">
        <v>410</v>
      </c>
      <c r="N872" s="2" t="str">
        <f aca="false">IF(E872&gt;0,F872/E872,"")</f>
        <v/>
      </c>
      <c r="O872" s="2" t="str">
        <f aca="false">IF(AND(E872&gt;0,L872),J872/E872,"")</f>
        <v/>
      </c>
    </row>
    <row r="873" customFormat="false" ht="15" hidden="false" customHeight="false" outlineLevel="0" collapsed="false">
      <c r="A873" s="2" t="n">
        <v>2023</v>
      </c>
      <c r="B873" s="2" t="s">
        <v>113</v>
      </c>
      <c r="C873" s="2" t="s">
        <v>408</v>
      </c>
      <c r="D873" s="2" t="s">
        <v>83</v>
      </c>
      <c r="E873" s="2" t="n">
        <v>10</v>
      </c>
      <c r="F873" s="2" t="n">
        <v>9</v>
      </c>
      <c r="G873" s="2" t="n">
        <v>4</v>
      </c>
      <c r="H873" s="2" t="n">
        <v>0</v>
      </c>
      <c r="I873" s="2" t="n">
        <v>3</v>
      </c>
      <c r="J873" s="2" t="n">
        <v>85</v>
      </c>
      <c r="K873" s="2" t="n">
        <v>101</v>
      </c>
      <c r="L873" s="11" t="b">
        <f aca="false">TRUE()</f>
        <v>1</v>
      </c>
      <c r="M873" s="2" t="s">
        <v>406</v>
      </c>
      <c r="N873" s="2" t="n">
        <f aca="false">IF(E873&gt;0,F873/E873,"")</f>
        <v>0.9</v>
      </c>
      <c r="O873" s="2" t="n">
        <f aca="false">IF(AND(E873&gt;0,L873),J873/E873,"")</f>
        <v>8.5</v>
      </c>
    </row>
    <row r="874" customFormat="false" ht="15" hidden="false" customHeight="false" outlineLevel="0" collapsed="false">
      <c r="A874" s="2" t="n">
        <v>2023</v>
      </c>
      <c r="B874" s="2" t="s">
        <v>326</v>
      </c>
      <c r="C874" s="2" t="s">
        <v>543</v>
      </c>
      <c r="D874" s="2" t="s">
        <v>29</v>
      </c>
      <c r="E874" s="2" t="n">
        <v>4</v>
      </c>
      <c r="F874" s="2" t="n">
        <v>6</v>
      </c>
      <c r="G874" s="2" t="n">
        <v>6</v>
      </c>
      <c r="H874" s="2" t="n">
        <v>0</v>
      </c>
      <c r="I874" s="2" t="n">
        <v>0</v>
      </c>
      <c r="J874" s="2" t="n">
        <v>20</v>
      </c>
      <c r="K874" s="2" t="n">
        <v>26</v>
      </c>
      <c r="L874" s="11" t="b">
        <f aca="false">TRUE()</f>
        <v>1</v>
      </c>
      <c r="M874" s="2" t="s">
        <v>406</v>
      </c>
      <c r="N874" s="2" t="n">
        <f aca="false">IF(E874&gt;0,F874/E874,"")</f>
        <v>1.5</v>
      </c>
      <c r="O874" s="2" t="n">
        <f aca="false">IF(AND(E874&gt;0,L874),J874/E874,"")</f>
        <v>5</v>
      </c>
    </row>
    <row r="875" customFormat="false" ht="15" hidden="false" customHeight="false" outlineLevel="0" collapsed="false">
      <c r="A875" s="2" t="n">
        <v>2023</v>
      </c>
      <c r="B875" s="2" t="s">
        <v>238</v>
      </c>
      <c r="C875" s="2" t="s">
        <v>420</v>
      </c>
      <c r="D875" s="2" t="s">
        <v>117</v>
      </c>
      <c r="E875" s="2" t="n">
        <v>10</v>
      </c>
      <c r="F875" s="2" t="n">
        <v>2</v>
      </c>
      <c r="G875" s="2" t="n">
        <v>1</v>
      </c>
      <c r="H875" s="2" t="n">
        <v>1</v>
      </c>
      <c r="I875" s="2" t="n">
        <v>2</v>
      </c>
      <c r="J875" s="2" t="n">
        <v>87</v>
      </c>
      <c r="K875" s="2" t="n">
        <v>92</v>
      </c>
      <c r="L875" s="11" t="b">
        <f aca="false">TRUE()</f>
        <v>1</v>
      </c>
      <c r="M875" s="2" t="s">
        <v>406</v>
      </c>
      <c r="N875" s="2" t="n">
        <f aca="false">IF(E875&gt;0,F875/E875,"")</f>
        <v>0.2</v>
      </c>
      <c r="O875" s="2" t="n">
        <f aca="false">IF(AND(E875&gt;0,L875),J875/E875,"")</f>
        <v>8.7</v>
      </c>
    </row>
    <row r="876" customFormat="false" ht="15" hidden="false" customHeight="false" outlineLevel="0" collapsed="false">
      <c r="A876" s="2" t="n">
        <v>2023</v>
      </c>
      <c r="B876" s="2" t="s">
        <v>127</v>
      </c>
      <c r="C876" s="2" t="s">
        <v>408</v>
      </c>
      <c r="D876" s="2" t="s">
        <v>29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11" t="b">
        <f aca="false">TRUE()</f>
        <v>1</v>
      </c>
      <c r="M876" s="2" t="s">
        <v>410</v>
      </c>
      <c r="N876" s="2" t="str">
        <f aca="false">IF(E876&gt;0,F876/E876,"")</f>
        <v/>
      </c>
      <c r="O876" s="2" t="str">
        <f aca="false">IF(AND(E876&gt;0,L876),J876/E876,"")</f>
        <v/>
      </c>
    </row>
    <row r="877" customFormat="false" ht="15" hidden="false" customHeight="false" outlineLevel="0" collapsed="false">
      <c r="A877" s="2" t="n">
        <v>2023</v>
      </c>
      <c r="B877" s="2" t="s">
        <v>62</v>
      </c>
      <c r="C877" s="2" t="s">
        <v>420</v>
      </c>
      <c r="D877" s="2" t="s">
        <v>24</v>
      </c>
      <c r="E877" s="2" t="n">
        <v>6</v>
      </c>
      <c r="F877" s="2" t="n">
        <v>46</v>
      </c>
      <c r="G877" s="2" t="n">
        <v>31</v>
      </c>
      <c r="H877" s="2" t="n">
        <v>15</v>
      </c>
      <c r="I877" s="2" t="n">
        <v>6</v>
      </c>
      <c r="J877" s="2" t="n">
        <v>115</v>
      </c>
      <c r="K877" s="2" t="n">
        <v>176</v>
      </c>
      <c r="L877" s="11" t="b">
        <f aca="false">TRUE()</f>
        <v>1</v>
      </c>
      <c r="M877" s="2" t="s">
        <v>406</v>
      </c>
      <c r="N877" s="2" t="n">
        <f aca="false">IF(E877&gt;0,F877/E877,"")</f>
        <v>7.66666666666667</v>
      </c>
      <c r="O877" s="2" t="n">
        <f aca="false">IF(AND(E877&gt;0,L877),J877/E877,"")</f>
        <v>19.1666666666667</v>
      </c>
    </row>
    <row r="878" customFormat="false" ht="15" hidden="false" customHeight="false" outlineLevel="0" collapsed="false">
      <c r="A878" s="2" t="n">
        <v>2023</v>
      </c>
      <c r="B878" s="2" t="s">
        <v>175</v>
      </c>
      <c r="C878" s="2" t="s">
        <v>518</v>
      </c>
      <c r="D878" s="2" t="s">
        <v>117</v>
      </c>
      <c r="E878" s="2" t="n">
        <v>10</v>
      </c>
      <c r="F878" s="2" t="n">
        <v>4</v>
      </c>
      <c r="G878" s="2" t="n">
        <v>0</v>
      </c>
      <c r="H878" s="2" t="n">
        <v>0</v>
      </c>
      <c r="I878" s="2" t="n">
        <v>2</v>
      </c>
      <c r="J878" s="2" t="n">
        <v>79</v>
      </c>
      <c r="K878" s="2" t="n">
        <v>87</v>
      </c>
      <c r="L878" s="11" t="b">
        <f aca="false">TRUE()</f>
        <v>1</v>
      </c>
      <c r="M878" s="2" t="s">
        <v>406</v>
      </c>
      <c r="N878" s="2" t="n">
        <f aca="false">IF(E878&gt;0,F878/E878,"")</f>
        <v>0.4</v>
      </c>
      <c r="O878" s="2" t="n">
        <f aca="false">IF(AND(E878&gt;0,L878),J878/E878,"")</f>
        <v>7.9</v>
      </c>
    </row>
    <row r="879" customFormat="false" ht="15" hidden="false" customHeight="false" outlineLevel="0" collapsed="false">
      <c r="A879" s="2" t="n">
        <v>2023</v>
      </c>
      <c r="B879" s="2" t="s">
        <v>45</v>
      </c>
      <c r="C879" s="2" t="s">
        <v>545</v>
      </c>
      <c r="D879" s="2" t="s">
        <v>29</v>
      </c>
      <c r="E879" s="2" t="n">
        <v>10</v>
      </c>
      <c r="F879" s="2" t="n">
        <v>45</v>
      </c>
      <c r="G879" s="2" t="n">
        <v>28</v>
      </c>
      <c r="H879" s="2" t="n">
        <v>12</v>
      </c>
      <c r="I879" s="2" t="n">
        <v>4</v>
      </c>
      <c r="J879" s="2" t="n">
        <v>175</v>
      </c>
      <c r="K879" s="2" t="n">
        <v>234</v>
      </c>
      <c r="L879" s="11" t="b">
        <f aca="false">TRUE()</f>
        <v>1</v>
      </c>
      <c r="M879" s="2" t="s">
        <v>406</v>
      </c>
      <c r="N879" s="2" t="n">
        <f aca="false">IF(E879&gt;0,F879/E879,"")</f>
        <v>4.5</v>
      </c>
      <c r="O879" s="2" t="n">
        <f aca="false">IF(AND(E879&gt;0,L879),J879/E879,"")</f>
        <v>17.5</v>
      </c>
    </row>
    <row r="880" customFormat="false" ht="15" hidden="false" customHeight="false" outlineLevel="0" collapsed="false">
      <c r="A880" s="2" t="n">
        <v>2023</v>
      </c>
      <c r="B880" s="2" t="s">
        <v>607</v>
      </c>
      <c r="C880" s="2" t="s">
        <v>518</v>
      </c>
      <c r="D880" s="2" t="s">
        <v>117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11" t="b">
        <f aca="false">TRUE()</f>
        <v>1</v>
      </c>
      <c r="M880" s="2" t="s">
        <v>410</v>
      </c>
      <c r="N880" s="2" t="str">
        <f aca="false">IF(E880&gt;0,F880/E880,"")</f>
        <v/>
      </c>
      <c r="O880" s="2" t="str">
        <f aca="false">IF(AND(E880&gt;0,L880),J880/E880,"")</f>
        <v/>
      </c>
    </row>
    <row r="881" customFormat="false" ht="15" hidden="false" customHeight="false" outlineLevel="0" collapsed="false">
      <c r="A881" s="2" t="n">
        <v>2023</v>
      </c>
      <c r="B881" s="2" t="s">
        <v>108</v>
      </c>
      <c r="C881" s="2" t="s">
        <v>518</v>
      </c>
      <c r="D881" s="2" t="s">
        <v>29</v>
      </c>
      <c r="E881" s="2" t="n">
        <v>8</v>
      </c>
      <c r="F881" s="2" t="n">
        <v>32</v>
      </c>
      <c r="G881" s="2" t="n">
        <v>23</v>
      </c>
      <c r="H881" s="2" t="n">
        <v>11</v>
      </c>
      <c r="I881" s="2" t="n">
        <v>2</v>
      </c>
      <c r="J881" s="2" t="n">
        <v>157</v>
      </c>
      <c r="K881" s="2" t="n">
        <v>192</v>
      </c>
      <c r="L881" s="11" t="b">
        <f aca="false">TRUE()</f>
        <v>1</v>
      </c>
      <c r="M881" s="2" t="s">
        <v>406</v>
      </c>
      <c r="N881" s="2" t="n">
        <f aca="false">IF(E881&gt;0,F881/E881,"")</f>
        <v>4</v>
      </c>
      <c r="O881" s="2" t="n">
        <f aca="false">IF(AND(E881&gt;0,L881),J881/E881,"")</f>
        <v>19.625</v>
      </c>
    </row>
    <row r="882" customFormat="false" ht="15" hidden="false" customHeight="false" outlineLevel="0" collapsed="false">
      <c r="A882" s="2" t="n">
        <v>2023</v>
      </c>
      <c r="B882" s="2" t="s">
        <v>55</v>
      </c>
      <c r="C882" s="2" t="s">
        <v>414</v>
      </c>
      <c r="D882" s="2" t="s">
        <v>29</v>
      </c>
      <c r="E882" s="2" t="n">
        <v>10</v>
      </c>
      <c r="F882" s="2" t="n">
        <v>52</v>
      </c>
      <c r="G882" s="2" t="n">
        <v>36</v>
      </c>
      <c r="H882" s="2" t="n">
        <v>17</v>
      </c>
      <c r="I882" s="2" t="n">
        <v>7</v>
      </c>
      <c r="J882" s="2" t="n">
        <v>200</v>
      </c>
      <c r="K882" s="2" t="n">
        <v>258</v>
      </c>
      <c r="L882" s="11" t="b">
        <f aca="false">TRUE()</f>
        <v>1</v>
      </c>
      <c r="M882" s="2" t="s">
        <v>406</v>
      </c>
      <c r="N882" s="2" t="n">
        <f aca="false">IF(E882&gt;0,F882/E882,"")</f>
        <v>5.2</v>
      </c>
      <c r="O882" s="2" t="n">
        <f aca="false">IF(AND(E882&gt;0,L882),J882/E882,"")</f>
        <v>20</v>
      </c>
    </row>
    <row r="883" customFormat="false" ht="15" hidden="false" customHeight="false" outlineLevel="0" collapsed="false">
      <c r="A883" s="2" t="n">
        <v>2023</v>
      </c>
      <c r="B883" s="2" t="s">
        <v>93</v>
      </c>
      <c r="C883" s="2" t="s">
        <v>545</v>
      </c>
      <c r="D883" s="2" t="s">
        <v>24</v>
      </c>
      <c r="E883" s="2" t="n">
        <v>2</v>
      </c>
      <c r="F883" s="2" t="n">
        <v>10</v>
      </c>
      <c r="G883" s="2" t="n">
        <v>5</v>
      </c>
      <c r="H883" s="2" t="n">
        <v>3</v>
      </c>
      <c r="I883" s="2" t="n">
        <v>0</v>
      </c>
      <c r="J883" s="2" t="n">
        <v>31</v>
      </c>
      <c r="K883" s="2" t="n">
        <v>44</v>
      </c>
      <c r="L883" s="11" t="b">
        <f aca="false">TRUE()</f>
        <v>1</v>
      </c>
      <c r="M883" s="2" t="s">
        <v>410</v>
      </c>
      <c r="N883" s="2" t="n">
        <f aca="false">IF(E883&gt;0,F883/E883,"")</f>
        <v>5</v>
      </c>
      <c r="O883" s="2" t="n">
        <f aca="false">IF(AND(E883&gt;0,L883),J883/E883,"")</f>
        <v>15.5</v>
      </c>
    </row>
    <row r="884" customFormat="false" ht="15" hidden="false" customHeight="false" outlineLevel="0" collapsed="false">
      <c r="A884" s="2" t="n">
        <v>2023</v>
      </c>
      <c r="B884" s="2" t="s">
        <v>268</v>
      </c>
      <c r="C884" s="2" t="s">
        <v>545</v>
      </c>
      <c r="D884" s="2" t="s">
        <v>115</v>
      </c>
      <c r="E884" s="2" t="n">
        <v>8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22</v>
      </c>
      <c r="K884" s="2" t="n">
        <v>24</v>
      </c>
      <c r="L884" s="11" t="b">
        <f aca="false">TRUE()</f>
        <v>1</v>
      </c>
      <c r="M884" s="2" t="s">
        <v>406</v>
      </c>
      <c r="N884" s="2" t="n">
        <f aca="false">IF(E884&gt;0,F884/E884,"")</f>
        <v>0</v>
      </c>
      <c r="O884" s="2" t="n">
        <f aca="false">IF(AND(E884&gt;0,L884),J884/E884,"")</f>
        <v>2.75</v>
      </c>
    </row>
    <row r="885" customFormat="false" ht="15" hidden="false" customHeight="false" outlineLevel="0" collapsed="false">
      <c r="A885" s="2" t="n">
        <v>2023</v>
      </c>
      <c r="B885" s="2" t="s">
        <v>129</v>
      </c>
      <c r="C885" s="2" t="s">
        <v>420</v>
      </c>
      <c r="D885" s="2" t="s">
        <v>24</v>
      </c>
      <c r="E885" s="2" t="n">
        <v>5</v>
      </c>
      <c r="F885" s="2" t="n">
        <v>34</v>
      </c>
      <c r="G885" s="2" t="n">
        <v>19</v>
      </c>
      <c r="H885" s="2" t="n">
        <v>10</v>
      </c>
      <c r="I885" s="2" t="n">
        <v>1</v>
      </c>
      <c r="J885" s="2" t="n">
        <v>82</v>
      </c>
      <c r="K885" s="2" t="n">
        <v>126</v>
      </c>
      <c r="L885" s="11" t="b">
        <f aca="false">TRUE()</f>
        <v>1</v>
      </c>
      <c r="M885" s="2" t="s">
        <v>406</v>
      </c>
      <c r="N885" s="2" t="n">
        <f aca="false">IF(E885&gt;0,F885/E885,"")</f>
        <v>6.8</v>
      </c>
      <c r="O885" s="2" t="n">
        <f aca="false">IF(AND(E885&gt;0,L885),J885/E885,"")</f>
        <v>16.4</v>
      </c>
    </row>
    <row r="886" customFormat="false" ht="15" hidden="false" customHeight="false" outlineLevel="0" collapsed="false">
      <c r="A886" s="2" t="n">
        <v>2023</v>
      </c>
      <c r="B886" s="2" t="s">
        <v>237</v>
      </c>
      <c r="C886" s="2" t="s">
        <v>412</v>
      </c>
      <c r="D886" s="2" t="s">
        <v>24</v>
      </c>
      <c r="E886" s="2" t="n">
        <v>1</v>
      </c>
      <c r="F886" s="2" t="n">
        <v>1</v>
      </c>
      <c r="G886" s="2" t="n">
        <v>0</v>
      </c>
      <c r="H886" s="2" t="n">
        <v>0</v>
      </c>
      <c r="I886" s="2" t="n">
        <v>0</v>
      </c>
      <c r="J886" s="2" t="n">
        <v>5</v>
      </c>
      <c r="K886" s="2" t="n">
        <v>7</v>
      </c>
      <c r="L886" s="11" t="b">
        <f aca="false">TRUE()</f>
        <v>1</v>
      </c>
      <c r="M886" s="2" t="s">
        <v>410</v>
      </c>
      <c r="N886" s="2" t="n">
        <f aca="false">IF(E886&gt;0,F886/E886,"")</f>
        <v>1</v>
      </c>
      <c r="O886" s="2" t="n">
        <f aca="false">IF(AND(E886&gt;0,L886),J886/E886,"")</f>
        <v>5</v>
      </c>
    </row>
    <row r="887" customFormat="false" ht="15" hidden="false" customHeight="false" outlineLevel="0" collapsed="false">
      <c r="A887" s="2" t="n">
        <v>2023</v>
      </c>
      <c r="B887" s="2" t="s">
        <v>220</v>
      </c>
      <c r="C887" s="2" t="s">
        <v>405</v>
      </c>
      <c r="D887" s="2" t="s">
        <v>117</v>
      </c>
      <c r="E887" s="2" t="n">
        <v>10</v>
      </c>
      <c r="F887" s="2" t="n">
        <v>1</v>
      </c>
      <c r="G887" s="2" t="n">
        <v>1</v>
      </c>
      <c r="H887" s="2" t="n">
        <v>1</v>
      </c>
      <c r="I887" s="2" t="n">
        <v>0</v>
      </c>
      <c r="J887" s="2" t="n">
        <v>52</v>
      </c>
      <c r="K887" s="2" t="n">
        <v>58</v>
      </c>
      <c r="L887" s="11" t="b">
        <f aca="false">TRUE()</f>
        <v>1</v>
      </c>
      <c r="M887" s="2" t="s">
        <v>406</v>
      </c>
      <c r="N887" s="2" t="n">
        <f aca="false">IF(E887&gt;0,F887/E887,"")</f>
        <v>0.1</v>
      </c>
      <c r="O887" s="2" t="n">
        <f aca="false">IF(AND(E887&gt;0,L887),J887/E887,"")</f>
        <v>5.2</v>
      </c>
    </row>
    <row r="888" customFormat="false" ht="15" hidden="false" customHeight="false" outlineLevel="0" collapsed="false">
      <c r="A888" s="2" t="n">
        <v>2023</v>
      </c>
      <c r="B888" s="2" t="s">
        <v>608</v>
      </c>
      <c r="C888" s="2" t="s">
        <v>405</v>
      </c>
      <c r="D888" s="2" t="s">
        <v>413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11" t="b">
        <f aca="false">TRUE()</f>
        <v>1</v>
      </c>
      <c r="M888" s="2" t="s">
        <v>410</v>
      </c>
      <c r="N888" s="2" t="str">
        <f aca="false">IF(E888&gt;0,F888/E888,"")</f>
        <v/>
      </c>
      <c r="O888" s="2" t="str">
        <f aca="false">IF(AND(E888&gt;0,L888),J888/E888,"")</f>
        <v/>
      </c>
    </row>
    <row r="889" customFormat="false" ht="15" hidden="false" customHeight="false" outlineLevel="0" collapsed="false">
      <c r="A889" s="2" t="n">
        <v>2023</v>
      </c>
      <c r="B889" s="2" t="s">
        <v>183</v>
      </c>
      <c r="C889" s="2" t="s">
        <v>412</v>
      </c>
      <c r="D889" s="2" t="s">
        <v>83</v>
      </c>
      <c r="E889" s="2" t="n">
        <v>7</v>
      </c>
      <c r="F889" s="2" t="n">
        <v>3</v>
      </c>
      <c r="G889" s="2" t="n">
        <v>2</v>
      </c>
      <c r="H889" s="2" t="n">
        <v>1</v>
      </c>
      <c r="I889" s="2" t="n">
        <v>2</v>
      </c>
      <c r="J889" s="2" t="n">
        <v>47</v>
      </c>
      <c r="K889" s="2" t="n">
        <v>52</v>
      </c>
      <c r="L889" s="11" t="b">
        <f aca="false">TRUE()</f>
        <v>1</v>
      </c>
      <c r="M889" s="2" t="s">
        <v>406</v>
      </c>
      <c r="N889" s="2" t="n">
        <f aca="false">IF(E889&gt;0,F889/E889,"")</f>
        <v>0.428571428571429</v>
      </c>
      <c r="O889" s="2" t="n">
        <f aca="false">IF(AND(E889&gt;0,L889),J889/E889,"")</f>
        <v>6.71428571428571</v>
      </c>
    </row>
    <row r="890" customFormat="false" ht="15" hidden="false" customHeight="false" outlineLevel="0" collapsed="false">
      <c r="A890" s="2" t="n">
        <v>2023</v>
      </c>
      <c r="B890" s="2" t="s">
        <v>428</v>
      </c>
      <c r="C890" s="2" t="s">
        <v>412</v>
      </c>
      <c r="D890" s="2" t="s">
        <v>409</v>
      </c>
      <c r="E890" s="2" t="n">
        <v>9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64</v>
      </c>
      <c r="K890" s="2" t="n">
        <v>69</v>
      </c>
      <c r="L890" s="11" t="b">
        <f aca="false">TRUE()</f>
        <v>1</v>
      </c>
      <c r="M890" s="2" t="s">
        <v>410</v>
      </c>
      <c r="N890" s="2" t="n">
        <f aca="false">IF(E890&gt;0,F890/E890,"")</f>
        <v>0</v>
      </c>
      <c r="O890" s="2" t="n">
        <f aca="false">IF(AND(E890&gt;0,L890),J890/E890,"")</f>
        <v>7.11111111111111</v>
      </c>
    </row>
    <row r="891" customFormat="false" ht="15" hidden="false" customHeight="false" outlineLevel="0" collapsed="false">
      <c r="A891" s="2" t="n">
        <v>2023</v>
      </c>
      <c r="B891" s="2" t="s">
        <v>321</v>
      </c>
      <c r="C891" s="2" t="s">
        <v>518</v>
      </c>
      <c r="D891" s="2" t="s">
        <v>29</v>
      </c>
      <c r="E891" s="2" t="n">
        <v>5</v>
      </c>
      <c r="F891" s="2" t="n">
        <v>4</v>
      </c>
      <c r="G891" s="2" t="n">
        <v>3</v>
      </c>
      <c r="H891" s="2" t="n">
        <v>2</v>
      </c>
      <c r="I891" s="2" t="n">
        <v>2</v>
      </c>
      <c r="J891" s="2" t="n">
        <v>30</v>
      </c>
      <c r="K891" s="2" t="n">
        <v>34</v>
      </c>
      <c r="L891" s="11" t="b">
        <f aca="false">TRUE()</f>
        <v>1</v>
      </c>
      <c r="M891" s="2" t="s">
        <v>406</v>
      </c>
      <c r="N891" s="2" t="n">
        <f aca="false">IF(E891&gt;0,F891/E891,"")</f>
        <v>0.8</v>
      </c>
      <c r="O891" s="2" t="n">
        <f aca="false">IF(AND(E891&gt;0,L891),J891/E891,"")</f>
        <v>6</v>
      </c>
    </row>
    <row r="892" customFormat="false" ht="15" hidden="false" customHeight="false" outlineLevel="0" collapsed="false">
      <c r="A892" s="2" t="n">
        <v>2023</v>
      </c>
      <c r="B892" s="2" t="s">
        <v>121</v>
      </c>
      <c r="C892" s="2" t="s">
        <v>408</v>
      </c>
      <c r="D892" s="2" t="s">
        <v>115</v>
      </c>
      <c r="E892" s="2" t="n">
        <v>9</v>
      </c>
      <c r="F892" s="2" t="n">
        <v>9</v>
      </c>
      <c r="G892" s="2" t="n">
        <v>4</v>
      </c>
      <c r="H892" s="2" t="n">
        <v>2</v>
      </c>
      <c r="I892" s="2" t="n">
        <v>1</v>
      </c>
      <c r="J892" s="2" t="n">
        <v>36</v>
      </c>
      <c r="K892" s="2" t="n">
        <v>52</v>
      </c>
      <c r="L892" s="11" t="b">
        <f aca="false">TRUE()</f>
        <v>1</v>
      </c>
      <c r="M892" s="2" t="s">
        <v>406</v>
      </c>
      <c r="N892" s="2" t="n">
        <f aca="false">IF(E892&gt;0,F892/E892,"")</f>
        <v>1</v>
      </c>
      <c r="O892" s="2" t="n">
        <f aca="false">IF(AND(E892&gt;0,L892),J892/E892,"")</f>
        <v>4</v>
      </c>
    </row>
    <row r="893" customFormat="false" ht="15" hidden="false" customHeight="false" outlineLevel="0" collapsed="false">
      <c r="A893" s="2" t="n">
        <v>2023</v>
      </c>
      <c r="B893" s="2" t="s">
        <v>95</v>
      </c>
      <c r="C893" s="2" t="s">
        <v>518</v>
      </c>
      <c r="D893" s="2" t="s">
        <v>29</v>
      </c>
      <c r="E893" s="2" t="n">
        <v>8</v>
      </c>
      <c r="F893" s="2" t="n">
        <v>24</v>
      </c>
      <c r="G893" s="2" t="n">
        <v>18</v>
      </c>
      <c r="H893" s="2" t="n">
        <v>7</v>
      </c>
      <c r="I893" s="2" t="n">
        <v>4</v>
      </c>
      <c r="J893" s="2" t="n">
        <v>124</v>
      </c>
      <c r="K893" s="2" t="n">
        <v>157</v>
      </c>
      <c r="L893" s="11" t="b">
        <f aca="false">TRUE()</f>
        <v>1</v>
      </c>
      <c r="M893" s="2" t="s">
        <v>406</v>
      </c>
      <c r="N893" s="2" t="n">
        <f aca="false">IF(E893&gt;0,F893/E893,"")</f>
        <v>3</v>
      </c>
      <c r="O893" s="2" t="n">
        <f aca="false">IF(AND(E893&gt;0,L893),J893/E893,"")</f>
        <v>15.5</v>
      </c>
    </row>
    <row r="894" customFormat="false" ht="15" hidden="false" customHeight="false" outlineLevel="0" collapsed="false">
      <c r="A894" s="2" t="n">
        <v>2023</v>
      </c>
      <c r="B894" s="2" t="s">
        <v>32</v>
      </c>
      <c r="C894" s="2" t="s">
        <v>412</v>
      </c>
      <c r="D894" s="2" t="s">
        <v>29</v>
      </c>
      <c r="E894" s="2" t="n">
        <v>10</v>
      </c>
      <c r="F894" s="2" t="n">
        <v>57</v>
      </c>
      <c r="G894" s="2" t="n">
        <v>34</v>
      </c>
      <c r="H894" s="2" t="n">
        <v>15</v>
      </c>
      <c r="I894" s="2" t="n">
        <v>5</v>
      </c>
      <c r="J894" s="2" t="n">
        <v>171</v>
      </c>
      <c r="K894" s="2" t="n">
        <v>247</v>
      </c>
      <c r="L894" s="11" t="b">
        <f aca="false">TRUE()</f>
        <v>1</v>
      </c>
      <c r="M894" s="2" t="s">
        <v>406</v>
      </c>
      <c r="N894" s="2" t="n">
        <f aca="false">IF(E894&gt;0,F894/E894,"")</f>
        <v>5.7</v>
      </c>
      <c r="O894" s="2" t="n">
        <f aca="false">IF(AND(E894&gt;0,L894),J894/E894,"")</f>
        <v>17.1</v>
      </c>
    </row>
    <row r="895" customFormat="false" ht="15" hidden="false" customHeight="false" outlineLevel="0" collapsed="false">
      <c r="A895" s="2" t="n">
        <v>2023</v>
      </c>
      <c r="B895" s="2" t="s">
        <v>184</v>
      </c>
      <c r="C895" s="2" t="s">
        <v>420</v>
      </c>
      <c r="D895" s="2" t="s">
        <v>115</v>
      </c>
      <c r="E895" s="2" t="n">
        <v>9</v>
      </c>
      <c r="F895" s="2" t="n">
        <v>10</v>
      </c>
      <c r="G895" s="2" t="n">
        <v>5</v>
      </c>
      <c r="H895" s="2" t="n">
        <v>3</v>
      </c>
      <c r="I895" s="2" t="n">
        <v>0</v>
      </c>
      <c r="J895" s="2" t="n">
        <v>24</v>
      </c>
      <c r="K895" s="2" t="n">
        <v>39</v>
      </c>
      <c r="L895" s="11" t="b">
        <f aca="false">TRUE()</f>
        <v>1</v>
      </c>
      <c r="M895" s="2" t="s">
        <v>406</v>
      </c>
      <c r="N895" s="2" t="n">
        <f aca="false">IF(E895&gt;0,F895/E895,"")</f>
        <v>1.11111111111111</v>
      </c>
      <c r="O895" s="2" t="n">
        <f aca="false">IF(AND(E895&gt;0,L895),J895/E895,"")</f>
        <v>2.66666666666667</v>
      </c>
    </row>
    <row r="896" customFormat="false" ht="15" hidden="false" customHeight="false" outlineLevel="0" collapsed="false">
      <c r="A896" s="2" t="n">
        <v>2023</v>
      </c>
      <c r="B896" s="2" t="s">
        <v>520</v>
      </c>
      <c r="C896" s="2" t="s">
        <v>405</v>
      </c>
      <c r="D896" s="2" t="s">
        <v>115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11" t="b">
        <f aca="false">TRUE()</f>
        <v>1</v>
      </c>
      <c r="M896" s="2" t="s">
        <v>410</v>
      </c>
      <c r="N896" s="2" t="str">
        <f aca="false">IF(E896&gt;0,F896/E896,"")</f>
        <v/>
      </c>
      <c r="O896" s="2" t="str">
        <f aca="false">IF(AND(E896&gt;0,L896),J896/E896,"")</f>
        <v/>
      </c>
    </row>
    <row r="897" customFormat="false" ht="15" hidden="false" customHeight="false" outlineLevel="0" collapsed="false">
      <c r="A897" s="2" t="n">
        <v>2023</v>
      </c>
      <c r="B897" s="2" t="s">
        <v>46</v>
      </c>
      <c r="C897" s="2" t="s">
        <v>518</v>
      </c>
      <c r="D897" s="2" t="s">
        <v>29</v>
      </c>
      <c r="E897" s="2" t="n">
        <v>10</v>
      </c>
      <c r="F897" s="2" t="n">
        <v>28</v>
      </c>
      <c r="G897" s="2" t="n">
        <v>16</v>
      </c>
      <c r="H897" s="2" t="n">
        <v>5</v>
      </c>
      <c r="I897" s="2" t="n">
        <v>9</v>
      </c>
      <c r="J897" s="2" t="n">
        <v>197</v>
      </c>
      <c r="K897" s="2" t="n">
        <v>235</v>
      </c>
      <c r="L897" s="11" t="b">
        <f aca="false">TRUE()</f>
        <v>1</v>
      </c>
      <c r="M897" s="2" t="s">
        <v>406</v>
      </c>
      <c r="N897" s="2" t="n">
        <f aca="false">IF(E897&gt;0,F897/E897,"")</f>
        <v>2.8</v>
      </c>
      <c r="O897" s="2" t="n">
        <f aca="false">IF(AND(E897&gt;0,L897),J897/E897,"")</f>
        <v>19.7</v>
      </c>
    </row>
    <row r="898" customFormat="false" ht="15" hidden="false" customHeight="false" outlineLevel="0" collapsed="false">
      <c r="A898" s="2" t="n">
        <v>2023</v>
      </c>
      <c r="B898" s="2" t="s">
        <v>205</v>
      </c>
      <c r="C898" s="2" t="s">
        <v>412</v>
      </c>
      <c r="D898" s="2" t="s">
        <v>29</v>
      </c>
      <c r="E898" s="2" t="n">
        <v>8</v>
      </c>
      <c r="F898" s="2" t="n">
        <v>16</v>
      </c>
      <c r="G898" s="2" t="n">
        <v>9</v>
      </c>
      <c r="H898" s="2" t="n">
        <v>5</v>
      </c>
      <c r="I898" s="2" t="n">
        <v>4</v>
      </c>
      <c r="J898" s="2" t="n">
        <v>65</v>
      </c>
      <c r="K898" s="2" t="n">
        <v>85</v>
      </c>
      <c r="L898" s="11" t="b">
        <f aca="false">TRUE()</f>
        <v>1</v>
      </c>
      <c r="M898" s="2" t="s">
        <v>406</v>
      </c>
      <c r="N898" s="2" t="n">
        <f aca="false">IF(E898&gt;0,F898/E898,"")</f>
        <v>2</v>
      </c>
      <c r="O898" s="2" t="n">
        <f aca="false">IF(AND(E898&gt;0,L898),J898/E898,"")</f>
        <v>8.125</v>
      </c>
    </row>
    <row r="899" customFormat="false" ht="15" hidden="false" customHeight="false" outlineLevel="0" collapsed="false">
      <c r="A899" s="2" t="n">
        <v>2023</v>
      </c>
      <c r="B899" s="2" t="s">
        <v>225</v>
      </c>
      <c r="C899" s="2" t="s">
        <v>405</v>
      </c>
      <c r="D899" s="2" t="s">
        <v>83</v>
      </c>
      <c r="E899" s="2" t="n">
        <v>10</v>
      </c>
      <c r="F899" s="2" t="n">
        <v>1</v>
      </c>
      <c r="G899" s="2" t="n">
        <v>1</v>
      </c>
      <c r="H899" s="2" t="n">
        <v>0</v>
      </c>
      <c r="I899" s="2" t="n">
        <v>0</v>
      </c>
      <c r="J899" s="2" t="n">
        <v>66</v>
      </c>
      <c r="K899" s="2" t="n">
        <v>71</v>
      </c>
      <c r="L899" s="11" t="b">
        <f aca="false">TRUE()</f>
        <v>1</v>
      </c>
      <c r="M899" s="2" t="s">
        <v>406</v>
      </c>
      <c r="N899" s="2" t="n">
        <f aca="false">IF(E899&gt;0,F899/E899,"")</f>
        <v>0.1</v>
      </c>
      <c r="O899" s="2" t="n">
        <f aca="false">IF(AND(E899&gt;0,L899),J899/E899,"")</f>
        <v>6.6</v>
      </c>
    </row>
    <row r="900" customFormat="false" ht="15" hidden="false" customHeight="false" outlineLevel="0" collapsed="false">
      <c r="A900" s="2" t="n">
        <v>2023</v>
      </c>
      <c r="B900" s="2" t="s">
        <v>522</v>
      </c>
      <c r="C900" s="2" t="s">
        <v>518</v>
      </c>
      <c r="D900" s="2" t="s">
        <v>409</v>
      </c>
      <c r="E900" s="2" t="n">
        <v>6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60</v>
      </c>
      <c r="K900" s="2" t="n">
        <v>60</v>
      </c>
      <c r="L900" s="11" t="b">
        <f aca="false">TRUE()</f>
        <v>1</v>
      </c>
      <c r="M900" s="2" t="s">
        <v>410</v>
      </c>
      <c r="N900" s="2" t="n">
        <f aca="false">IF(E900&gt;0,F900/E900,"")</f>
        <v>0</v>
      </c>
      <c r="O900" s="2" t="n">
        <f aca="false">IF(AND(E900&gt;0,L900),J900/E900,"")</f>
        <v>10</v>
      </c>
    </row>
    <row r="901" customFormat="false" ht="15" hidden="false" customHeight="false" outlineLevel="0" collapsed="false">
      <c r="A901" s="2" t="n">
        <v>2023</v>
      </c>
      <c r="B901" s="2" t="s">
        <v>273</v>
      </c>
      <c r="C901" s="2" t="s">
        <v>405</v>
      </c>
      <c r="D901" s="2" t="s">
        <v>29</v>
      </c>
      <c r="E901" s="2" t="n">
        <v>4</v>
      </c>
      <c r="F901" s="2" t="n">
        <v>13</v>
      </c>
      <c r="G901" s="2" t="n">
        <v>8</v>
      </c>
      <c r="H901" s="2" t="n">
        <v>1</v>
      </c>
      <c r="I901" s="2" t="n">
        <v>0</v>
      </c>
      <c r="J901" s="2" t="n">
        <v>36</v>
      </c>
      <c r="K901" s="2" t="n">
        <v>49</v>
      </c>
      <c r="L901" s="11" t="b">
        <f aca="false">TRUE()</f>
        <v>1</v>
      </c>
      <c r="M901" s="2" t="s">
        <v>406</v>
      </c>
      <c r="N901" s="2" t="n">
        <f aca="false">IF(E901&gt;0,F901/E901,"")</f>
        <v>3.25</v>
      </c>
      <c r="O901" s="2" t="n">
        <f aca="false">IF(AND(E901&gt;0,L901),J901/E901,"")</f>
        <v>9</v>
      </c>
    </row>
    <row r="902" customFormat="false" ht="15" hidden="false" customHeight="false" outlineLevel="0" collapsed="false">
      <c r="A902" s="2" t="n">
        <v>2023</v>
      </c>
      <c r="B902" s="2" t="s">
        <v>199</v>
      </c>
      <c r="C902" s="2" t="s">
        <v>408</v>
      </c>
      <c r="D902" s="2" t="s">
        <v>24</v>
      </c>
      <c r="E902" s="2" t="n">
        <v>2</v>
      </c>
      <c r="F902" s="2" t="n">
        <v>7</v>
      </c>
      <c r="G902" s="2" t="n">
        <v>5</v>
      </c>
      <c r="H902" s="2" t="n">
        <v>1</v>
      </c>
      <c r="I902" s="2" t="n">
        <v>0</v>
      </c>
      <c r="J902" s="2" t="n">
        <v>20</v>
      </c>
      <c r="K902" s="2" t="n">
        <v>28</v>
      </c>
      <c r="L902" s="11" t="b">
        <f aca="false">TRUE()</f>
        <v>1</v>
      </c>
      <c r="M902" s="2" t="s">
        <v>410</v>
      </c>
      <c r="N902" s="2" t="n">
        <f aca="false">IF(E902&gt;0,F902/E902,"")</f>
        <v>3.5</v>
      </c>
      <c r="O902" s="2" t="n">
        <f aca="false">IF(AND(E902&gt;0,L902),J902/E902,"")</f>
        <v>10</v>
      </c>
    </row>
    <row r="903" customFormat="false" ht="15" hidden="false" customHeight="false" outlineLevel="0" collapsed="false">
      <c r="A903" s="2" t="n">
        <v>2023</v>
      </c>
      <c r="B903" s="2" t="s">
        <v>275</v>
      </c>
      <c r="C903" s="2" t="s">
        <v>412</v>
      </c>
      <c r="D903" s="2" t="s">
        <v>83</v>
      </c>
      <c r="E903" s="2" t="n">
        <v>6</v>
      </c>
      <c r="F903" s="2" t="n">
        <v>3</v>
      </c>
      <c r="G903" s="2" t="n">
        <v>3</v>
      </c>
      <c r="H903" s="2" t="n">
        <v>0</v>
      </c>
      <c r="I903" s="2" t="n">
        <v>0</v>
      </c>
      <c r="J903" s="2" t="n">
        <v>25</v>
      </c>
      <c r="K903" s="2" t="n">
        <v>31</v>
      </c>
      <c r="L903" s="11" t="b">
        <f aca="false">TRUE()</f>
        <v>1</v>
      </c>
      <c r="M903" s="2" t="s">
        <v>406</v>
      </c>
      <c r="N903" s="2" t="n">
        <f aca="false">IF(E903&gt;0,F903/E903,"")</f>
        <v>0.5</v>
      </c>
      <c r="O903" s="2" t="n">
        <f aca="false">IF(AND(E903&gt;0,L903),J903/E903,"")</f>
        <v>4.16666666666667</v>
      </c>
    </row>
    <row r="904" customFormat="false" ht="15" hidden="false" customHeight="false" outlineLevel="0" collapsed="false">
      <c r="A904" s="2" t="n">
        <v>2023</v>
      </c>
      <c r="B904" s="2" t="s">
        <v>58</v>
      </c>
      <c r="C904" s="2" t="s">
        <v>405</v>
      </c>
      <c r="D904" s="2" t="s">
        <v>29</v>
      </c>
      <c r="E904" s="2" t="n">
        <v>10</v>
      </c>
      <c r="F904" s="2" t="n">
        <v>57</v>
      </c>
      <c r="G904" s="2" t="n">
        <v>32</v>
      </c>
      <c r="H904" s="2" t="n">
        <v>7</v>
      </c>
      <c r="I904" s="2" t="n">
        <v>2</v>
      </c>
      <c r="J904" s="2" t="n">
        <v>143</v>
      </c>
      <c r="K904" s="2" t="n">
        <v>209</v>
      </c>
      <c r="L904" s="11" t="b">
        <f aca="false">TRUE()</f>
        <v>1</v>
      </c>
      <c r="M904" s="2" t="s">
        <v>406</v>
      </c>
      <c r="N904" s="2" t="n">
        <f aca="false">IF(E904&gt;0,F904/E904,"")</f>
        <v>5.7</v>
      </c>
      <c r="O904" s="2" t="n">
        <f aca="false">IF(AND(E904&gt;0,L904),J904/E904,"")</f>
        <v>14.3</v>
      </c>
    </row>
    <row r="905" customFormat="false" ht="15" hidden="false" customHeight="false" outlineLevel="0" collapsed="false">
      <c r="A905" s="2" t="n">
        <v>2023</v>
      </c>
      <c r="B905" s="2" t="s">
        <v>523</v>
      </c>
      <c r="C905" s="2" t="s">
        <v>420</v>
      </c>
      <c r="D905" s="2" t="s">
        <v>24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11" t="b">
        <f aca="false">TRUE()</f>
        <v>1</v>
      </c>
      <c r="M905" s="2" t="s">
        <v>410</v>
      </c>
      <c r="N905" s="2" t="str">
        <f aca="false">IF(E905&gt;0,F905/E905,"")</f>
        <v/>
      </c>
      <c r="O905" s="2" t="str">
        <f aca="false">IF(AND(E905&gt;0,L905),J905/E905,"")</f>
        <v/>
      </c>
    </row>
    <row r="906" customFormat="false" ht="15" hidden="false" customHeight="false" outlineLevel="0" collapsed="false">
      <c r="A906" s="2" t="n">
        <v>2023</v>
      </c>
      <c r="B906" s="2" t="s">
        <v>47</v>
      </c>
      <c r="C906" s="2" t="s">
        <v>412</v>
      </c>
      <c r="D906" s="2" t="s">
        <v>29</v>
      </c>
      <c r="E906" s="2" t="n">
        <v>10</v>
      </c>
      <c r="F906" s="2" t="n">
        <v>38</v>
      </c>
      <c r="G906" s="2" t="n">
        <v>25</v>
      </c>
      <c r="H906" s="2" t="n">
        <v>14</v>
      </c>
      <c r="I906" s="2" t="n">
        <v>6</v>
      </c>
      <c r="J906" s="2" t="n">
        <v>138</v>
      </c>
      <c r="K906" s="2" t="n">
        <v>192</v>
      </c>
      <c r="L906" s="11" t="b">
        <f aca="false">TRUE()</f>
        <v>1</v>
      </c>
      <c r="M906" s="2" t="s">
        <v>406</v>
      </c>
      <c r="N906" s="2" t="n">
        <f aca="false">IF(E906&gt;0,F906/E906,"")</f>
        <v>3.8</v>
      </c>
      <c r="O906" s="2" t="n">
        <f aca="false">IF(AND(E906&gt;0,L906),J906/E906,"")</f>
        <v>13.8</v>
      </c>
    </row>
    <row r="907" customFormat="false" ht="15" hidden="false" customHeight="false" outlineLevel="0" collapsed="false">
      <c r="A907" s="2" t="n">
        <v>2023</v>
      </c>
      <c r="B907" s="2" t="s">
        <v>587</v>
      </c>
      <c r="C907" s="2" t="s">
        <v>408</v>
      </c>
      <c r="D907" s="2" t="s">
        <v>409</v>
      </c>
      <c r="E907" s="2" t="n">
        <v>10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127</v>
      </c>
      <c r="K907" s="2" t="n">
        <v>128</v>
      </c>
      <c r="L907" s="11" t="b">
        <f aca="false">TRUE()</f>
        <v>1</v>
      </c>
      <c r="M907" s="2" t="s">
        <v>410</v>
      </c>
      <c r="N907" s="2" t="n">
        <f aca="false">IF(E907&gt;0,F907/E907,"")</f>
        <v>0</v>
      </c>
      <c r="O907" s="2" t="n">
        <f aca="false">IF(AND(E907&gt;0,L907),J907/E907,"")</f>
        <v>12.7</v>
      </c>
    </row>
    <row r="908" customFormat="false" ht="15" hidden="false" customHeight="false" outlineLevel="0" collapsed="false">
      <c r="A908" s="2" t="n">
        <v>2023</v>
      </c>
      <c r="B908" s="2" t="s">
        <v>588</v>
      </c>
      <c r="C908" s="2" t="s">
        <v>405</v>
      </c>
      <c r="D908" s="2" t="s">
        <v>83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11" t="b">
        <f aca="false">TRUE()</f>
        <v>1</v>
      </c>
      <c r="M908" s="2" t="s">
        <v>410</v>
      </c>
      <c r="N908" s="2" t="str">
        <f aca="false">IF(E908&gt;0,F908/E908,"")</f>
        <v/>
      </c>
      <c r="O908" s="2" t="str">
        <f aca="false">IF(AND(E908&gt;0,L908),J908/E908,"")</f>
        <v/>
      </c>
    </row>
    <row r="909" customFormat="false" ht="15" hidden="false" customHeight="false" outlineLevel="0" collapsed="false">
      <c r="A909" s="2" t="n">
        <v>2023</v>
      </c>
      <c r="B909" s="2" t="s">
        <v>99</v>
      </c>
      <c r="C909" s="2" t="s">
        <v>545</v>
      </c>
      <c r="D909" s="2" t="s">
        <v>29</v>
      </c>
      <c r="E909" s="2" t="n">
        <v>10</v>
      </c>
      <c r="F909" s="2" t="n">
        <v>36</v>
      </c>
      <c r="G909" s="2" t="n">
        <v>29</v>
      </c>
      <c r="H909" s="2" t="n">
        <v>12</v>
      </c>
      <c r="I909" s="2" t="n">
        <v>11</v>
      </c>
      <c r="J909" s="2" t="n">
        <v>161</v>
      </c>
      <c r="K909" s="2" t="n">
        <v>203</v>
      </c>
      <c r="L909" s="11" t="b">
        <f aca="false">TRUE()</f>
        <v>1</v>
      </c>
      <c r="M909" s="2" t="s">
        <v>406</v>
      </c>
      <c r="N909" s="2" t="n">
        <f aca="false">IF(E909&gt;0,F909/E909,"")</f>
        <v>3.6</v>
      </c>
      <c r="O909" s="2" t="n">
        <f aca="false">IF(AND(E909&gt;0,L909),J909/E909,"")</f>
        <v>16.1</v>
      </c>
    </row>
    <row r="910" customFormat="false" ht="15" hidden="false" customHeight="false" outlineLevel="0" collapsed="false">
      <c r="A910" s="2" t="n">
        <v>2023</v>
      </c>
      <c r="B910" s="2" t="s">
        <v>106</v>
      </c>
      <c r="C910" s="2" t="s">
        <v>414</v>
      </c>
      <c r="D910" s="2" t="s">
        <v>29</v>
      </c>
      <c r="E910" s="2" t="n">
        <v>10</v>
      </c>
      <c r="F910" s="2" t="n">
        <v>62</v>
      </c>
      <c r="G910" s="2" t="n">
        <v>40</v>
      </c>
      <c r="H910" s="2" t="n">
        <v>19</v>
      </c>
      <c r="I910" s="2" t="n">
        <v>2</v>
      </c>
      <c r="J910" s="2" t="n">
        <v>165</v>
      </c>
      <c r="K910" s="2" t="n">
        <v>234</v>
      </c>
      <c r="L910" s="11" t="b">
        <f aca="false">TRUE()</f>
        <v>1</v>
      </c>
      <c r="M910" s="2" t="s">
        <v>406</v>
      </c>
      <c r="N910" s="2" t="n">
        <f aca="false">IF(E910&gt;0,F910/E910,"")</f>
        <v>6.2</v>
      </c>
      <c r="O910" s="2" t="n">
        <f aca="false">IF(AND(E910&gt;0,L910),J910/E910,"")</f>
        <v>16.5</v>
      </c>
    </row>
    <row r="911" customFormat="false" ht="15" hidden="false" customHeight="false" outlineLevel="0" collapsed="false">
      <c r="A911" s="2" t="n">
        <v>2023</v>
      </c>
      <c r="B911" s="2" t="s">
        <v>43</v>
      </c>
      <c r="C911" s="2" t="s">
        <v>545</v>
      </c>
      <c r="D911" s="2" t="s">
        <v>29</v>
      </c>
      <c r="E911" s="2" t="n">
        <v>10</v>
      </c>
      <c r="F911" s="2" t="n">
        <v>43</v>
      </c>
      <c r="G911" s="2" t="n">
        <v>27</v>
      </c>
      <c r="H911" s="2" t="n">
        <v>16</v>
      </c>
      <c r="I911" s="2" t="n">
        <v>7</v>
      </c>
      <c r="J911" s="2" t="n">
        <v>219</v>
      </c>
      <c r="K911" s="2" t="n">
        <v>267</v>
      </c>
      <c r="L911" s="11" t="b">
        <f aca="false">TRUE()</f>
        <v>1</v>
      </c>
      <c r="M911" s="2" t="s">
        <v>406</v>
      </c>
      <c r="N911" s="2" t="n">
        <f aca="false">IF(E911&gt;0,F911/E911,"")</f>
        <v>4.3</v>
      </c>
      <c r="O911" s="2" t="n">
        <f aca="false">IF(AND(E911&gt;0,L911),J911/E911,"")</f>
        <v>21.9</v>
      </c>
    </row>
    <row r="912" customFormat="false" ht="15" hidden="false" customHeight="false" outlineLevel="0" collapsed="false">
      <c r="A912" s="2" t="n">
        <v>2023</v>
      </c>
      <c r="B912" s="2" t="s">
        <v>142</v>
      </c>
      <c r="C912" s="2" t="s">
        <v>414</v>
      </c>
      <c r="D912" s="2" t="s">
        <v>117</v>
      </c>
      <c r="E912" s="2" t="n">
        <v>8</v>
      </c>
      <c r="F912" s="2" t="n">
        <v>1</v>
      </c>
      <c r="G912" s="2" t="n">
        <v>0</v>
      </c>
      <c r="H912" s="2" t="n">
        <v>0</v>
      </c>
      <c r="I912" s="2" t="n">
        <v>1</v>
      </c>
      <c r="J912" s="2" t="n">
        <v>67</v>
      </c>
      <c r="K912" s="2" t="n">
        <v>70</v>
      </c>
      <c r="L912" s="11" t="b">
        <f aca="false">TRUE()</f>
        <v>1</v>
      </c>
      <c r="M912" s="2" t="s">
        <v>406</v>
      </c>
      <c r="N912" s="2" t="n">
        <f aca="false">IF(E912&gt;0,F912/E912,"")</f>
        <v>0.125</v>
      </c>
      <c r="O912" s="2" t="n">
        <f aca="false">IF(AND(E912&gt;0,L912),J912/E912,"")</f>
        <v>8.375</v>
      </c>
    </row>
    <row r="913" customFormat="false" ht="15" hidden="false" customHeight="false" outlineLevel="0" collapsed="false">
      <c r="A913" s="2" t="n">
        <v>2023</v>
      </c>
      <c r="B913" s="2" t="s">
        <v>304</v>
      </c>
      <c r="C913" s="2" t="s">
        <v>412</v>
      </c>
      <c r="D913" s="2" t="s">
        <v>117</v>
      </c>
      <c r="E913" s="2" t="n">
        <v>10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26</v>
      </c>
      <c r="K913" s="2" t="n">
        <v>27</v>
      </c>
      <c r="L913" s="11" t="b">
        <f aca="false">TRUE()</f>
        <v>1</v>
      </c>
      <c r="M913" s="2" t="s">
        <v>406</v>
      </c>
      <c r="N913" s="2" t="n">
        <f aca="false">IF(E913&gt;0,F913/E913,"")</f>
        <v>0</v>
      </c>
      <c r="O913" s="2" t="n">
        <f aca="false">IF(AND(E913&gt;0,L913),J913/E913,"")</f>
        <v>2.6</v>
      </c>
    </row>
    <row r="914" customFormat="false" ht="15" hidden="false" customHeight="false" outlineLevel="0" collapsed="false">
      <c r="A914" s="2" t="n">
        <v>2023</v>
      </c>
      <c r="B914" s="2" t="s">
        <v>387</v>
      </c>
      <c r="C914" s="2" t="s">
        <v>408</v>
      </c>
      <c r="D914" s="2" t="s">
        <v>115</v>
      </c>
      <c r="E914" s="2" t="n">
        <v>2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4</v>
      </c>
      <c r="K914" s="2" t="n">
        <v>2</v>
      </c>
      <c r="L914" s="11" t="b">
        <f aca="false">TRUE()</f>
        <v>1</v>
      </c>
      <c r="M914" s="2" t="s">
        <v>410</v>
      </c>
      <c r="N914" s="2" t="n">
        <f aca="false">IF(E914&gt;0,F914/E914,"")</f>
        <v>0</v>
      </c>
      <c r="O914" s="2" t="n">
        <f aca="false">IF(AND(E914&gt;0,L914),J914/E914,"")</f>
        <v>2</v>
      </c>
    </row>
    <row r="915" customFormat="false" ht="15" hidden="false" customHeight="false" outlineLevel="0" collapsed="false">
      <c r="A915" s="2" t="n">
        <v>2023</v>
      </c>
      <c r="B915" s="2" t="s">
        <v>178</v>
      </c>
      <c r="C915" s="2" t="s">
        <v>414</v>
      </c>
      <c r="D915" s="2" t="s">
        <v>115</v>
      </c>
      <c r="E915" s="2" t="n">
        <v>8</v>
      </c>
      <c r="F915" s="2" t="n">
        <v>22</v>
      </c>
      <c r="G915" s="2" t="n">
        <v>8</v>
      </c>
      <c r="H915" s="2" t="n">
        <v>5</v>
      </c>
      <c r="I915" s="2" t="n">
        <v>2</v>
      </c>
      <c r="J915" s="2" t="n">
        <v>41</v>
      </c>
      <c r="K915" s="2" t="n">
        <v>67</v>
      </c>
      <c r="L915" s="11" t="b">
        <f aca="false">TRUE()</f>
        <v>1</v>
      </c>
      <c r="M915" s="2" t="s">
        <v>406</v>
      </c>
      <c r="N915" s="2" t="n">
        <f aca="false">IF(E915&gt;0,F915/E915,"")</f>
        <v>2.75</v>
      </c>
      <c r="O915" s="2" t="n">
        <f aca="false">IF(AND(E915&gt;0,L915),J915/E915,"")</f>
        <v>5.125</v>
      </c>
    </row>
    <row r="916" customFormat="false" ht="15" hidden="false" customHeight="false" outlineLevel="0" collapsed="false">
      <c r="A916" s="2" t="n">
        <v>2023</v>
      </c>
      <c r="B916" s="2" t="s">
        <v>155</v>
      </c>
      <c r="C916" s="2" t="s">
        <v>405</v>
      </c>
      <c r="D916" s="2" t="s">
        <v>117</v>
      </c>
      <c r="E916" s="2" t="n">
        <v>10</v>
      </c>
      <c r="F916" s="2" t="n">
        <v>0</v>
      </c>
      <c r="G916" s="2" t="n">
        <v>0</v>
      </c>
      <c r="H916" s="2" t="n">
        <v>0</v>
      </c>
      <c r="I916" s="2" t="n">
        <v>1</v>
      </c>
      <c r="J916" s="2" t="n">
        <v>75</v>
      </c>
      <c r="K916" s="2" t="n">
        <v>81</v>
      </c>
      <c r="L916" s="11" t="b">
        <f aca="false">TRUE()</f>
        <v>1</v>
      </c>
      <c r="M916" s="2" t="s">
        <v>406</v>
      </c>
      <c r="N916" s="2" t="n">
        <f aca="false">IF(E916&gt;0,F916/E916,"")</f>
        <v>0</v>
      </c>
      <c r="O916" s="2" t="n">
        <f aca="false">IF(AND(E916&gt;0,L916),J916/E916,"")</f>
        <v>7.5</v>
      </c>
    </row>
    <row r="917" customFormat="false" ht="15" hidden="false" customHeight="false" outlineLevel="0" collapsed="false">
      <c r="A917" s="2" t="n">
        <v>2023</v>
      </c>
      <c r="B917" s="2" t="s">
        <v>158</v>
      </c>
      <c r="C917" s="2" t="s">
        <v>545</v>
      </c>
      <c r="D917" s="2" t="s">
        <v>83</v>
      </c>
      <c r="E917" s="2" t="n">
        <v>10</v>
      </c>
      <c r="F917" s="2" t="n">
        <v>4</v>
      </c>
      <c r="G917" s="2" t="n">
        <v>3</v>
      </c>
      <c r="H917" s="2" t="n">
        <v>0</v>
      </c>
      <c r="I917" s="2" t="n">
        <v>5</v>
      </c>
      <c r="J917" s="2" t="n">
        <v>73</v>
      </c>
      <c r="K917" s="2" t="n">
        <v>78</v>
      </c>
      <c r="L917" s="11" t="b">
        <f aca="false">TRUE()</f>
        <v>1</v>
      </c>
      <c r="M917" s="2" t="s">
        <v>406</v>
      </c>
      <c r="N917" s="2" t="n">
        <f aca="false">IF(E917&gt;0,F917/E917,"")</f>
        <v>0.4</v>
      </c>
      <c r="O917" s="2" t="n">
        <f aca="false">IF(AND(E917&gt;0,L917),J917/E917,"")</f>
        <v>7.3</v>
      </c>
    </row>
    <row r="918" customFormat="false" ht="15" hidden="false" customHeight="false" outlineLevel="0" collapsed="false">
      <c r="A918" s="2" t="n">
        <v>2023</v>
      </c>
      <c r="B918" s="2" t="s">
        <v>191</v>
      </c>
      <c r="C918" s="2" t="s">
        <v>518</v>
      </c>
      <c r="D918" s="2" t="s">
        <v>117</v>
      </c>
      <c r="E918" s="2" t="n">
        <v>1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1</v>
      </c>
      <c r="K918" s="2" t="n">
        <v>1</v>
      </c>
      <c r="L918" s="11" t="b">
        <f aca="false">TRUE()</f>
        <v>1</v>
      </c>
      <c r="M918" s="2" t="s">
        <v>410</v>
      </c>
      <c r="N918" s="2" t="n">
        <f aca="false">IF(E918&gt;0,F918/E918,"")</f>
        <v>0</v>
      </c>
      <c r="O918" s="2" t="n">
        <f aca="false">IF(AND(E918&gt;0,L918),J918/E918,"")</f>
        <v>1</v>
      </c>
    </row>
    <row r="919" customFormat="false" ht="15" hidden="false" customHeight="false" outlineLevel="0" collapsed="false">
      <c r="A919" s="2" t="n">
        <v>2023</v>
      </c>
      <c r="B919" s="2" t="s">
        <v>437</v>
      </c>
      <c r="C919" s="2" t="s">
        <v>418</v>
      </c>
      <c r="D919" s="2" t="s">
        <v>413</v>
      </c>
      <c r="E919" s="2" t="n">
        <v>8</v>
      </c>
      <c r="F919" s="2" t="n">
        <v>2</v>
      </c>
      <c r="G919" s="2" t="n">
        <v>2</v>
      </c>
      <c r="H919" s="2" t="n">
        <v>0</v>
      </c>
      <c r="I919" s="2" t="n">
        <v>0</v>
      </c>
      <c r="J919" s="2" t="n">
        <v>49</v>
      </c>
      <c r="K919" s="2" t="n">
        <v>67</v>
      </c>
      <c r="L919" s="11" t="b">
        <f aca="false">TRUE()</f>
        <v>1</v>
      </c>
      <c r="M919" s="2" t="s">
        <v>410</v>
      </c>
      <c r="N919" s="2" t="n">
        <f aca="false">IF(E919&gt;0,F919/E919,"")</f>
        <v>0.25</v>
      </c>
      <c r="O919" s="2" t="n">
        <f aca="false">IF(AND(E919&gt;0,L919),J919/E919,"")</f>
        <v>6.125</v>
      </c>
    </row>
    <row r="920" customFormat="false" ht="15" hidden="false" customHeight="false" outlineLevel="0" collapsed="false">
      <c r="A920" s="2" t="n">
        <v>2023</v>
      </c>
      <c r="B920" s="2" t="s">
        <v>85</v>
      </c>
      <c r="C920" s="2" t="s">
        <v>418</v>
      </c>
      <c r="D920" s="2" t="s">
        <v>24</v>
      </c>
      <c r="E920" s="2" t="n">
        <v>8</v>
      </c>
      <c r="F920" s="2" t="n">
        <v>54</v>
      </c>
      <c r="G920" s="2" t="n">
        <v>35</v>
      </c>
      <c r="H920" s="2" t="n">
        <v>12</v>
      </c>
      <c r="I920" s="2" t="n">
        <v>2</v>
      </c>
      <c r="J920" s="2" t="n">
        <v>216</v>
      </c>
      <c r="K920" s="2" t="n">
        <v>281</v>
      </c>
      <c r="L920" s="11" t="b">
        <f aca="false">TRUE()</f>
        <v>1</v>
      </c>
      <c r="M920" s="2" t="s">
        <v>406</v>
      </c>
      <c r="N920" s="2" t="n">
        <f aca="false">IF(E920&gt;0,F920/E920,"")</f>
        <v>6.75</v>
      </c>
      <c r="O920" s="2" t="n">
        <f aca="false">IF(AND(E920&gt;0,L920),J920/E920,"")</f>
        <v>27</v>
      </c>
    </row>
    <row r="921" customFormat="false" ht="15" hidden="false" customHeight="false" outlineLevel="0" collapsed="false">
      <c r="A921" s="2" t="n">
        <v>2023</v>
      </c>
      <c r="B921" s="2" t="s">
        <v>28</v>
      </c>
      <c r="C921" s="2" t="s">
        <v>408</v>
      </c>
      <c r="D921" s="2" t="s">
        <v>24</v>
      </c>
      <c r="E921" s="2" t="n">
        <v>10</v>
      </c>
      <c r="F921" s="2" t="n">
        <v>94</v>
      </c>
      <c r="G921" s="2" t="n">
        <v>59</v>
      </c>
      <c r="H921" s="2" t="n">
        <v>28</v>
      </c>
      <c r="I921" s="2" t="n">
        <v>11</v>
      </c>
      <c r="J921" s="2" t="n">
        <v>259</v>
      </c>
      <c r="K921" s="2" t="n">
        <v>370</v>
      </c>
      <c r="L921" s="11" t="b">
        <f aca="false">TRUE()</f>
        <v>1</v>
      </c>
      <c r="M921" s="2" t="s">
        <v>406</v>
      </c>
      <c r="N921" s="2" t="n">
        <f aca="false">IF(E921&gt;0,F921/E921,"")</f>
        <v>9.4</v>
      </c>
      <c r="O921" s="2" t="n">
        <f aca="false">IF(AND(E921&gt;0,L921),J921/E921,"")</f>
        <v>25.9</v>
      </c>
    </row>
    <row r="922" customFormat="false" ht="15" hidden="false" customHeight="false" outlineLevel="0" collapsed="false">
      <c r="A922" s="2" t="n">
        <v>2023</v>
      </c>
      <c r="B922" s="2" t="s">
        <v>133</v>
      </c>
      <c r="C922" s="2" t="s">
        <v>420</v>
      </c>
      <c r="D922" s="2" t="s">
        <v>24</v>
      </c>
      <c r="E922" s="2" t="n">
        <v>3</v>
      </c>
      <c r="F922" s="2" t="n">
        <v>17</v>
      </c>
      <c r="G922" s="2" t="n">
        <v>11</v>
      </c>
      <c r="H922" s="2" t="n">
        <v>4</v>
      </c>
      <c r="I922" s="2" t="n">
        <v>0</v>
      </c>
      <c r="J922" s="2" t="n">
        <v>38</v>
      </c>
      <c r="K922" s="2" t="n">
        <v>59</v>
      </c>
      <c r="L922" s="11" t="b">
        <f aca="false">TRUE()</f>
        <v>1</v>
      </c>
      <c r="M922" s="2" t="s">
        <v>406</v>
      </c>
      <c r="N922" s="2" t="n">
        <f aca="false">IF(E922&gt;0,F922/E922,"")</f>
        <v>5.66666666666667</v>
      </c>
      <c r="O922" s="2" t="n">
        <f aca="false">IF(AND(E922&gt;0,L922),J922/E922,"")</f>
        <v>12.6666666666667</v>
      </c>
    </row>
    <row r="923" customFormat="false" ht="15" hidden="false" customHeight="false" outlineLevel="0" collapsed="false">
      <c r="A923" s="2" t="n">
        <v>2023</v>
      </c>
      <c r="B923" s="2" t="s">
        <v>554</v>
      </c>
      <c r="C923" s="2" t="s">
        <v>418</v>
      </c>
      <c r="D923" s="2" t="s">
        <v>413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11" t="b">
        <f aca="false">TRUE()</f>
        <v>1</v>
      </c>
      <c r="M923" s="2" t="s">
        <v>410</v>
      </c>
      <c r="N923" s="2" t="str">
        <f aca="false">IF(E923&gt;0,F923/E923,"")</f>
        <v/>
      </c>
      <c r="O923" s="2" t="str">
        <f aca="false">IF(AND(E923&gt;0,L923),J923/E923,"")</f>
        <v/>
      </c>
    </row>
    <row r="924" customFormat="false" ht="15" hidden="false" customHeight="false" outlineLevel="0" collapsed="false">
      <c r="A924" s="2" t="n">
        <v>2023</v>
      </c>
      <c r="B924" s="2" t="s">
        <v>30</v>
      </c>
      <c r="C924" s="2" t="s">
        <v>405</v>
      </c>
      <c r="D924" s="2" t="s">
        <v>24</v>
      </c>
      <c r="E924" s="2" t="n">
        <v>10</v>
      </c>
      <c r="F924" s="2" t="n">
        <v>66</v>
      </c>
      <c r="G924" s="2" t="n">
        <v>41</v>
      </c>
      <c r="H924" s="2" t="n">
        <v>25</v>
      </c>
      <c r="I924" s="2" t="n">
        <v>11</v>
      </c>
      <c r="J924" s="2" t="n">
        <v>284</v>
      </c>
      <c r="K924" s="2" t="n">
        <v>365</v>
      </c>
      <c r="L924" s="11" t="b">
        <f aca="false">TRUE()</f>
        <v>1</v>
      </c>
      <c r="M924" s="2" t="s">
        <v>406</v>
      </c>
      <c r="N924" s="2" t="n">
        <f aca="false">IF(E924&gt;0,F924/E924,"")</f>
        <v>6.6</v>
      </c>
      <c r="O924" s="2" t="n">
        <f aca="false">IF(AND(E924&gt;0,L924),J924/E924,"")</f>
        <v>28.4</v>
      </c>
    </row>
    <row r="925" customFormat="false" ht="15" hidden="false" customHeight="false" outlineLevel="0" collapsed="false">
      <c r="A925" s="2" t="n">
        <v>2023</v>
      </c>
      <c r="B925" s="2" t="s">
        <v>609</v>
      </c>
      <c r="C925" s="2" t="s">
        <v>414</v>
      </c>
      <c r="D925" s="2" t="s">
        <v>117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11" t="b">
        <f aca="false">TRUE()</f>
        <v>1</v>
      </c>
      <c r="M925" s="2" t="s">
        <v>410</v>
      </c>
      <c r="N925" s="2" t="str">
        <f aca="false">IF(E925&gt;0,F925/E925,"")</f>
        <v/>
      </c>
      <c r="O925" s="2" t="str">
        <f aca="false">IF(AND(E925&gt;0,L925),J925/E925,"")</f>
        <v/>
      </c>
    </row>
    <row r="926" customFormat="false" ht="15" hidden="false" customHeight="false" outlineLevel="0" collapsed="false">
      <c r="A926" s="2" t="n">
        <v>2023</v>
      </c>
      <c r="B926" s="2" t="s">
        <v>110</v>
      </c>
      <c r="C926" s="2" t="s">
        <v>420</v>
      </c>
      <c r="D926" s="2" t="s">
        <v>83</v>
      </c>
      <c r="E926" s="2" t="n">
        <v>10</v>
      </c>
      <c r="F926" s="2" t="n">
        <v>9</v>
      </c>
      <c r="G926" s="2" t="n">
        <v>6</v>
      </c>
      <c r="H926" s="2" t="n">
        <v>3</v>
      </c>
      <c r="I926" s="2" t="n">
        <v>3</v>
      </c>
      <c r="J926" s="2" t="n">
        <v>63</v>
      </c>
      <c r="K926" s="2" t="n">
        <v>75</v>
      </c>
      <c r="L926" s="11" t="b">
        <f aca="false">TRUE()</f>
        <v>1</v>
      </c>
      <c r="M926" s="2" t="s">
        <v>406</v>
      </c>
      <c r="N926" s="2" t="n">
        <f aca="false">IF(E926&gt;0,F926/E926,"")</f>
        <v>0.9</v>
      </c>
      <c r="O926" s="2" t="n">
        <f aca="false">IF(AND(E926&gt;0,L926),J926/E926,"")</f>
        <v>6.3</v>
      </c>
    </row>
    <row r="927" customFormat="false" ht="15" hidden="false" customHeight="false" outlineLevel="0" collapsed="false">
      <c r="A927" s="2" t="n">
        <v>2023</v>
      </c>
      <c r="B927" s="2" t="s">
        <v>366</v>
      </c>
      <c r="C927" s="2" t="s">
        <v>412</v>
      </c>
      <c r="D927" s="2" t="s">
        <v>115</v>
      </c>
      <c r="E927" s="2" t="n">
        <v>3</v>
      </c>
      <c r="F927" s="2" t="n">
        <v>1</v>
      </c>
      <c r="G927" s="2" t="n">
        <v>1</v>
      </c>
      <c r="H927" s="2" t="n">
        <v>0</v>
      </c>
      <c r="I927" s="2" t="n">
        <v>0</v>
      </c>
      <c r="J927" s="2" t="n">
        <v>10</v>
      </c>
      <c r="K927" s="2" t="n">
        <v>13</v>
      </c>
      <c r="L927" s="11" t="b">
        <f aca="false">TRUE()</f>
        <v>1</v>
      </c>
      <c r="M927" s="2" t="s">
        <v>406</v>
      </c>
      <c r="N927" s="2" t="n">
        <f aca="false">IF(E927&gt;0,F927/E927,"")</f>
        <v>0.333333333333333</v>
      </c>
      <c r="O927" s="2" t="n">
        <f aca="false">IF(AND(E927&gt;0,L927),J927/E927,"")</f>
        <v>3.33333333333333</v>
      </c>
    </row>
    <row r="928" customFormat="false" ht="15" hidden="false" customHeight="false" outlineLevel="0" collapsed="false">
      <c r="A928" s="2" t="n">
        <v>2023</v>
      </c>
      <c r="B928" s="2" t="s">
        <v>300</v>
      </c>
      <c r="C928" s="2" t="s">
        <v>418</v>
      </c>
      <c r="D928" s="2" t="s">
        <v>24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11" t="b">
        <f aca="false">TRUE()</f>
        <v>1</v>
      </c>
      <c r="M928" s="2" t="s">
        <v>410</v>
      </c>
      <c r="N928" s="2" t="str">
        <f aca="false">IF(E928&gt;0,F928/E928,"")</f>
        <v/>
      </c>
      <c r="O928" s="2" t="str">
        <f aca="false">IF(AND(E928&gt;0,L928),J928/E928,"")</f>
        <v/>
      </c>
    </row>
    <row r="929" customFormat="false" ht="15" hidden="false" customHeight="false" outlineLevel="0" collapsed="false">
      <c r="A929" s="2" t="n">
        <v>2023</v>
      </c>
      <c r="B929" s="2" t="s">
        <v>442</v>
      </c>
      <c r="C929" s="2" t="s">
        <v>545</v>
      </c>
      <c r="D929" s="2" t="s">
        <v>409</v>
      </c>
      <c r="E929" s="2" t="n">
        <v>3</v>
      </c>
      <c r="F929" s="2" t="n">
        <v>1</v>
      </c>
      <c r="G929" s="2" t="n">
        <v>0</v>
      </c>
      <c r="H929" s="2" t="n">
        <v>0</v>
      </c>
      <c r="I929" s="2" t="n">
        <v>0</v>
      </c>
      <c r="J929" s="2" t="n">
        <v>29</v>
      </c>
      <c r="K929" s="2" t="n">
        <v>30</v>
      </c>
      <c r="L929" s="11" t="b">
        <f aca="false">TRUE()</f>
        <v>1</v>
      </c>
      <c r="M929" s="2" t="s">
        <v>410</v>
      </c>
      <c r="N929" s="2" t="n">
        <f aca="false">IF(E929&gt;0,F929/E929,"")</f>
        <v>0.333333333333333</v>
      </c>
      <c r="O929" s="2" t="n">
        <f aca="false">IF(AND(E929&gt;0,L929),J929/E929,"")</f>
        <v>9.66666666666667</v>
      </c>
    </row>
    <row r="930" customFormat="false" ht="15" hidden="false" customHeight="false" outlineLevel="0" collapsed="false">
      <c r="A930" s="2" t="n">
        <v>2023</v>
      </c>
      <c r="B930" s="2" t="s">
        <v>144</v>
      </c>
      <c r="C930" s="2" t="s">
        <v>418</v>
      </c>
      <c r="D930" s="2" t="s">
        <v>117</v>
      </c>
      <c r="E930" s="2" t="n">
        <v>9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89</v>
      </c>
      <c r="K930" s="2" t="n">
        <v>90</v>
      </c>
      <c r="L930" s="11" t="b">
        <f aca="false">TRUE()</f>
        <v>1</v>
      </c>
      <c r="M930" s="2" t="s">
        <v>406</v>
      </c>
      <c r="N930" s="2" t="n">
        <f aca="false">IF(E930&gt;0,F930/E930,"")</f>
        <v>0</v>
      </c>
      <c r="O930" s="2" t="n">
        <f aca="false">IF(AND(E930&gt;0,L930),J930/E930,"")</f>
        <v>9.88888888888889</v>
      </c>
    </row>
    <row r="931" customFormat="false" ht="15" hidden="false" customHeight="false" outlineLevel="0" collapsed="false">
      <c r="A931" s="2" t="n">
        <v>2023</v>
      </c>
      <c r="B931" s="2" t="s">
        <v>217</v>
      </c>
      <c r="C931" s="2" t="s">
        <v>405</v>
      </c>
      <c r="D931" s="2" t="s">
        <v>117</v>
      </c>
      <c r="E931" s="2" t="n">
        <v>10</v>
      </c>
      <c r="F931" s="2" t="n">
        <v>6</v>
      </c>
      <c r="G931" s="2" t="n">
        <v>3</v>
      </c>
      <c r="H931" s="2" t="n">
        <v>1</v>
      </c>
      <c r="I931" s="2" t="n">
        <v>0</v>
      </c>
      <c r="J931" s="2" t="n">
        <v>76</v>
      </c>
      <c r="K931" s="2" t="n">
        <v>86</v>
      </c>
      <c r="L931" s="11" t="b">
        <f aca="false">TRUE()</f>
        <v>1</v>
      </c>
      <c r="M931" s="2" t="s">
        <v>406</v>
      </c>
      <c r="N931" s="2" t="n">
        <f aca="false">IF(E931&gt;0,F931/E931,"")</f>
        <v>0.6</v>
      </c>
      <c r="O931" s="2" t="n">
        <f aca="false">IF(AND(E931&gt;0,L931),J931/E931,"")</f>
        <v>7.6</v>
      </c>
    </row>
    <row r="932" customFormat="false" ht="15" hidden="false" customHeight="false" outlineLevel="0" collapsed="false">
      <c r="A932" s="2" t="n">
        <v>2023</v>
      </c>
      <c r="B932" s="2" t="s">
        <v>215</v>
      </c>
      <c r="C932" s="2" t="s">
        <v>420</v>
      </c>
      <c r="D932" s="2" t="s">
        <v>83</v>
      </c>
      <c r="E932" s="2" t="n">
        <v>10</v>
      </c>
      <c r="F932" s="2" t="n">
        <v>1</v>
      </c>
      <c r="G932" s="2" t="n">
        <v>1</v>
      </c>
      <c r="H932" s="2" t="n">
        <v>0</v>
      </c>
      <c r="I932" s="2" t="n">
        <v>1</v>
      </c>
      <c r="J932" s="2" t="n">
        <v>41</v>
      </c>
      <c r="K932" s="2" t="n">
        <v>43</v>
      </c>
      <c r="L932" s="11" t="b">
        <f aca="false">TRUE()</f>
        <v>1</v>
      </c>
      <c r="M932" s="2" t="s">
        <v>406</v>
      </c>
      <c r="N932" s="2" t="n">
        <f aca="false">IF(E932&gt;0,F932/E932,"")</f>
        <v>0.1</v>
      </c>
      <c r="O932" s="2" t="n">
        <f aca="false">IF(AND(E932&gt;0,L932),J932/E932,"")</f>
        <v>4.1</v>
      </c>
    </row>
    <row r="933" customFormat="false" ht="15" hidden="false" customHeight="false" outlineLevel="0" collapsed="false">
      <c r="A933" s="2" t="n">
        <v>2023</v>
      </c>
      <c r="B933" s="2" t="s">
        <v>190</v>
      </c>
      <c r="C933" s="2" t="s">
        <v>518</v>
      </c>
      <c r="D933" s="2" t="s">
        <v>117</v>
      </c>
      <c r="E933" s="2" t="n">
        <v>10</v>
      </c>
      <c r="F933" s="2" t="n">
        <v>2</v>
      </c>
      <c r="G933" s="2" t="n">
        <v>2</v>
      </c>
      <c r="H933" s="2" t="n">
        <v>2</v>
      </c>
      <c r="I933" s="2" t="n">
        <v>0</v>
      </c>
      <c r="J933" s="2" t="n">
        <v>26</v>
      </c>
      <c r="K933" s="2" t="n">
        <v>31</v>
      </c>
      <c r="L933" s="11" t="b">
        <f aca="false">TRUE()</f>
        <v>1</v>
      </c>
      <c r="M933" s="2" t="s">
        <v>406</v>
      </c>
      <c r="N933" s="2" t="n">
        <f aca="false">IF(E933&gt;0,F933/E933,"")</f>
        <v>0.2</v>
      </c>
      <c r="O933" s="2" t="n">
        <f aca="false">IF(AND(E933&gt;0,L933),J933/E933,"")</f>
        <v>2.6</v>
      </c>
    </row>
    <row r="934" customFormat="false" ht="15" hidden="false" customHeight="false" outlineLevel="0" collapsed="false">
      <c r="A934" s="2" t="n">
        <v>2023</v>
      </c>
      <c r="B934" s="2" t="s">
        <v>164</v>
      </c>
      <c r="C934" s="2" t="s">
        <v>545</v>
      </c>
      <c r="D934" s="2" t="s">
        <v>83</v>
      </c>
      <c r="E934" s="2" t="n">
        <v>10</v>
      </c>
      <c r="F934" s="2" t="n">
        <v>0</v>
      </c>
      <c r="G934" s="2" t="n">
        <v>0</v>
      </c>
      <c r="H934" s="2" t="n">
        <v>0</v>
      </c>
      <c r="I934" s="2" t="n">
        <v>1</v>
      </c>
      <c r="J934" s="2" t="n">
        <v>70</v>
      </c>
      <c r="K934" s="2" t="n">
        <v>71</v>
      </c>
      <c r="L934" s="11" t="b">
        <f aca="false">TRUE()</f>
        <v>1</v>
      </c>
      <c r="M934" s="2" t="s">
        <v>406</v>
      </c>
      <c r="N934" s="2" t="n">
        <f aca="false">IF(E934&gt;0,F934/E934,"")</f>
        <v>0</v>
      </c>
      <c r="O934" s="2" t="n">
        <f aca="false">IF(AND(E934&gt;0,L934),J934/E934,"")</f>
        <v>7</v>
      </c>
    </row>
    <row r="935" customFormat="false" ht="15" hidden="false" customHeight="false" outlineLevel="0" collapsed="false">
      <c r="A935" s="2" t="n">
        <v>2023</v>
      </c>
      <c r="B935" s="2" t="s">
        <v>186</v>
      </c>
      <c r="C935" s="2" t="s">
        <v>405</v>
      </c>
      <c r="D935" s="2" t="s">
        <v>115</v>
      </c>
      <c r="E935" s="2" t="n">
        <v>3</v>
      </c>
      <c r="F935" s="2" t="n">
        <v>6</v>
      </c>
      <c r="G935" s="2" t="n">
        <v>3</v>
      </c>
      <c r="H935" s="2" t="n">
        <v>1</v>
      </c>
      <c r="I935" s="2" t="n">
        <v>0</v>
      </c>
      <c r="J935" s="2" t="n">
        <v>9</v>
      </c>
      <c r="K935" s="2" t="n">
        <v>16</v>
      </c>
      <c r="L935" s="11" t="b">
        <f aca="false">TRUE()</f>
        <v>1</v>
      </c>
      <c r="M935" s="2" t="s">
        <v>406</v>
      </c>
      <c r="N935" s="2" t="n">
        <f aca="false">IF(E935&gt;0,F935/E935,"")</f>
        <v>2</v>
      </c>
      <c r="O935" s="2" t="n">
        <f aca="false">IF(AND(E935&gt;0,L935),J935/E935,"")</f>
        <v>3</v>
      </c>
    </row>
    <row r="936" customFormat="false" ht="15" hidden="false" customHeight="false" outlineLevel="0" collapsed="false">
      <c r="A936" s="2" t="n">
        <v>2023</v>
      </c>
      <c r="B936" s="2" t="s">
        <v>44</v>
      </c>
      <c r="C936" s="2" t="s">
        <v>412</v>
      </c>
      <c r="D936" s="2" t="s">
        <v>24</v>
      </c>
      <c r="E936" s="2" t="n">
        <v>10</v>
      </c>
      <c r="F936" s="2" t="n">
        <v>75</v>
      </c>
      <c r="G936" s="2" t="n">
        <v>48</v>
      </c>
      <c r="H936" s="2" t="n">
        <v>22</v>
      </c>
      <c r="I936" s="2" t="n">
        <v>13</v>
      </c>
      <c r="J936" s="2" t="n">
        <v>256</v>
      </c>
      <c r="K936" s="2" t="n">
        <v>354</v>
      </c>
      <c r="L936" s="11" t="b">
        <f aca="false">TRUE()</f>
        <v>1</v>
      </c>
      <c r="M936" s="2" t="s">
        <v>406</v>
      </c>
      <c r="N936" s="2" t="n">
        <f aca="false">IF(E936&gt;0,F936/E936,"")</f>
        <v>7.5</v>
      </c>
      <c r="O936" s="2" t="n">
        <f aca="false">IF(AND(E936&gt;0,L936),J936/E936,"")</f>
        <v>25.6</v>
      </c>
    </row>
    <row r="937" customFormat="false" ht="15" hidden="false" customHeight="false" outlineLevel="0" collapsed="false">
      <c r="A937" s="2" t="n">
        <v>2023</v>
      </c>
      <c r="B937" s="2" t="s">
        <v>255</v>
      </c>
      <c r="C937" s="2" t="s">
        <v>418</v>
      </c>
      <c r="D937" s="2" t="s">
        <v>115</v>
      </c>
      <c r="E937" s="2" t="n">
        <v>10</v>
      </c>
      <c r="F937" s="2" t="n">
        <v>0</v>
      </c>
      <c r="G937" s="2" t="n">
        <v>0</v>
      </c>
      <c r="H937" s="2" t="n">
        <v>0</v>
      </c>
      <c r="I937" s="2" t="n">
        <v>1</v>
      </c>
      <c r="J937" s="2" t="n">
        <v>40</v>
      </c>
      <c r="K937" s="2" t="n">
        <v>41</v>
      </c>
      <c r="L937" s="11" t="b">
        <f aca="false">TRUE()</f>
        <v>1</v>
      </c>
      <c r="M937" s="2" t="s">
        <v>406</v>
      </c>
      <c r="N937" s="2" t="n">
        <f aca="false">IF(E937&gt;0,F937/E937,"")</f>
        <v>0</v>
      </c>
      <c r="O937" s="2" t="n">
        <f aca="false">IF(AND(E937&gt;0,L937),J937/E937,"")</f>
        <v>4</v>
      </c>
    </row>
    <row r="938" customFormat="false" ht="15" hidden="false" customHeight="false" outlineLevel="0" collapsed="false">
      <c r="A938" s="2" t="n">
        <v>2023</v>
      </c>
      <c r="B938" s="2" t="s">
        <v>157</v>
      </c>
      <c r="C938" s="2" t="s">
        <v>412</v>
      </c>
      <c r="D938" s="2" t="s">
        <v>29</v>
      </c>
      <c r="E938" s="2" t="n">
        <v>5</v>
      </c>
      <c r="F938" s="2" t="n">
        <v>7</v>
      </c>
      <c r="G938" s="2" t="n">
        <v>4</v>
      </c>
      <c r="H938" s="2" t="n">
        <v>0</v>
      </c>
      <c r="I938" s="2" t="n">
        <v>1</v>
      </c>
      <c r="J938" s="2" t="n">
        <v>42</v>
      </c>
      <c r="K938" s="2" t="n">
        <v>50</v>
      </c>
      <c r="L938" s="11" t="b">
        <f aca="false">TRUE()</f>
        <v>1</v>
      </c>
      <c r="M938" s="2" t="s">
        <v>406</v>
      </c>
      <c r="N938" s="2" t="n">
        <f aca="false">IF(E938&gt;0,F938/E938,"")</f>
        <v>1.4</v>
      </c>
      <c r="O938" s="2" t="n">
        <f aca="false">IF(AND(E938&gt;0,L938),J938/E938,"")</f>
        <v>8.4</v>
      </c>
    </row>
    <row r="939" customFormat="false" ht="15" hidden="false" customHeight="false" outlineLevel="0" collapsed="false">
      <c r="A939" s="2" t="n">
        <v>2023</v>
      </c>
      <c r="B939" s="2" t="s">
        <v>88</v>
      </c>
      <c r="C939" s="2" t="s">
        <v>418</v>
      </c>
      <c r="D939" s="2" t="s">
        <v>29</v>
      </c>
      <c r="E939" s="2" t="n">
        <v>9</v>
      </c>
      <c r="F939" s="2" t="n">
        <v>46</v>
      </c>
      <c r="G939" s="2" t="n">
        <v>26</v>
      </c>
      <c r="H939" s="2" t="n">
        <v>10</v>
      </c>
      <c r="I939" s="2" t="n">
        <v>3</v>
      </c>
      <c r="J939" s="2" t="n">
        <v>117</v>
      </c>
      <c r="K939" s="2" t="n">
        <v>178</v>
      </c>
      <c r="L939" s="11" t="b">
        <f aca="false">TRUE()</f>
        <v>1</v>
      </c>
      <c r="M939" s="2" t="s">
        <v>406</v>
      </c>
      <c r="N939" s="2" t="n">
        <f aca="false">IF(E939&gt;0,F939/E939,"")</f>
        <v>5.11111111111111</v>
      </c>
      <c r="O939" s="2" t="n">
        <f aca="false">IF(AND(E939&gt;0,L939),J939/E939,"")</f>
        <v>13</v>
      </c>
    </row>
    <row r="940" customFormat="false" ht="15" hidden="false" customHeight="false" outlineLevel="0" collapsed="false">
      <c r="A940" s="2" t="n">
        <v>2023</v>
      </c>
      <c r="B940" s="2" t="s">
        <v>40</v>
      </c>
      <c r="C940" s="2" t="s">
        <v>518</v>
      </c>
      <c r="D940" s="2" t="s">
        <v>29</v>
      </c>
      <c r="E940" s="2" t="n">
        <v>7</v>
      </c>
      <c r="F940" s="2" t="n">
        <v>43</v>
      </c>
      <c r="G940" s="2" t="n">
        <v>28</v>
      </c>
      <c r="H940" s="2" t="n">
        <v>12</v>
      </c>
      <c r="I940" s="2" t="n">
        <v>4</v>
      </c>
      <c r="J940" s="2" t="n">
        <v>84</v>
      </c>
      <c r="K940" s="2" t="n">
        <v>135</v>
      </c>
      <c r="L940" s="11" t="b">
        <f aca="false">TRUE()</f>
        <v>1</v>
      </c>
      <c r="M940" s="2" t="s">
        <v>406</v>
      </c>
      <c r="N940" s="2" t="n">
        <f aca="false">IF(E940&gt;0,F940/E940,"")</f>
        <v>6.14285714285714</v>
      </c>
      <c r="O940" s="2" t="n">
        <f aca="false">IF(AND(E940&gt;0,L940),J940/E940,"")</f>
        <v>12</v>
      </c>
    </row>
    <row r="941" customFormat="false" ht="15" hidden="false" customHeight="false" outlineLevel="0" collapsed="false">
      <c r="A941" s="2" t="n">
        <v>2023</v>
      </c>
      <c r="B941" s="2" t="s">
        <v>224</v>
      </c>
      <c r="C941" s="2" t="s">
        <v>408</v>
      </c>
      <c r="D941" s="2" t="s">
        <v>83</v>
      </c>
      <c r="E941" s="2" t="n">
        <v>10</v>
      </c>
      <c r="F941" s="2" t="n">
        <v>4</v>
      </c>
      <c r="G941" s="2" t="n">
        <v>2</v>
      </c>
      <c r="H941" s="2" t="n">
        <v>2</v>
      </c>
      <c r="I941" s="2" t="n">
        <v>2</v>
      </c>
      <c r="J941" s="2" t="n">
        <v>75</v>
      </c>
      <c r="K941" s="2" t="n">
        <v>81</v>
      </c>
      <c r="L941" s="11" t="b">
        <f aca="false">TRUE()</f>
        <v>1</v>
      </c>
      <c r="M941" s="2" t="s">
        <v>406</v>
      </c>
      <c r="N941" s="2" t="n">
        <f aca="false">IF(E941&gt;0,F941/E941,"")</f>
        <v>0.4</v>
      </c>
      <c r="O941" s="2" t="n">
        <f aca="false">IF(AND(E941&gt;0,L941),J941/E941,"")</f>
        <v>7.5</v>
      </c>
    </row>
    <row r="942" customFormat="false" ht="15" hidden="false" customHeight="false" outlineLevel="0" collapsed="false">
      <c r="A942" s="2" t="n">
        <v>2023</v>
      </c>
      <c r="B942" s="2" t="s">
        <v>269</v>
      </c>
      <c r="C942" s="2" t="s">
        <v>545</v>
      </c>
      <c r="D942" s="2" t="s">
        <v>115</v>
      </c>
      <c r="E942" s="2" t="n">
        <v>5</v>
      </c>
      <c r="F942" s="2" t="n">
        <v>1</v>
      </c>
      <c r="G942" s="2" t="n">
        <v>0</v>
      </c>
      <c r="H942" s="2" t="n">
        <v>0</v>
      </c>
      <c r="I942" s="2" t="n">
        <v>0</v>
      </c>
      <c r="J942" s="2" t="n">
        <v>17</v>
      </c>
      <c r="K942" s="2" t="n">
        <v>18</v>
      </c>
      <c r="L942" s="11" t="b">
        <f aca="false">TRUE()</f>
        <v>1</v>
      </c>
      <c r="M942" s="2" t="s">
        <v>406</v>
      </c>
      <c r="N942" s="2" t="n">
        <f aca="false">IF(E942&gt;0,F942/E942,"")</f>
        <v>0.2</v>
      </c>
      <c r="O942" s="2" t="n">
        <f aca="false">IF(AND(E942&gt;0,L942),J942/E942,"")</f>
        <v>3.4</v>
      </c>
    </row>
    <row r="943" customFormat="false" ht="15" hidden="false" customHeight="false" outlineLevel="0" collapsed="false">
      <c r="A943" s="2" t="n">
        <v>2023</v>
      </c>
      <c r="B943" s="2" t="s">
        <v>188</v>
      </c>
      <c r="C943" s="2" t="s">
        <v>418</v>
      </c>
      <c r="D943" s="2" t="s">
        <v>83</v>
      </c>
      <c r="E943" s="2" t="n">
        <v>9</v>
      </c>
      <c r="F943" s="2" t="n">
        <v>5</v>
      </c>
      <c r="G943" s="2" t="n">
        <v>3</v>
      </c>
      <c r="H943" s="2" t="n">
        <v>1</v>
      </c>
      <c r="I943" s="2" t="n">
        <v>1</v>
      </c>
      <c r="J943" s="2" t="n">
        <v>55</v>
      </c>
      <c r="K943" s="2" t="n">
        <v>61</v>
      </c>
      <c r="L943" s="11" t="b">
        <f aca="false">TRUE()</f>
        <v>1</v>
      </c>
      <c r="M943" s="2" t="s">
        <v>406</v>
      </c>
      <c r="N943" s="2" t="n">
        <f aca="false">IF(E943&gt;0,F943/E943,"")</f>
        <v>0.555555555555556</v>
      </c>
      <c r="O943" s="2" t="n">
        <f aca="false">IF(AND(E943&gt;0,L943),J943/E943,"")</f>
        <v>6.11111111111111</v>
      </c>
    </row>
    <row r="944" customFormat="false" ht="15" hidden="false" customHeight="false" outlineLevel="0" collapsed="false">
      <c r="A944" s="2" t="n">
        <v>2023</v>
      </c>
      <c r="B944" s="2" t="s">
        <v>227</v>
      </c>
      <c r="C944" s="2" t="s">
        <v>518</v>
      </c>
      <c r="D944" s="2" t="s">
        <v>83</v>
      </c>
      <c r="E944" s="2" t="n">
        <v>9</v>
      </c>
      <c r="F944" s="2" t="n">
        <v>5</v>
      </c>
      <c r="G944" s="2" t="n">
        <v>4</v>
      </c>
      <c r="H944" s="2" t="n">
        <v>2</v>
      </c>
      <c r="I944" s="2" t="n">
        <v>2</v>
      </c>
      <c r="J944" s="2" t="n">
        <v>40</v>
      </c>
      <c r="K944" s="2" t="n">
        <v>47</v>
      </c>
      <c r="L944" s="11" t="b">
        <f aca="false">TRUE()</f>
        <v>1</v>
      </c>
      <c r="M944" s="2" t="s">
        <v>406</v>
      </c>
      <c r="N944" s="2" t="n">
        <f aca="false">IF(E944&gt;0,F944/E944,"")</f>
        <v>0.555555555555556</v>
      </c>
      <c r="O944" s="2" t="n">
        <f aca="false">IF(AND(E944&gt;0,L944),J944/E944,"")</f>
        <v>4.44444444444445</v>
      </c>
    </row>
    <row r="945" customFormat="false" ht="15" hidden="false" customHeight="false" outlineLevel="0" collapsed="false">
      <c r="A945" s="2" t="n">
        <v>2023</v>
      </c>
      <c r="B945" s="2" t="s">
        <v>66</v>
      </c>
      <c r="C945" s="2" t="s">
        <v>418</v>
      </c>
      <c r="D945" s="2" t="s">
        <v>29</v>
      </c>
      <c r="E945" s="2" t="n">
        <v>8</v>
      </c>
      <c r="F945" s="2" t="n">
        <v>21</v>
      </c>
      <c r="G945" s="2" t="n">
        <v>5</v>
      </c>
      <c r="H945" s="2" t="n">
        <v>2</v>
      </c>
      <c r="I945" s="2" t="n">
        <v>0</v>
      </c>
      <c r="J945" s="2" t="n">
        <v>73</v>
      </c>
      <c r="K945" s="2" t="n">
        <v>97</v>
      </c>
      <c r="L945" s="11" t="b">
        <f aca="false">TRUE()</f>
        <v>1</v>
      </c>
      <c r="M945" s="2" t="s">
        <v>406</v>
      </c>
      <c r="N945" s="2" t="n">
        <f aca="false">IF(E945&gt;0,F945/E945,"")</f>
        <v>2.625</v>
      </c>
      <c r="O945" s="2" t="n">
        <f aca="false">IF(AND(E945&gt;0,L945),J945/E945,"")</f>
        <v>9.125</v>
      </c>
    </row>
    <row r="946" customFormat="false" ht="15" hidden="false" customHeight="false" outlineLevel="0" collapsed="false">
      <c r="A946" s="2" t="n">
        <v>2023</v>
      </c>
      <c r="B946" s="2" t="s">
        <v>73</v>
      </c>
      <c r="C946" s="2" t="s">
        <v>405</v>
      </c>
      <c r="D946" s="2" t="s">
        <v>29</v>
      </c>
      <c r="E946" s="2" t="n">
        <v>10</v>
      </c>
      <c r="F946" s="2" t="n">
        <v>31</v>
      </c>
      <c r="G946" s="2" t="n">
        <v>20</v>
      </c>
      <c r="H946" s="2" t="n">
        <v>7</v>
      </c>
      <c r="I946" s="2" t="n">
        <v>6</v>
      </c>
      <c r="J946" s="2" t="n">
        <v>140</v>
      </c>
      <c r="K946" s="2" t="n">
        <v>184</v>
      </c>
      <c r="L946" s="11" t="b">
        <f aca="false">TRUE()</f>
        <v>1</v>
      </c>
      <c r="M946" s="2" t="s">
        <v>406</v>
      </c>
      <c r="N946" s="2" t="n">
        <f aca="false">IF(E946&gt;0,F946/E946,"")</f>
        <v>3.1</v>
      </c>
      <c r="O946" s="2" t="n">
        <f aca="false">IF(AND(E946&gt;0,L946),J946/E946,"")</f>
        <v>14</v>
      </c>
    </row>
    <row r="947" customFormat="false" ht="15" hidden="false" customHeight="false" outlineLevel="0" collapsed="false">
      <c r="A947" s="2" t="n">
        <v>2023</v>
      </c>
      <c r="B947" s="2" t="s">
        <v>352</v>
      </c>
      <c r="C947" s="2" t="s">
        <v>418</v>
      </c>
      <c r="D947" s="2" t="s">
        <v>115</v>
      </c>
      <c r="E947" s="2" t="n">
        <v>5</v>
      </c>
      <c r="F947" s="2" t="n">
        <v>1</v>
      </c>
      <c r="G947" s="2" t="n">
        <v>0</v>
      </c>
      <c r="H947" s="2" t="n">
        <v>0</v>
      </c>
      <c r="I947" s="2" t="n">
        <v>0</v>
      </c>
      <c r="J947" s="2" t="n">
        <v>13</v>
      </c>
      <c r="K947" s="2" t="n">
        <v>14</v>
      </c>
      <c r="L947" s="11" t="b">
        <f aca="false">TRUE()</f>
        <v>1</v>
      </c>
      <c r="M947" s="2" t="s">
        <v>406</v>
      </c>
      <c r="N947" s="2" t="n">
        <f aca="false">IF(E947&gt;0,F947/E947,"")</f>
        <v>0.2</v>
      </c>
      <c r="O947" s="2" t="n">
        <f aca="false">IF(AND(E947&gt;0,L947),J947/E947,"")</f>
        <v>2.6</v>
      </c>
    </row>
    <row r="948" customFormat="false" ht="15" hidden="false" customHeight="false" outlineLevel="0" collapsed="false">
      <c r="A948" s="2" t="n">
        <v>2023</v>
      </c>
      <c r="B948" s="2" t="s">
        <v>263</v>
      </c>
      <c r="C948" s="2" t="s">
        <v>518</v>
      </c>
      <c r="D948" s="2" t="s">
        <v>83</v>
      </c>
      <c r="E948" s="2" t="n">
        <v>8</v>
      </c>
      <c r="F948" s="2" t="n">
        <v>4</v>
      </c>
      <c r="G948" s="2" t="n">
        <v>3</v>
      </c>
      <c r="H948" s="2" t="n">
        <v>2</v>
      </c>
      <c r="I948" s="2" t="n">
        <v>1</v>
      </c>
      <c r="J948" s="2" t="n">
        <v>37</v>
      </c>
      <c r="K948" s="2" t="n">
        <v>47</v>
      </c>
      <c r="L948" s="11" t="b">
        <f aca="false">TRUE()</f>
        <v>1</v>
      </c>
      <c r="M948" s="2" t="s">
        <v>406</v>
      </c>
      <c r="N948" s="2" t="n">
        <f aca="false">IF(E948&gt;0,F948/E948,"")</f>
        <v>0.5</v>
      </c>
      <c r="O948" s="2" t="n">
        <f aca="false">IF(AND(E948&gt;0,L948),J948/E948,"")</f>
        <v>4.625</v>
      </c>
    </row>
    <row r="949" customFormat="false" ht="15" hidden="false" customHeight="false" outlineLevel="0" collapsed="false">
      <c r="A949" s="2" t="n">
        <v>2023</v>
      </c>
      <c r="B949" s="2" t="s">
        <v>590</v>
      </c>
      <c r="C949" s="2" t="s">
        <v>414</v>
      </c>
      <c r="D949" s="2" t="s">
        <v>117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11" t="b">
        <f aca="false">TRUE()</f>
        <v>1</v>
      </c>
      <c r="M949" s="2" t="s">
        <v>410</v>
      </c>
      <c r="N949" s="2" t="str">
        <f aca="false">IF(E949&gt;0,F949/E949,"")</f>
        <v/>
      </c>
      <c r="O949" s="2" t="str">
        <f aca="false">IF(AND(E949&gt;0,L949),J949/E949,"")</f>
        <v/>
      </c>
    </row>
    <row r="950" customFormat="false" ht="15" hidden="false" customHeight="false" outlineLevel="0" collapsed="false">
      <c r="A950" s="2" t="n">
        <v>2023</v>
      </c>
      <c r="B950" s="2" t="s">
        <v>23</v>
      </c>
      <c r="C950" s="2" t="s">
        <v>545</v>
      </c>
      <c r="D950" s="2" t="s">
        <v>24</v>
      </c>
      <c r="E950" s="2" t="n">
        <v>10</v>
      </c>
      <c r="F950" s="2" t="n">
        <v>79</v>
      </c>
      <c r="G950" s="2" t="n">
        <v>52</v>
      </c>
      <c r="H950" s="2" t="n">
        <v>30</v>
      </c>
      <c r="I950" s="2" t="n">
        <v>13</v>
      </c>
      <c r="J950" s="2" t="n">
        <v>311</v>
      </c>
      <c r="K950" s="2" t="n">
        <v>409</v>
      </c>
      <c r="L950" s="11" t="b">
        <f aca="false">TRUE()</f>
        <v>1</v>
      </c>
      <c r="M950" s="2" t="s">
        <v>406</v>
      </c>
      <c r="N950" s="2" t="n">
        <f aca="false">IF(E950&gt;0,F950/E950,"")</f>
        <v>7.9</v>
      </c>
      <c r="O950" s="2" t="n">
        <f aca="false">IF(AND(E950&gt;0,L950),J950/E950,"")</f>
        <v>31.1</v>
      </c>
    </row>
    <row r="951" customFormat="false" ht="15" hidden="false" customHeight="false" outlineLevel="0" collapsed="false">
      <c r="A951" s="2" t="n">
        <v>2023</v>
      </c>
      <c r="B951" s="2" t="s">
        <v>153</v>
      </c>
      <c r="C951" s="2" t="s">
        <v>408</v>
      </c>
      <c r="D951" s="2" t="s">
        <v>117</v>
      </c>
      <c r="E951" s="2" t="n">
        <v>10</v>
      </c>
      <c r="F951" s="2" t="n">
        <v>3</v>
      </c>
      <c r="G951" s="2" t="n">
        <v>1</v>
      </c>
      <c r="H951" s="2" t="n">
        <v>0</v>
      </c>
      <c r="I951" s="2" t="n">
        <v>1</v>
      </c>
      <c r="J951" s="2" t="n">
        <v>75</v>
      </c>
      <c r="K951" s="2" t="n">
        <v>80</v>
      </c>
      <c r="L951" s="11" t="b">
        <f aca="false">TRUE()</f>
        <v>1</v>
      </c>
      <c r="M951" s="2" t="s">
        <v>406</v>
      </c>
      <c r="N951" s="2" t="n">
        <f aca="false">IF(E951&gt;0,F951/E951,"")</f>
        <v>0.3</v>
      </c>
      <c r="O951" s="2" t="n">
        <f aca="false">IF(AND(E951&gt;0,L951),J951/E951,"")</f>
        <v>7.5</v>
      </c>
    </row>
    <row r="952" customFormat="false" ht="15" hidden="false" customHeight="false" outlineLevel="0" collapsed="false">
      <c r="A952" s="2" t="n">
        <v>2023</v>
      </c>
      <c r="B952" s="2" t="s">
        <v>373</v>
      </c>
      <c r="C952" s="2" t="s">
        <v>518</v>
      </c>
      <c r="D952" s="2" t="s">
        <v>115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11" t="b">
        <f aca="false">TRUE()</f>
        <v>1</v>
      </c>
      <c r="M952" s="2" t="s">
        <v>410</v>
      </c>
      <c r="N952" s="2" t="str">
        <f aca="false">IF(E952&gt;0,F952/E952,"")</f>
        <v/>
      </c>
      <c r="O952" s="2" t="str">
        <f aca="false">IF(AND(E952&gt;0,L952),J952/E952,"")</f>
        <v/>
      </c>
    </row>
    <row r="953" customFormat="false" ht="15" hidden="false" customHeight="false" outlineLevel="0" collapsed="false">
      <c r="A953" s="2" t="n">
        <v>2023</v>
      </c>
      <c r="B953" s="2" t="s">
        <v>558</v>
      </c>
      <c r="C953" s="2" t="s">
        <v>405</v>
      </c>
      <c r="D953" s="2" t="s">
        <v>413</v>
      </c>
      <c r="E953" s="2" t="n">
        <v>10</v>
      </c>
      <c r="F953" s="2" t="n">
        <v>9</v>
      </c>
      <c r="G953" s="2" t="n">
        <v>7</v>
      </c>
      <c r="H953" s="2" t="n">
        <v>1</v>
      </c>
      <c r="I953" s="2" t="n">
        <v>1</v>
      </c>
      <c r="J953" s="2" t="n">
        <v>99</v>
      </c>
      <c r="K953" s="2" t="n">
        <v>113</v>
      </c>
      <c r="L953" s="11" t="b">
        <f aca="false">TRUE()</f>
        <v>1</v>
      </c>
      <c r="M953" s="2" t="s">
        <v>410</v>
      </c>
      <c r="N953" s="2" t="n">
        <f aca="false">IF(E953&gt;0,F953/E953,"")</f>
        <v>0.9</v>
      </c>
      <c r="O953" s="2" t="n">
        <f aca="false">IF(AND(E953&gt;0,L953),J953/E953,"")</f>
        <v>9.9</v>
      </c>
    </row>
    <row r="954" customFormat="false" ht="15" hidden="false" customHeight="false" outlineLevel="0" collapsed="false">
      <c r="A954" s="2" t="n">
        <v>2023</v>
      </c>
      <c r="B954" s="2" t="s">
        <v>591</v>
      </c>
      <c r="C954" s="2" t="s">
        <v>408</v>
      </c>
      <c r="D954" s="2" t="s">
        <v>413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11" t="b">
        <f aca="false">TRUE()</f>
        <v>1</v>
      </c>
      <c r="M954" s="2" t="s">
        <v>410</v>
      </c>
      <c r="N954" s="2" t="str">
        <f aca="false">IF(E954&gt;0,F954/E954,"")</f>
        <v/>
      </c>
      <c r="O954" s="2" t="str">
        <f aca="false">IF(AND(E954&gt;0,L954),J954/E954,"")</f>
        <v/>
      </c>
    </row>
    <row r="955" customFormat="false" ht="15" hidden="false" customHeight="false" outlineLevel="0" collapsed="false">
      <c r="A955" s="2" t="n">
        <v>2023</v>
      </c>
      <c r="B955" s="2" t="s">
        <v>232</v>
      </c>
      <c r="C955" s="2" t="s">
        <v>414</v>
      </c>
      <c r="D955" s="2" t="s">
        <v>29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11" t="b">
        <f aca="false">TRUE()</f>
        <v>1</v>
      </c>
      <c r="M955" s="2" t="s">
        <v>410</v>
      </c>
      <c r="N955" s="2" t="str">
        <f aca="false">IF(E955&gt;0,F955/E955,"")</f>
        <v/>
      </c>
      <c r="O955" s="2" t="str">
        <f aca="false">IF(AND(E955&gt;0,L955),J955/E955,"")</f>
        <v/>
      </c>
    </row>
    <row r="956" customFormat="false" ht="15" hidden="false" customHeight="false" outlineLevel="0" collapsed="false">
      <c r="A956" s="2" t="n">
        <v>2023</v>
      </c>
      <c r="B956" s="2" t="s">
        <v>78</v>
      </c>
      <c r="C956" s="2" t="s">
        <v>420</v>
      </c>
      <c r="D956" s="2" t="s">
        <v>29</v>
      </c>
      <c r="E956" s="2" t="n">
        <v>9</v>
      </c>
      <c r="F956" s="2" t="n">
        <v>39</v>
      </c>
      <c r="G956" s="2" t="n">
        <v>25</v>
      </c>
      <c r="H956" s="2" t="n">
        <v>10</v>
      </c>
      <c r="I956" s="2" t="n">
        <v>3</v>
      </c>
      <c r="J956" s="2" t="n">
        <v>180</v>
      </c>
      <c r="K956" s="2" t="n">
        <v>232</v>
      </c>
      <c r="L956" s="11" t="b">
        <f aca="false">TRUE()</f>
        <v>1</v>
      </c>
      <c r="M956" s="2" t="s">
        <v>406</v>
      </c>
      <c r="N956" s="2" t="n">
        <f aca="false">IF(E956&gt;0,F956/E956,"")</f>
        <v>4.33333333333333</v>
      </c>
      <c r="O956" s="2" t="n">
        <f aca="false">IF(AND(E956&gt;0,L956),J956/E956,"")</f>
        <v>20</v>
      </c>
    </row>
    <row r="957" customFormat="false" ht="15" hidden="false" customHeight="false" outlineLevel="0" collapsed="false">
      <c r="A957" s="2" t="n">
        <v>2023</v>
      </c>
      <c r="B957" s="2" t="s">
        <v>313</v>
      </c>
      <c r="C957" s="2" t="s">
        <v>543</v>
      </c>
      <c r="D957" s="2" t="s">
        <v>29</v>
      </c>
      <c r="E957" s="2" t="n">
        <v>2</v>
      </c>
      <c r="F957" s="2" t="n">
        <v>4</v>
      </c>
      <c r="G957" s="2" t="n">
        <v>2</v>
      </c>
      <c r="H957" s="2" t="n">
        <v>2</v>
      </c>
      <c r="I957" s="2" t="n">
        <v>2</v>
      </c>
      <c r="J957" s="2" t="n">
        <v>36</v>
      </c>
      <c r="K957" s="2" t="n">
        <v>44</v>
      </c>
      <c r="L957" s="11" t="b">
        <f aca="false">TRUE()</f>
        <v>1</v>
      </c>
      <c r="M957" s="2" t="s">
        <v>410</v>
      </c>
      <c r="N957" s="2" t="n">
        <f aca="false">IF(E957&gt;0,F957/E957,"")</f>
        <v>2</v>
      </c>
      <c r="O957" s="2" t="n">
        <f aca="false">IF(AND(E957&gt;0,L957),J957/E957,"")</f>
        <v>18</v>
      </c>
    </row>
    <row r="958" customFormat="false" ht="15" hidden="false" customHeight="false" outlineLevel="0" collapsed="false">
      <c r="A958" s="2" t="n">
        <v>2023</v>
      </c>
      <c r="B958" s="2" t="s">
        <v>221</v>
      </c>
      <c r="C958" s="2" t="s">
        <v>408</v>
      </c>
      <c r="D958" s="2" t="s">
        <v>117</v>
      </c>
      <c r="E958" s="2" t="n">
        <v>9</v>
      </c>
      <c r="F958" s="2" t="n">
        <v>0</v>
      </c>
      <c r="G958" s="2" t="n">
        <v>0</v>
      </c>
      <c r="H958" s="2" t="n">
        <v>0</v>
      </c>
      <c r="I958" s="2" t="n">
        <v>1</v>
      </c>
      <c r="J958" s="2" t="n">
        <v>39</v>
      </c>
      <c r="K958" s="2" t="n">
        <v>42</v>
      </c>
      <c r="L958" s="11" t="b">
        <f aca="false">TRUE()</f>
        <v>1</v>
      </c>
      <c r="M958" s="2" t="s">
        <v>406</v>
      </c>
      <c r="N958" s="2" t="n">
        <f aca="false">IF(E958&gt;0,F958/E958,"")</f>
        <v>0</v>
      </c>
      <c r="O958" s="2" t="n">
        <f aca="false">IF(AND(E958&gt;0,L958),J958/E958,"")</f>
        <v>4.33333333333333</v>
      </c>
    </row>
    <row r="959" customFormat="false" ht="15" hidden="false" customHeight="false" outlineLevel="0" collapsed="false">
      <c r="A959" s="2" t="n">
        <v>2023</v>
      </c>
      <c r="B959" s="2" t="s">
        <v>74</v>
      </c>
      <c r="C959" s="2" t="s">
        <v>412</v>
      </c>
      <c r="D959" s="2" t="s">
        <v>29</v>
      </c>
      <c r="E959" s="2" t="n">
        <v>8</v>
      </c>
      <c r="F959" s="2" t="n">
        <v>32</v>
      </c>
      <c r="G959" s="2" t="n">
        <v>19</v>
      </c>
      <c r="H959" s="2" t="n">
        <v>6</v>
      </c>
      <c r="I959" s="2" t="n">
        <v>4</v>
      </c>
      <c r="J959" s="2" t="n">
        <v>91</v>
      </c>
      <c r="K959" s="2" t="n">
        <v>130</v>
      </c>
      <c r="L959" s="11" t="b">
        <f aca="false">TRUE()</f>
        <v>1</v>
      </c>
      <c r="M959" s="2" t="s">
        <v>406</v>
      </c>
      <c r="N959" s="2" t="n">
        <f aca="false">IF(E959&gt;0,F959/E959,"")</f>
        <v>4</v>
      </c>
      <c r="O959" s="2" t="n">
        <f aca="false">IF(AND(E959&gt;0,L959),J959/E959,"")</f>
        <v>11.375</v>
      </c>
    </row>
    <row r="960" customFormat="false" ht="15" hidden="false" customHeight="false" outlineLevel="0" collapsed="false">
      <c r="A960" s="2" t="n">
        <v>2023</v>
      </c>
      <c r="B960" s="2" t="s">
        <v>560</v>
      </c>
      <c r="C960" s="2" t="s">
        <v>420</v>
      </c>
      <c r="D960" s="2" t="s">
        <v>409</v>
      </c>
      <c r="E960" s="2" t="n">
        <v>2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13</v>
      </c>
      <c r="K960" s="2" t="n">
        <v>13</v>
      </c>
      <c r="L960" s="11" t="b">
        <f aca="false">TRUE()</f>
        <v>1</v>
      </c>
      <c r="M960" s="2" t="s">
        <v>410</v>
      </c>
      <c r="N960" s="2" t="n">
        <f aca="false">IF(E960&gt;0,F960/E960,"")</f>
        <v>0</v>
      </c>
      <c r="O960" s="2" t="n">
        <f aca="false">IF(AND(E960&gt;0,L960),J960/E960,"")</f>
        <v>6.5</v>
      </c>
    </row>
    <row r="961" customFormat="false" ht="15" hidden="false" customHeight="false" outlineLevel="0" collapsed="false">
      <c r="A961" s="2" t="n">
        <v>2023</v>
      </c>
      <c r="B961" s="2" t="s">
        <v>69</v>
      </c>
      <c r="C961" s="2" t="s">
        <v>545</v>
      </c>
      <c r="D961" s="2" t="s">
        <v>24</v>
      </c>
      <c r="E961" s="2" t="n">
        <v>8</v>
      </c>
      <c r="F961" s="2" t="n">
        <v>51</v>
      </c>
      <c r="G961" s="2" t="n">
        <v>30</v>
      </c>
      <c r="H961" s="2" t="n">
        <v>14</v>
      </c>
      <c r="I961" s="2" t="n">
        <v>10</v>
      </c>
      <c r="J961" s="2" t="n">
        <v>188</v>
      </c>
      <c r="K961" s="2" t="n">
        <v>252</v>
      </c>
      <c r="L961" s="11" t="b">
        <f aca="false">TRUE()</f>
        <v>1</v>
      </c>
      <c r="M961" s="2" t="s">
        <v>406</v>
      </c>
      <c r="N961" s="2" t="n">
        <f aca="false">IF(E961&gt;0,F961/E961,"")</f>
        <v>6.375</v>
      </c>
      <c r="O961" s="2" t="n">
        <f aca="false">IF(AND(E961&gt;0,L961),J961/E961,"")</f>
        <v>23.5</v>
      </c>
    </row>
    <row r="962" customFormat="false" ht="15" hidden="false" customHeight="false" outlineLevel="0" collapsed="false">
      <c r="A962" s="2" t="n">
        <v>2023</v>
      </c>
      <c r="B962" s="2" t="s">
        <v>39</v>
      </c>
      <c r="C962" s="2" t="s">
        <v>518</v>
      </c>
      <c r="D962" s="2" t="s">
        <v>29</v>
      </c>
      <c r="E962" s="2" t="n">
        <v>7</v>
      </c>
      <c r="F962" s="2" t="n">
        <v>41</v>
      </c>
      <c r="G962" s="2" t="n">
        <v>19</v>
      </c>
      <c r="H962" s="2" t="n">
        <v>11</v>
      </c>
      <c r="I962" s="2" t="n">
        <v>1</v>
      </c>
      <c r="J962" s="2" t="n">
        <v>129</v>
      </c>
      <c r="K962" s="2" t="n">
        <v>180</v>
      </c>
      <c r="L962" s="11" t="b">
        <f aca="false">TRUE()</f>
        <v>1</v>
      </c>
      <c r="M962" s="2" t="s">
        <v>406</v>
      </c>
      <c r="N962" s="2" t="n">
        <f aca="false">IF(E962&gt;0,F962/E962,"")</f>
        <v>5.85714285714286</v>
      </c>
      <c r="O962" s="2" t="n">
        <f aca="false">IF(AND(E962&gt;0,L962),J962/E962,"")</f>
        <v>18.4285714285714</v>
      </c>
    </row>
    <row r="963" customFormat="false" ht="15" hidden="false" customHeight="false" outlineLevel="0" collapsed="false">
      <c r="A963" s="2" t="n">
        <v>2023</v>
      </c>
      <c r="B963" s="2" t="s">
        <v>451</v>
      </c>
      <c r="C963" s="2" t="s">
        <v>405</v>
      </c>
      <c r="D963" s="2" t="s">
        <v>409</v>
      </c>
      <c r="E963" s="2" t="n">
        <v>10</v>
      </c>
      <c r="F963" s="2" t="n">
        <v>1</v>
      </c>
      <c r="G963" s="2" t="n">
        <v>0</v>
      </c>
      <c r="H963" s="2" t="n">
        <v>0</v>
      </c>
      <c r="I963" s="2" t="n">
        <v>0</v>
      </c>
      <c r="J963" s="2" t="n">
        <v>160</v>
      </c>
      <c r="K963" s="2" t="n">
        <v>166</v>
      </c>
      <c r="L963" s="11" t="b">
        <f aca="false">TRUE()</f>
        <v>1</v>
      </c>
      <c r="M963" s="2" t="s">
        <v>410</v>
      </c>
      <c r="N963" s="2" t="n">
        <f aca="false">IF(E963&gt;0,F963/E963,"")</f>
        <v>0.1</v>
      </c>
      <c r="O963" s="2" t="n">
        <f aca="false">IF(AND(E963&gt;0,L963),J963/E963,"")</f>
        <v>16</v>
      </c>
    </row>
    <row r="964" customFormat="false" ht="15" hidden="false" customHeight="false" outlineLevel="0" collapsed="false">
      <c r="A964" s="2" t="n">
        <v>2023</v>
      </c>
      <c r="B964" s="2" t="s">
        <v>452</v>
      </c>
      <c r="C964" s="2" t="s">
        <v>545</v>
      </c>
      <c r="D964" s="2" t="s">
        <v>413</v>
      </c>
      <c r="E964" s="2" t="n">
        <v>4</v>
      </c>
      <c r="F964" s="2" t="n">
        <v>3</v>
      </c>
      <c r="G964" s="2" t="n">
        <v>2</v>
      </c>
      <c r="H964" s="2" t="n">
        <v>0</v>
      </c>
      <c r="I964" s="2" t="n">
        <v>1</v>
      </c>
      <c r="J964" s="2" t="n">
        <v>17</v>
      </c>
      <c r="K964" s="2" t="n">
        <v>24</v>
      </c>
      <c r="L964" s="11" t="b">
        <f aca="false">TRUE()</f>
        <v>1</v>
      </c>
      <c r="M964" s="2" t="s">
        <v>410</v>
      </c>
      <c r="N964" s="2" t="n">
        <f aca="false">IF(E964&gt;0,F964/E964,"")</f>
        <v>0.75</v>
      </c>
      <c r="O964" s="2" t="n">
        <f aca="false">IF(AND(E964&gt;0,L964),J964/E964,"")</f>
        <v>4.25</v>
      </c>
    </row>
    <row r="965" customFormat="false" ht="15" hidden="false" customHeight="false" outlineLevel="0" collapsed="false">
      <c r="A965" s="2" t="n">
        <v>2023</v>
      </c>
      <c r="B965" s="2" t="s">
        <v>325</v>
      </c>
      <c r="C965" s="2" t="s">
        <v>414</v>
      </c>
      <c r="D965" s="2" t="s">
        <v>115</v>
      </c>
      <c r="E965" s="2" t="n">
        <v>3</v>
      </c>
      <c r="F965" s="2" t="n">
        <v>0</v>
      </c>
      <c r="G965" s="2" t="n">
        <v>0</v>
      </c>
      <c r="H965" s="2" t="n">
        <v>0</v>
      </c>
      <c r="I965" s="2" t="n">
        <v>1</v>
      </c>
      <c r="J965" s="2" t="n">
        <v>20</v>
      </c>
      <c r="K965" s="2" t="n">
        <v>23</v>
      </c>
      <c r="L965" s="11" t="b">
        <f aca="false">TRUE()</f>
        <v>1</v>
      </c>
      <c r="M965" s="2" t="s">
        <v>406</v>
      </c>
      <c r="N965" s="2" t="n">
        <f aca="false">IF(E965&gt;0,F965/E965,"")</f>
        <v>0</v>
      </c>
      <c r="O965" s="2" t="n">
        <f aca="false">IF(AND(E965&gt;0,L965),J965/E965,"")</f>
        <v>6.66666666666667</v>
      </c>
    </row>
    <row r="966" customFormat="false" ht="15" hidden="false" customHeight="false" outlineLevel="0" collapsed="false">
      <c r="A966" s="2" t="n">
        <v>2023</v>
      </c>
      <c r="B966" s="2" t="s">
        <v>319</v>
      </c>
      <c r="C966" s="2" t="s">
        <v>405</v>
      </c>
      <c r="D966" s="2" t="s">
        <v>115</v>
      </c>
      <c r="E966" s="2" t="n">
        <v>9</v>
      </c>
      <c r="F966" s="2" t="n">
        <v>2</v>
      </c>
      <c r="G966" s="2" t="n">
        <v>2</v>
      </c>
      <c r="H966" s="2" t="n">
        <v>1</v>
      </c>
      <c r="I966" s="2" t="n">
        <v>0</v>
      </c>
      <c r="J966" s="2" t="n">
        <v>23</v>
      </c>
      <c r="K966" s="2" t="n">
        <v>28</v>
      </c>
      <c r="L966" s="11" t="b">
        <f aca="false">TRUE()</f>
        <v>1</v>
      </c>
      <c r="M966" s="2" t="s">
        <v>406</v>
      </c>
      <c r="N966" s="2" t="n">
        <f aca="false">IF(E966&gt;0,F966/E966,"")</f>
        <v>0.222222222222222</v>
      </c>
      <c r="O966" s="2" t="n">
        <f aca="false">IF(AND(E966&gt;0,L966),J966/E966,"")</f>
        <v>2.55555555555556</v>
      </c>
    </row>
    <row r="967" customFormat="false" ht="15" hidden="false" customHeight="false" outlineLevel="0" collapsed="false">
      <c r="A967" s="2" t="n">
        <v>2023</v>
      </c>
      <c r="B967" s="2" t="s">
        <v>137</v>
      </c>
      <c r="C967" s="2" t="s">
        <v>414</v>
      </c>
      <c r="D967" s="2" t="s">
        <v>29</v>
      </c>
      <c r="E967" s="2" t="n">
        <v>8</v>
      </c>
      <c r="F967" s="2" t="n">
        <v>14</v>
      </c>
      <c r="G967" s="2" t="n">
        <v>10</v>
      </c>
      <c r="H967" s="2" t="n">
        <v>5</v>
      </c>
      <c r="I967" s="2" t="n">
        <v>2</v>
      </c>
      <c r="J967" s="2" t="n">
        <v>71</v>
      </c>
      <c r="K967" s="2" t="n">
        <v>87</v>
      </c>
      <c r="L967" s="11" t="b">
        <f aca="false">TRUE()</f>
        <v>1</v>
      </c>
      <c r="M967" s="2" t="s">
        <v>406</v>
      </c>
      <c r="N967" s="2" t="n">
        <f aca="false">IF(E967&gt;0,F967/E967,"")</f>
        <v>1.75</v>
      </c>
      <c r="O967" s="2" t="n">
        <f aca="false">IF(AND(E967&gt;0,L967),J967/E967,"")</f>
        <v>8.875</v>
      </c>
    </row>
    <row r="968" customFormat="false" ht="15" hidden="false" customHeight="false" outlineLevel="0" collapsed="false">
      <c r="A968" s="2" t="n">
        <v>2023</v>
      </c>
      <c r="B968" s="2" t="s">
        <v>169</v>
      </c>
      <c r="C968" s="2" t="s">
        <v>545</v>
      </c>
      <c r="D968" s="2" t="s">
        <v>117</v>
      </c>
      <c r="E968" s="2" t="n">
        <v>10</v>
      </c>
      <c r="F968" s="2" t="n">
        <v>2</v>
      </c>
      <c r="G968" s="2" t="n">
        <v>1</v>
      </c>
      <c r="H968" s="2" t="n">
        <v>0</v>
      </c>
      <c r="I968" s="2" t="n">
        <v>0</v>
      </c>
      <c r="J968" s="2" t="n">
        <v>79</v>
      </c>
      <c r="K968" s="2" t="n">
        <v>81</v>
      </c>
      <c r="L968" s="11" t="b">
        <f aca="false">TRUE()</f>
        <v>1</v>
      </c>
      <c r="M968" s="2" t="s">
        <v>406</v>
      </c>
      <c r="N968" s="2" t="n">
        <f aca="false">IF(E968&gt;0,F968/E968,"")</f>
        <v>0.2</v>
      </c>
      <c r="O968" s="2" t="n">
        <f aca="false">IF(AND(E968&gt;0,L968),J968/E968,"")</f>
        <v>7.9</v>
      </c>
    </row>
    <row r="969" customFormat="false" ht="15" hidden="false" customHeight="false" outlineLevel="0" collapsed="false">
      <c r="A969" s="2" t="n">
        <v>2023</v>
      </c>
      <c r="B969" s="2" t="s">
        <v>250</v>
      </c>
      <c r="C969" s="2" t="s">
        <v>418</v>
      </c>
      <c r="D969" s="2" t="s">
        <v>29</v>
      </c>
      <c r="E969" s="2" t="n">
        <v>6</v>
      </c>
      <c r="F969" s="2" t="n">
        <v>12</v>
      </c>
      <c r="G969" s="2" t="n">
        <v>9</v>
      </c>
      <c r="H969" s="2" t="n">
        <v>3</v>
      </c>
      <c r="I969" s="2" t="n">
        <v>5</v>
      </c>
      <c r="J969" s="2" t="n">
        <v>80</v>
      </c>
      <c r="K969" s="2" t="n">
        <v>101</v>
      </c>
      <c r="L969" s="11" t="b">
        <f aca="false">TRUE()</f>
        <v>1</v>
      </c>
      <c r="M969" s="2" t="s">
        <v>406</v>
      </c>
      <c r="N969" s="2" t="n">
        <f aca="false">IF(E969&gt;0,F969/E969,"")</f>
        <v>2</v>
      </c>
      <c r="O969" s="2" t="n">
        <f aca="false">IF(AND(E969&gt;0,L969),J969/E969,"")</f>
        <v>13.3333333333333</v>
      </c>
    </row>
    <row r="970" customFormat="false" ht="15" hidden="false" customHeight="false" outlineLevel="0" collapsed="false">
      <c r="A970" s="2" t="n">
        <v>2023</v>
      </c>
      <c r="B970" s="2" t="s">
        <v>132</v>
      </c>
      <c r="C970" s="2" t="s">
        <v>405</v>
      </c>
      <c r="D970" s="2" t="s">
        <v>29</v>
      </c>
      <c r="E970" s="2" t="n">
        <v>7</v>
      </c>
      <c r="F970" s="2" t="n">
        <v>35</v>
      </c>
      <c r="G970" s="2" t="n">
        <v>26</v>
      </c>
      <c r="H970" s="2" t="n">
        <v>13</v>
      </c>
      <c r="I970" s="2" t="n">
        <v>5</v>
      </c>
      <c r="J970" s="2" t="n">
        <v>113</v>
      </c>
      <c r="K970" s="2" t="n">
        <v>150</v>
      </c>
      <c r="L970" s="11" t="b">
        <f aca="false">TRUE()</f>
        <v>1</v>
      </c>
      <c r="M970" s="2" t="s">
        <v>406</v>
      </c>
      <c r="N970" s="2" t="n">
        <f aca="false">IF(E970&gt;0,F970/E970,"")</f>
        <v>5</v>
      </c>
      <c r="O970" s="2" t="n">
        <f aca="false">IF(AND(E970&gt;0,L970),J970/E970,"")</f>
        <v>16.1428571428571</v>
      </c>
    </row>
    <row r="971" customFormat="false" ht="15" hidden="false" customHeight="false" outlineLevel="0" collapsed="false">
      <c r="A971" s="2" t="n">
        <v>2023</v>
      </c>
      <c r="B971" s="2" t="s">
        <v>593</v>
      </c>
      <c r="C971" s="2" t="s">
        <v>545</v>
      </c>
      <c r="D971" s="2" t="s">
        <v>409</v>
      </c>
      <c r="E971" s="2" t="n">
        <v>9</v>
      </c>
      <c r="F971" s="2" t="n">
        <v>0</v>
      </c>
      <c r="G971" s="2" t="n">
        <v>0</v>
      </c>
      <c r="H971" s="2" t="n">
        <v>0</v>
      </c>
      <c r="I971" s="2" t="n">
        <v>1</v>
      </c>
      <c r="J971" s="2" t="n">
        <v>154</v>
      </c>
      <c r="K971" s="2" t="n">
        <v>161</v>
      </c>
      <c r="L971" s="11" t="b">
        <f aca="false">TRUE()</f>
        <v>1</v>
      </c>
      <c r="M971" s="2" t="s">
        <v>410</v>
      </c>
      <c r="N971" s="2" t="n">
        <f aca="false">IF(E971&gt;0,F971/E971,"")</f>
        <v>0</v>
      </c>
      <c r="O971" s="2" t="n">
        <f aca="false">IF(AND(E971&gt;0,L971),J971/E971,"")</f>
        <v>17.1111111111111</v>
      </c>
    </row>
    <row r="972" customFormat="false" ht="15" hidden="false" customHeight="false" outlineLevel="0" collapsed="false">
      <c r="A972" s="2" t="n">
        <v>2023</v>
      </c>
      <c r="B972" s="2" t="s">
        <v>82</v>
      </c>
      <c r="C972" s="2" t="s">
        <v>414</v>
      </c>
      <c r="D972" s="2" t="s">
        <v>83</v>
      </c>
      <c r="E972" s="2" t="n">
        <v>10</v>
      </c>
      <c r="F972" s="2" t="n">
        <v>17</v>
      </c>
      <c r="G972" s="2" t="n">
        <v>10</v>
      </c>
      <c r="H972" s="2" t="n">
        <v>7</v>
      </c>
      <c r="I972" s="2" t="n">
        <v>1</v>
      </c>
      <c r="J972" s="2" t="n">
        <v>79</v>
      </c>
      <c r="K972" s="2" t="n">
        <v>101</v>
      </c>
      <c r="L972" s="11" t="b">
        <f aca="false">TRUE()</f>
        <v>1</v>
      </c>
      <c r="M972" s="2" t="s">
        <v>406</v>
      </c>
      <c r="N972" s="2" t="n">
        <f aca="false">IF(E972&gt;0,F972/E972,"")</f>
        <v>1.7</v>
      </c>
      <c r="O972" s="2" t="n">
        <f aca="false">IF(AND(E972&gt;0,L972),J972/E972,"")</f>
        <v>7.9</v>
      </c>
    </row>
    <row r="973" customFormat="false" ht="15" hidden="false" customHeight="false" outlineLevel="0" collapsed="false">
      <c r="A973" s="2" t="n">
        <v>2023</v>
      </c>
      <c r="B973" s="2" t="s">
        <v>359</v>
      </c>
      <c r="C973" s="2" t="s">
        <v>518</v>
      </c>
      <c r="D973" s="2" t="s">
        <v>24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11" t="b">
        <f aca="false">TRUE()</f>
        <v>1</v>
      </c>
      <c r="M973" s="2" t="s">
        <v>410</v>
      </c>
      <c r="N973" s="2" t="str">
        <f aca="false">IF(E973&gt;0,F973/E973,"")</f>
        <v/>
      </c>
      <c r="O973" s="2" t="str">
        <f aca="false">IF(AND(E973&gt;0,L973),J973/E973,"")</f>
        <v/>
      </c>
    </row>
    <row r="974" customFormat="false" ht="15" hidden="false" customHeight="false" outlineLevel="0" collapsed="false">
      <c r="A974" s="2" t="n">
        <v>2023</v>
      </c>
      <c r="B974" s="2" t="s">
        <v>610</v>
      </c>
      <c r="C974" s="2" t="s">
        <v>414</v>
      </c>
      <c r="D974" s="2" t="s">
        <v>409</v>
      </c>
      <c r="E974" s="2" t="n">
        <v>4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70</v>
      </c>
      <c r="K974" s="2" t="n">
        <v>72</v>
      </c>
      <c r="L974" s="11" t="b">
        <f aca="false">TRUE()</f>
        <v>1</v>
      </c>
      <c r="M974" s="2" t="s">
        <v>410</v>
      </c>
      <c r="N974" s="2" t="n">
        <f aca="false">IF(E974&gt;0,F974/E974,"")</f>
        <v>0</v>
      </c>
      <c r="O974" s="2" t="n">
        <f aca="false">IF(AND(E974&gt;0,L974),J974/E974,"")</f>
        <v>17.5</v>
      </c>
    </row>
    <row r="975" customFormat="false" ht="15" hidden="false" customHeight="false" outlineLevel="0" collapsed="false">
      <c r="A975" s="2" t="n">
        <v>2023</v>
      </c>
      <c r="B975" s="2" t="s">
        <v>122</v>
      </c>
      <c r="C975" s="2" t="s">
        <v>420</v>
      </c>
      <c r="D975" s="2" t="s">
        <v>24</v>
      </c>
      <c r="E975" s="2" t="n">
        <v>6</v>
      </c>
      <c r="F975" s="2" t="n">
        <v>32</v>
      </c>
      <c r="G975" s="2" t="n">
        <v>23</v>
      </c>
      <c r="H975" s="2" t="n">
        <v>11</v>
      </c>
      <c r="I975" s="2" t="n">
        <v>2</v>
      </c>
      <c r="J975" s="2" t="n">
        <v>89</v>
      </c>
      <c r="K975" s="2" t="n">
        <v>129</v>
      </c>
      <c r="L975" s="11" t="b">
        <f aca="false">TRUE()</f>
        <v>1</v>
      </c>
      <c r="M975" s="2" t="s">
        <v>406</v>
      </c>
      <c r="N975" s="2" t="n">
        <f aca="false">IF(E975&gt;0,F975/E975,"")</f>
        <v>5.33333333333333</v>
      </c>
      <c r="O975" s="2" t="n">
        <f aca="false">IF(AND(E975&gt;0,L975),J975/E975,"")</f>
        <v>14.8333333333333</v>
      </c>
    </row>
    <row r="976" customFormat="false" ht="15" hidden="false" customHeight="false" outlineLevel="0" collapsed="false">
      <c r="A976" s="2" t="n">
        <v>2023</v>
      </c>
      <c r="B976" s="2" t="s">
        <v>611</v>
      </c>
      <c r="C976" s="2" t="s">
        <v>414</v>
      </c>
      <c r="D976" s="2" t="s">
        <v>413</v>
      </c>
      <c r="E976" s="2" t="n">
        <v>10</v>
      </c>
      <c r="F976" s="2" t="n">
        <v>8</v>
      </c>
      <c r="G976" s="2" t="n">
        <v>5</v>
      </c>
      <c r="H976" s="2" t="n">
        <v>2</v>
      </c>
      <c r="I976" s="2" t="n">
        <v>0</v>
      </c>
      <c r="J976" s="2" t="n">
        <v>92</v>
      </c>
      <c r="K976" s="2" t="n">
        <v>111</v>
      </c>
      <c r="L976" s="11" t="b">
        <f aca="false">TRUE()</f>
        <v>1</v>
      </c>
      <c r="M976" s="2" t="s">
        <v>410</v>
      </c>
      <c r="N976" s="2" t="n">
        <f aca="false">IF(E976&gt;0,F976/E976,"")</f>
        <v>0.8</v>
      </c>
      <c r="O976" s="2" t="n">
        <f aca="false">IF(AND(E976&gt;0,L976),J976/E976,"")</f>
        <v>9.2</v>
      </c>
    </row>
    <row r="977" customFormat="false" ht="15" hidden="false" customHeight="false" outlineLevel="0" collapsed="false">
      <c r="A977" s="2" t="n">
        <v>2023</v>
      </c>
      <c r="B977" s="2" t="s">
        <v>68</v>
      </c>
      <c r="C977" s="2" t="s">
        <v>412</v>
      </c>
      <c r="D977" s="2" t="s">
        <v>24</v>
      </c>
      <c r="E977" s="2" t="n">
        <v>10</v>
      </c>
      <c r="F977" s="2" t="n">
        <v>43</v>
      </c>
      <c r="G977" s="2" t="n">
        <v>35</v>
      </c>
      <c r="H977" s="2" t="n">
        <v>22</v>
      </c>
      <c r="I977" s="2" t="n">
        <v>5</v>
      </c>
      <c r="J977" s="2" t="n">
        <v>208</v>
      </c>
      <c r="K977" s="2" t="n">
        <v>266</v>
      </c>
      <c r="L977" s="11" t="b">
        <f aca="false">TRUE()</f>
        <v>1</v>
      </c>
      <c r="M977" s="2" t="s">
        <v>406</v>
      </c>
      <c r="N977" s="2" t="n">
        <f aca="false">IF(E977&gt;0,F977/E977,"")</f>
        <v>4.3</v>
      </c>
      <c r="O977" s="2" t="n">
        <f aca="false">IF(AND(E977&gt;0,L977),J977/E977,"")</f>
        <v>20.8</v>
      </c>
    </row>
    <row r="978" customFormat="false" ht="15" hidden="false" customHeight="false" outlineLevel="0" collapsed="false">
      <c r="A978" s="2" t="n">
        <v>2023</v>
      </c>
      <c r="B978" s="2" t="s">
        <v>216</v>
      </c>
      <c r="C978" s="2" t="s">
        <v>414</v>
      </c>
      <c r="D978" s="2" t="s">
        <v>29</v>
      </c>
      <c r="E978" s="2" t="n">
        <v>5</v>
      </c>
      <c r="F978" s="2" t="n">
        <v>12</v>
      </c>
      <c r="G978" s="2" t="n">
        <v>7</v>
      </c>
      <c r="H978" s="2" t="n">
        <v>2</v>
      </c>
      <c r="I978" s="2" t="n">
        <v>1</v>
      </c>
      <c r="J978" s="2" t="n">
        <v>38</v>
      </c>
      <c r="K978" s="2" t="n">
        <v>54</v>
      </c>
      <c r="L978" s="11" t="b">
        <f aca="false">TRUE()</f>
        <v>1</v>
      </c>
      <c r="M978" s="2" t="s">
        <v>406</v>
      </c>
      <c r="N978" s="2" t="n">
        <f aca="false">IF(E978&gt;0,F978/E978,"")</f>
        <v>2.4</v>
      </c>
      <c r="O978" s="2" t="n">
        <f aca="false">IF(AND(E978&gt;0,L978),J978/E978,"")</f>
        <v>7.6</v>
      </c>
    </row>
    <row r="979" customFormat="false" ht="15" hidden="false" customHeight="false" outlineLevel="0" collapsed="false">
      <c r="A979" s="2" t="n">
        <v>2023</v>
      </c>
      <c r="B979" s="2" t="s">
        <v>48</v>
      </c>
      <c r="C979" s="2" t="s">
        <v>408</v>
      </c>
      <c r="D979" s="2" t="s">
        <v>29</v>
      </c>
      <c r="E979" s="2" t="n">
        <v>10</v>
      </c>
      <c r="F979" s="2" t="n">
        <v>39</v>
      </c>
      <c r="G979" s="2" t="n">
        <v>26</v>
      </c>
      <c r="H979" s="2" t="n">
        <v>14</v>
      </c>
      <c r="I979" s="2" t="n">
        <v>4</v>
      </c>
      <c r="J979" s="2" t="n">
        <v>197</v>
      </c>
      <c r="K979" s="2" t="n">
        <v>246</v>
      </c>
      <c r="L979" s="11" t="b">
        <f aca="false">TRUE()</f>
        <v>1</v>
      </c>
      <c r="M979" s="2" t="s">
        <v>406</v>
      </c>
      <c r="N979" s="2" t="n">
        <f aca="false">IF(E979&gt;0,F979/E979,"")</f>
        <v>3.9</v>
      </c>
      <c r="O979" s="2" t="n">
        <f aca="false">IF(AND(E979&gt;0,L979),J979/E979,"")</f>
        <v>19.7</v>
      </c>
    </row>
    <row r="980" customFormat="false" ht="15" hidden="false" customHeight="false" outlineLevel="0" collapsed="false">
      <c r="A980" s="2" t="n">
        <v>2023</v>
      </c>
      <c r="B980" s="2" t="s">
        <v>562</v>
      </c>
      <c r="C980" s="2" t="s">
        <v>405</v>
      </c>
      <c r="D980" s="2" t="s">
        <v>24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11" t="b">
        <f aca="false">TRUE()</f>
        <v>1</v>
      </c>
      <c r="M980" s="2" t="s">
        <v>410</v>
      </c>
      <c r="N980" s="2" t="str">
        <f aca="false">IF(E980&gt;0,F980/E980,"")</f>
        <v/>
      </c>
      <c r="O980" s="2" t="str">
        <f aca="false">IF(AND(E980&gt;0,L980),J980/E980,"")</f>
        <v/>
      </c>
    </row>
    <row r="981" customFormat="false" ht="15" hidden="false" customHeight="false" outlineLevel="0" collapsed="false">
      <c r="A981" s="2" t="n">
        <v>2023</v>
      </c>
      <c r="B981" s="2" t="s">
        <v>338</v>
      </c>
      <c r="C981" s="2" t="s">
        <v>420</v>
      </c>
      <c r="D981" s="2" t="s">
        <v>24</v>
      </c>
      <c r="E981" s="2" t="n">
        <v>2</v>
      </c>
      <c r="F981" s="2" t="n">
        <v>4</v>
      </c>
      <c r="G981" s="2" t="n">
        <v>2</v>
      </c>
      <c r="H981" s="2" t="n">
        <v>1</v>
      </c>
      <c r="I981" s="2" t="n">
        <v>0</v>
      </c>
      <c r="J981" s="2" t="n">
        <v>17</v>
      </c>
      <c r="K981" s="2" t="n">
        <v>22</v>
      </c>
      <c r="L981" s="11" t="b">
        <f aca="false">TRUE()</f>
        <v>1</v>
      </c>
      <c r="M981" s="2" t="s">
        <v>410</v>
      </c>
      <c r="N981" s="2" t="n">
        <f aca="false">IF(E981&gt;0,F981/E981,"")</f>
        <v>2</v>
      </c>
      <c r="O981" s="2" t="n">
        <f aca="false">IF(AND(E981&gt;0,L981),J981/E981,"")</f>
        <v>8.5</v>
      </c>
    </row>
    <row r="982" customFormat="false" ht="15" hidden="false" customHeight="false" outlineLevel="0" collapsed="false">
      <c r="A982" s="2" t="n">
        <v>2023</v>
      </c>
      <c r="B982" s="2" t="s">
        <v>123</v>
      </c>
      <c r="C982" s="2" t="s">
        <v>412</v>
      </c>
      <c r="D982" s="2" t="s">
        <v>83</v>
      </c>
      <c r="E982" s="2" t="n">
        <v>9</v>
      </c>
      <c r="F982" s="2" t="n">
        <v>10</v>
      </c>
      <c r="G982" s="2" t="n">
        <v>8</v>
      </c>
      <c r="H982" s="2" t="n">
        <v>4</v>
      </c>
      <c r="I982" s="2" t="n">
        <v>0</v>
      </c>
      <c r="J982" s="2" t="n">
        <v>56</v>
      </c>
      <c r="K982" s="2" t="n">
        <v>71</v>
      </c>
      <c r="L982" s="11" t="b">
        <f aca="false">TRUE()</f>
        <v>1</v>
      </c>
      <c r="M982" s="2" t="s">
        <v>406</v>
      </c>
      <c r="N982" s="2" t="n">
        <f aca="false">IF(E982&gt;0,F982/E982,"")</f>
        <v>1.11111111111111</v>
      </c>
      <c r="O982" s="2" t="n">
        <f aca="false">IF(AND(E982&gt;0,L982),J982/E982,"")</f>
        <v>6.22222222222222</v>
      </c>
    </row>
    <row r="983" customFormat="false" ht="15" hidden="false" customHeight="false" outlineLevel="0" collapsed="false">
      <c r="A983" s="2" t="n">
        <v>2023</v>
      </c>
      <c r="B983" s="2" t="s">
        <v>279</v>
      </c>
      <c r="C983" s="2" t="s">
        <v>543</v>
      </c>
      <c r="D983" s="2" t="s">
        <v>29</v>
      </c>
      <c r="E983" s="2" t="n">
        <v>2</v>
      </c>
      <c r="F983" s="2" t="n">
        <v>10</v>
      </c>
      <c r="G983" s="2" t="n">
        <v>8</v>
      </c>
      <c r="H983" s="2" t="n">
        <v>0</v>
      </c>
      <c r="I983" s="2" t="n">
        <v>0</v>
      </c>
      <c r="J983" s="2" t="n">
        <v>48</v>
      </c>
      <c r="K983" s="2" t="n">
        <v>62</v>
      </c>
      <c r="L983" s="11" t="b">
        <f aca="false">TRUE()</f>
        <v>1</v>
      </c>
      <c r="M983" s="2" t="s">
        <v>410</v>
      </c>
      <c r="N983" s="2" t="n">
        <f aca="false">IF(E983&gt;0,F983/E983,"")</f>
        <v>5</v>
      </c>
      <c r="O983" s="2" t="n">
        <f aca="false">IF(AND(E983&gt;0,L983),J983/E983,"")</f>
        <v>24</v>
      </c>
    </row>
    <row r="984" customFormat="false" ht="15" hidden="false" customHeight="false" outlineLevel="0" collapsed="false">
      <c r="A984" s="2" t="n">
        <v>2023</v>
      </c>
      <c r="B984" s="2" t="s">
        <v>126</v>
      </c>
      <c r="C984" s="2" t="s">
        <v>418</v>
      </c>
      <c r="D984" s="2" t="s">
        <v>29</v>
      </c>
      <c r="E984" s="2" t="n">
        <v>9</v>
      </c>
      <c r="F984" s="2" t="n">
        <v>22</v>
      </c>
      <c r="G984" s="2" t="n">
        <v>12</v>
      </c>
      <c r="H984" s="2" t="n">
        <v>5</v>
      </c>
      <c r="I984" s="2" t="n">
        <v>1</v>
      </c>
      <c r="J984" s="2" t="n">
        <v>93</v>
      </c>
      <c r="K984" s="2" t="n">
        <v>0</v>
      </c>
      <c r="L984" s="11" t="b">
        <f aca="false">TRUE()</f>
        <v>1</v>
      </c>
      <c r="M984" s="2" t="s">
        <v>406</v>
      </c>
      <c r="N984" s="2" t="n">
        <f aca="false">IF(E984&gt;0,F984/E984,"")</f>
        <v>2.44444444444444</v>
      </c>
      <c r="O984" s="2" t="n">
        <f aca="false">IF(AND(E984&gt;0,L984),J984/E984,"")</f>
        <v>10.3333333333333</v>
      </c>
    </row>
    <row r="985" customFormat="false" ht="15" hidden="false" customHeight="false" outlineLevel="0" collapsed="false">
      <c r="A985" s="2" t="n">
        <v>2023</v>
      </c>
      <c r="B985" s="2" t="s">
        <v>150</v>
      </c>
      <c r="C985" s="2" t="s">
        <v>420</v>
      </c>
      <c r="D985" s="2" t="s">
        <v>83</v>
      </c>
      <c r="E985" s="2" t="n">
        <v>9</v>
      </c>
      <c r="F985" s="2" t="n">
        <v>26</v>
      </c>
      <c r="G985" s="2" t="n">
        <v>15</v>
      </c>
      <c r="H985" s="2" t="n">
        <v>8</v>
      </c>
      <c r="I985" s="2" t="n">
        <v>3</v>
      </c>
      <c r="J985" s="2" t="n">
        <v>57</v>
      </c>
      <c r="K985" s="2" t="n">
        <v>88</v>
      </c>
      <c r="L985" s="11" t="b">
        <f aca="false">TRUE()</f>
        <v>1</v>
      </c>
      <c r="M985" s="2" t="s">
        <v>406</v>
      </c>
      <c r="N985" s="2" t="n">
        <f aca="false">IF(E985&gt;0,F985/E985,"")</f>
        <v>2.88888888888889</v>
      </c>
      <c r="O985" s="2" t="n">
        <f aca="false">IF(AND(E985&gt;0,L985),J985/E985,"")</f>
        <v>6.33333333333333</v>
      </c>
    </row>
    <row r="986" customFormat="false" ht="15" hidden="false" customHeight="false" outlineLevel="0" collapsed="false">
      <c r="A986" s="2" t="n">
        <v>2023</v>
      </c>
      <c r="B986" s="2" t="s">
        <v>160</v>
      </c>
      <c r="C986" s="2" t="s">
        <v>408</v>
      </c>
      <c r="D986" s="2" t="s">
        <v>83</v>
      </c>
      <c r="E986" s="2" t="n">
        <v>10</v>
      </c>
      <c r="F986" s="2" t="n">
        <v>9</v>
      </c>
      <c r="G986" s="2" t="n">
        <v>8</v>
      </c>
      <c r="H986" s="2" t="n">
        <v>5</v>
      </c>
      <c r="I986" s="2" t="n">
        <v>1</v>
      </c>
      <c r="J986" s="2" t="n">
        <v>49</v>
      </c>
      <c r="K986" s="2" t="n">
        <v>62</v>
      </c>
      <c r="L986" s="11" t="b">
        <f aca="false">TRUE()</f>
        <v>1</v>
      </c>
      <c r="M986" s="2" t="s">
        <v>406</v>
      </c>
      <c r="N986" s="2" t="n">
        <f aca="false">IF(E986&gt;0,F986/E986,"")</f>
        <v>0.9</v>
      </c>
      <c r="O986" s="2" t="n">
        <f aca="false">IF(AND(E986&gt;0,L986),J986/E986,"")</f>
        <v>4.9</v>
      </c>
    </row>
    <row r="987" customFormat="false" ht="15" hidden="false" customHeight="false" outlineLevel="0" collapsed="false">
      <c r="A987" s="2" t="n">
        <v>2023</v>
      </c>
      <c r="B987" s="2" t="s">
        <v>128</v>
      </c>
      <c r="C987" s="2" t="s">
        <v>412</v>
      </c>
      <c r="D987" s="2" t="s">
        <v>115</v>
      </c>
      <c r="E987" s="2" t="n">
        <v>10</v>
      </c>
      <c r="F987" s="2" t="n">
        <v>2</v>
      </c>
      <c r="G987" s="2" t="n">
        <v>1</v>
      </c>
      <c r="H987" s="2" t="n">
        <v>0</v>
      </c>
      <c r="I987" s="2" t="n">
        <v>0</v>
      </c>
      <c r="J987" s="2" t="n">
        <v>79</v>
      </c>
      <c r="K987" s="2" t="n">
        <v>85</v>
      </c>
      <c r="L987" s="11" t="b">
        <f aca="false">TRUE()</f>
        <v>1</v>
      </c>
      <c r="M987" s="2" t="s">
        <v>406</v>
      </c>
      <c r="N987" s="2" t="n">
        <f aca="false">IF(E987&gt;0,F987/E987,"")</f>
        <v>0.2</v>
      </c>
      <c r="O987" s="2" t="n">
        <f aca="false">IF(AND(E987&gt;0,L987),J987/E987,"")</f>
        <v>7.9</v>
      </c>
    </row>
    <row r="988" customFormat="false" ht="15" hidden="false" customHeight="false" outlineLevel="0" collapsed="false">
      <c r="A988" s="2" t="n">
        <v>2023</v>
      </c>
      <c r="B988" s="2" t="s">
        <v>116</v>
      </c>
      <c r="C988" s="2" t="s">
        <v>418</v>
      </c>
      <c r="D988" s="2" t="s">
        <v>117</v>
      </c>
      <c r="E988" s="2" t="n">
        <v>10</v>
      </c>
      <c r="F988" s="2" t="n">
        <v>12</v>
      </c>
      <c r="G988" s="2" t="n">
        <v>8</v>
      </c>
      <c r="H988" s="2" t="n">
        <v>2</v>
      </c>
      <c r="I988" s="2" t="n">
        <v>0</v>
      </c>
      <c r="J988" s="2" t="n">
        <v>89</v>
      </c>
      <c r="K988" s="2" t="n">
        <v>107</v>
      </c>
      <c r="L988" s="11" t="b">
        <f aca="false">TRUE()</f>
        <v>1</v>
      </c>
      <c r="M988" s="2" t="s">
        <v>406</v>
      </c>
      <c r="N988" s="2" t="n">
        <f aca="false">IF(E988&gt;0,F988/E988,"")</f>
        <v>1.2</v>
      </c>
      <c r="O988" s="2" t="n">
        <f aca="false">IF(AND(E988&gt;0,L988),J988/E988,"")</f>
        <v>8.9</v>
      </c>
    </row>
    <row r="989" customFormat="false" ht="15" hidden="false" customHeight="false" outlineLevel="0" collapsed="false">
      <c r="A989" s="2" t="n">
        <v>2023</v>
      </c>
      <c r="B989" s="2" t="s">
        <v>64</v>
      </c>
      <c r="C989" s="2" t="s">
        <v>414</v>
      </c>
      <c r="D989" s="2" t="s">
        <v>24</v>
      </c>
      <c r="E989" s="2" t="n">
        <v>10</v>
      </c>
      <c r="F989" s="2" t="n">
        <v>55</v>
      </c>
      <c r="G989" s="2" t="n">
        <v>38</v>
      </c>
      <c r="H989" s="2" t="n">
        <v>15</v>
      </c>
      <c r="I989" s="2" t="n">
        <v>16</v>
      </c>
      <c r="J989" s="2" t="n">
        <v>202</v>
      </c>
      <c r="K989" s="2" t="n">
        <v>268</v>
      </c>
      <c r="L989" s="11" t="b">
        <f aca="false">TRUE()</f>
        <v>1</v>
      </c>
      <c r="M989" s="2" t="s">
        <v>406</v>
      </c>
      <c r="N989" s="2" t="n">
        <f aca="false">IF(E989&gt;0,F989/E989,"")</f>
        <v>5.5</v>
      </c>
      <c r="O989" s="2" t="n">
        <f aca="false">IF(AND(E989&gt;0,L989),J989/E989,"")</f>
        <v>20.2</v>
      </c>
    </row>
    <row r="990" customFormat="false" ht="15" hidden="false" customHeight="false" outlineLevel="0" collapsed="false">
      <c r="A990" s="2" t="n">
        <v>2023</v>
      </c>
      <c r="B990" s="2" t="s">
        <v>281</v>
      </c>
      <c r="C990" s="2" t="s">
        <v>518</v>
      </c>
      <c r="D990" s="2" t="s">
        <v>115</v>
      </c>
      <c r="E990" s="2" t="n">
        <v>6</v>
      </c>
      <c r="F990" s="2" t="n">
        <v>2</v>
      </c>
      <c r="G990" s="2" t="n">
        <v>0</v>
      </c>
      <c r="H990" s="2" t="n">
        <v>0</v>
      </c>
      <c r="I990" s="2" t="n">
        <v>0</v>
      </c>
      <c r="J990" s="2" t="n">
        <v>34</v>
      </c>
      <c r="K990" s="2" t="n">
        <v>38</v>
      </c>
      <c r="L990" s="11" t="b">
        <f aca="false">TRUE()</f>
        <v>1</v>
      </c>
      <c r="M990" s="2" t="s">
        <v>406</v>
      </c>
      <c r="N990" s="2" t="n">
        <f aca="false">IF(E990&gt;0,F990/E990,"")</f>
        <v>0.333333333333333</v>
      </c>
      <c r="O990" s="2" t="n">
        <f aca="false">IF(AND(E990&gt;0,L990),J990/E990,"")</f>
        <v>5.66666666666667</v>
      </c>
    </row>
    <row r="991" customFormat="false" ht="15" hidden="false" customHeight="false" outlineLevel="0" collapsed="false">
      <c r="A991" s="2" t="n">
        <v>2023</v>
      </c>
      <c r="B991" s="2" t="s">
        <v>27</v>
      </c>
      <c r="C991" s="2" t="s">
        <v>518</v>
      </c>
      <c r="D991" s="2" t="s">
        <v>24</v>
      </c>
      <c r="E991" s="2" t="n">
        <v>10</v>
      </c>
      <c r="F991" s="2" t="n">
        <v>70</v>
      </c>
      <c r="G991" s="2" t="n">
        <v>46</v>
      </c>
      <c r="H991" s="2" t="n">
        <v>20</v>
      </c>
      <c r="I991" s="2" t="n">
        <v>14</v>
      </c>
      <c r="J991" s="2" t="n">
        <v>236</v>
      </c>
      <c r="K991" s="2" t="n">
        <v>330</v>
      </c>
      <c r="L991" s="11" t="b">
        <f aca="false">TRUE()</f>
        <v>1</v>
      </c>
      <c r="M991" s="2" t="s">
        <v>406</v>
      </c>
      <c r="N991" s="2" t="n">
        <f aca="false">IF(E991&gt;0,F991/E991,"")</f>
        <v>7</v>
      </c>
      <c r="O991" s="2" t="n">
        <f aca="false">IF(AND(E991&gt;0,L991),J991/E991,"")</f>
        <v>23.6</v>
      </c>
    </row>
    <row r="992" customFormat="false" ht="15" hidden="false" customHeight="false" outlineLevel="0" collapsed="false">
      <c r="A992" s="2" t="n">
        <v>2023</v>
      </c>
      <c r="B992" s="2" t="s">
        <v>119</v>
      </c>
      <c r="C992" s="2" t="s">
        <v>518</v>
      </c>
      <c r="D992" s="2" t="s">
        <v>29</v>
      </c>
      <c r="E992" s="2" t="n">
        <v>4</v>
      </c>
      <c r="F992" s="2" t="n">
        <v>8</v>
      </c>
      <c r="G992" s="2" t="n">
        <v>5</v>
      </c>
      <c r="H992" s="2" t="n">
        <v>4</v>
      </c>
      <c r="I992" s="2" t="n">
        <v>2</v>
      </c>
      <c r="J992" s="2" t="n">
        <v>36</v>
      </c>
      <c r="K992" s="2" t="n">
        <v>47</v>
      </c>
      <c r="L992" s="11" t="b">
        <f aca="false">TRUE()</f>
        <v>1</v>
      </c>
      <c r="M992" s="2" t="s">
        <v>406</v>
      </c>
      <c r="N992" s="2" t="n">
        <f aca="false">IF(E992&gt;0,F992/E992,"")</f>
        <v>2</v>
      </c>
      <c r="O992" s="2" t="n">
        <f aca="false">IF(AND(E992&gt;0,L992),J992/E992,"")</f>
        <v>9</v>
      </c>
    </row>
    <row r="993" customFormat="false" ht="15" hidden="false" customHeight="false" outlineLevel="0" collapsed="false">
      <c r="A993" s="2" t="n">
        <v>2023</v>
      </c>
      <c r="B993" s="2" t="s">
        <v>595</v>
      </c>
      <c r="C993" s="2" t="s">
        <v>418</v>
      </c>
      <c r="D993" s="2" t="s">
        <v>409</v>
      </c>
      <c r="E993" s="2" t="n">
        <v>4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21</v>
      </c>
      <c r="K993" s="2" t="n">
        <v>22</v>
      </c>
      <c r="L993" s="11" t="b">
        <f aca="false">TRUE()</f>
        <v>1</v>
      </c>
      <c r="M993" s="2" t="s">
        <v>410</v>
      </c>
      <c r="N993" s="2" t="n">
        <f aca="false">IF(E993&gt;0,F993/E993,"")</f>
        <v>0</v>
      </c>
      <c r="O993" s="2" t="n">
        <f aca="false">IF(AND(E993&gt;0,L993),J993/E993,"")</f>
        <v>5.25</v>
      </c>
    </row>
    <row r="994" customFormat="false" ht="15" hidden="false" customHeight="false" outlineLevel="0" collapsed="false">
      <c r="A994" s="2" t="n">
        <v>2023</v>
      </c>
      <c r="B994" s="2" t="s">
        <v>612</v>
      </c>
      <c r="C994" s="2" t="s">
        <v>405</v>
      </c>
      <c r="D994" s="2" t="s">
        <v>29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11" t="b">
        <f aca="false">TRUE()</f>
        <v>1</v>
      </c>
      <c r="M994" s="2" t="s">
        <v>410</v>
      </c>
      <c r="N994" s="2" t="str">
        <f aca="false">IF(E994&gt;0,F994/E994,"")</f>
        <v/>
      </c>
      <c r="O994" s="2" t="str">
        <f aca="false">IF(AND(E994&gt;0,L994),J994/E994,"")</f>
        <v/>
      </c>
    </row>
    <row r="995" customFormat="false" ht="15" hidden="false" customHeight="false" outlineLevel="0" collapsed="false">
      <c r="A995" s="2" t="n">
        <v>2023</v>
      </c>
      <c r="B995" s="2" t="s">
        <v>309</v>
      </c>
      <c r="C995" s="2" t="s">
        <v>408</v>
      </c>
      <c r="D995" s="2" t="s">
        <v>117</v>
      </c>
      <c r="E995" s="2" t="n">
        <v>10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34</v>
      </c>
      <c r="K995" s="2" t="n">
        <v>36</v>
      </c>
      <c r="L995" s="11" t="b">
        <f aca="false">TRUE()</f>
        <v>1</v>
      </c>
      <c r="M995" s="2" t="s">
        <v>406</v>
      </c>
      <c r="N995" s="2" t="n">
        <f aca="false">IF(E995&gt;0,F995/E995,"")</f>
        <v>0</v>
      </c>
      <c r="O995" s="2" t="n">
        <f aca="false">IF(AND(E995&gt;0,L995),J995/E995,"")</f>
        <v>3.4</v>
      </c>
    </row>
    <row r="996" customFormat="false" ht="15" hidden="false" customHeight="false" outlineLevel="0" collapsed="false">
      <c r="A996" s="2" t="n">
        <v>2023</v>
      </c>
      <c r="B996" s="2" t="s">
        <v>337</v>
      </c>
      <c r="C996" s="2" t="s">
        <v>545</v>
      </c>
      <c r="D996" s="2" t="s">
        <v>83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11" t="b">
        <f aca="false">TRUE()</f>
        <v>1</v>
      </c>
      <c r="M996" s="2" t="s">
        <v>410</v>
      </c>
      <c r="N996" s="2" t="str">
        <f aca="false">IF(E996&gt;0,F996/E996,"")</f>
        <v/>
      </c>
      <c r="O996" s="2" t="str">
        <f aca="false">IF(AND(E996&gt;0,L996),J996/E996,"")</f>
        <v/>
      </c>
    </row>
    <row r="997" customFormat="false" ht="15" hidden="false" customHeight="false" outlineLevel="0" collapsed="false">
      <c r="A997" s="2" t="n">
        <v>2023</v>
      </c>
      <c r="B997" s="2" t="s">
        <v>372</v>
      </c>
      <c r="C997" s="2" t="s">
        <v>420</v>
      </c>
      <c r="D997" s="2" t="s">
        <v>115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11" t="b">
        <f aca="false">TRUE()</f>
        <v>1</v>
      </c>
      <c r="M997" s="2" t="s">
        <v>410</v>
      </c>
      <c r="N997" s="2" t="str">
        <f aca="false">IF(E997&gt;0,F997/E997,"")</f>
        <v/>
      </c>
      <c r="O997" s="2" t="str">
        <f aca="false">IF(AND(E997&gt;0,L997),J997/E997,"")</f>
        <v/>
      </c>
    </row>
    <row r="998" customFormat="false" ht="15" hidden="false" customHeight="false" outlineLevel="0" collapsed="false">
      <c r="A998" s="2" t="n">
        <v>2023</v>
      </c>
      <c r="B998" s="2" t="s">
        <v>203</v>
      </c>
      <c r="C998" s="2" t="s">
        <v>405</v>
      </c>
      <c r="D998" s="2" t="s">
        <v>83</v>
      </c>
      <c r="E998" s="2" t="n">
        <v>6</v>
      </c>
      <c r="F998" s="2" t="n">
        <v>1</v>
      </c>
      <c r="G998" s="2" t="n">
        <v>1</v>
      </c>
      <c r="H998" s="2" t="n">
        <v>0</v>
      </c>
      <c r="I998" s="2" t="n">
        <v>0</v>
      </c>
      <c r="J998" s="2" t="n">
        <v>35</v>
      </c>
      <c r="K998" s="2" t="n">
        <v>40</v>
      </c>
      <c r="L998" s="11" t="b">
        <f aca="false">TRUE()</f>
        <v>1</v>
      </c>
      <c r="M998" s="2" t="s">
        <v>406</v>
      </c>
      <c r="N998" s="2" t="n">
        <f aca="false">IF(E998&gt;0,F998/E998,"")</f>
        <v>0.166666666666667</v>
      </c>
      <c r="O998" s="2" t="n">
        <f aca="false">IF(AND(E998&gt;0,L998),J998/E998,"")</f>
        <v>5.83333333333333</v>
      </c>
    </row>
    <row r="999" customFormat="false" ht="15" hidden="false" customHeight="false" outlineLevel="0" collapsed="false">
      <c r="A999" s="2" t="n">
        <v>2023</v>
      </c>
      <c r="B999" s="2" t="s">
        <v>202</v>
      </c>
      <c r="C999" s="2" t="s">
        <v>418</v>
      </c>
      <c r="D999" s="2" t="s">
        <v>83</v>
      </c>
      <c r="E999" s="2" t="n">
        <v>5</v>
      </c>
      <c r="F999" s="2" t="n">
        <v>11</v>
      </c>
      <c r="G999" s="2" t="n">
        <v>9</v>
      </c>
      <c r="H999" s="2" t="n">
        <v>4</v>
      </c>
      <c r="I999" s="2" t="n">
        <v>0</v>
      </c>
      <c r="J999" s="2" t="n">
        <v>56</v>
      </c>
      <c r="K999" s="2" t="n">
        <v>70</v>
      </c>
      <c r="L999" s="11" t="b">
        <f aca="false">TRUE()</f>
        <v>1</v>
      </c>
      <c r="M999" s="2" t="s">
        <v>406</v>
      </c>
      <c r="N999" s="2" t="n">
        <f aca="false">IF(E999&gt;0,F999/E999,"")</f>
        <v>2.2</v>
      </c>
      <c r="O999" s="2" t="n">
        <f aca="false">IF(AND(E999&gt;0,L999),J999/E999,"")</f>
        <v>11.2</v>
      </c>
    </row>
    <row r="1000" customFormat="false" ht="15" hidden="false" customHeight="false" outlineLevel="0" collapsed="false">
      <c r="A1000" s="2" t="n">
        <v>2023</v>
      </c>
      <c r="B1000" s="2" t="s">
        <v>92</v>
      </c>
      <c r="C1000" s="2" t="s">
        <v>420</v>
      </c>
      <c r="D1000" s="2" t="s">
        <v>24</v>
      </c>
      <c r="E1000" s="2" t="n">
        <v>10</v>
      </c>
      <c r="F1000" s="2" t="n">
        <v>59</v>
      </c>
      <c r="G1000" s="2" t="n">
        <v>38</v>
      </c>
      <c r="H1000" s="2" t="n">
        <v>15</v>
      </c>
      <c r="I1000" s="2" t="n">
        <v>9</v>
      </c>
      <c r="J1000" s="2" t="n">
        <v>284</v>
      </c>
      <c r="K1000" s="2" t="n">
        <v>367</v>
      </c>
      <c r="L1000" s="11" t="b">
        <f aca="false">TRUE()</f>
        <v>1</v>
      </c>
      <c r="M1000" s="2" t="s">
        <v>406</v>
      </c>
      <c r="N1000" s="2" t="n">
        <f aca="false">IF(E1000&gt;0,F1000/E1000,"")</f>
        <v>5.9</v>
      </c>
      <c r="O1000" s="2" t="n">
        <f aca="false">IF(AND(E1000&gt;0,L1000),J1000/E1000,"")</f>
        <v>28.4</v>
      </c>
    </row>
    <row r="1001" customFormat="false" ht="15" hidden="false" customHeight="false" outlineLevel="0" collapsed="false">
      <c r="A1001" s="2" t="n">
        <v>2023</v>
      </c>
      <c r="B1001" s="2" t="s">
        <v>38</v>
      </c>
      <c r="C1001" s="2" t="s">
        <v>412</v>
      </c>
      <c r="D1001" s="2" t="s">
        <v>29</v>
      </c>
      <c r="E1001" s="2" t="n">
        <v>4</v>
      </c>
      <c r="F1001" s="2" t="n">
        <v>12</v>
      </c>
      <c r="G1001" s="2" t="n">
        <v>8</v>
      </c>
      <c r="H1001" s="2" t="n">
        <v>3</v>
      </c>
      <c r="I1001" s="2" t="n">
        <v>1</v>
      </c>
      <c r="J1001" s="2" t="n">
        <v>40</v>
      </c>
      <c r="K1001" s="2" t="n">
        <v>13</v>
      </c>
      <c r="L1001" s="11" t="b">
        <f aca="false">TRUE()</f>
        <v>1</v>
      </c>
      <c r="M1001" s="2" t="s">
        <v>406</v>
      </c>
      <c r="N1001" s="2" t="n">
        <f aca="false">IF(E1001&gt;0,F1001/E1001,"")</f>
        <v>3</v>
      </c>
      <c r="O1001" s="2" t="n">
        <f aca="false">IF(AND(E1001&gt;0,L1001),J1001/E1001,"")</f>
        <v>10</v>
      </c>
    </row>
    <row r="1002" customFormat="false" ht="15" hidden="false" customHeight="false" outlineLevel="0" collapsed="false">
      <c r="A1002" s="2" t="n">
        <v>2023</v>
      </c>
      <c r="B1002" s="2" t="s">
        <v>109</v>
      </c>
      <c r="C1002" s="2" t="s">
        <v>405</v>
      </c>
      <c r="D1002" s="2" t="s">
        <v>29</v>
      </c>
      <c r="E1002" s="2" t="n">
        <v>10</v>
      </c>
      <c r="F1002" s="2" t="n">
        <v>31</v>
      </c>
      <c r="G1002" s="2" t="n">
        <v>19</v>
      </c>
      <c r="H1002" s="2" t="n">
        <v>3</v>
      </c>
      <c r="I1002" s="2" t="n">
        <v>5</v>
      </c>
      <c r="J1002" s="2" t="n">
        <v>92</v>
      </c>
      <c r="K1002" s="2" t="n">
        <v>132</v>
      </c>
      <c r="L1002" s="11" t="b">
        <f aca="false">TRUE()</f>
        <v>1</v>
      </c>
      <c r="M1002" s="2" t="s">
        <v>406</v>
      </c>
      <c r="N1002" s="2" t="n">
        <f aca="false">IF(E1002&gt;0,F1002/E1002,"")</f>
        <v>3.1</v>
      </c>
      <c r="O1002" s="2" t="n">
        <f aca="false">IF(AND(E1002&gt;0,L1002),J1002/E1002,"")</f>
        <v>9.2</v>
      </c>
    </row>
    <row r="1003" customFormat="false" ht="15" hidden="false" customHeight="false" outlineLevel="0" collapsed="false">
      <c r="A1003" s="2" t="n">
        <v>2023</v>
      </c>
      <c r="B1003" s="2" t="s">
        <v>67</v>
      </c>
      <c r="C1003" s="2" t="s">
        <v>408</v>
      </c>
      <c r="D1003" s="2" t="s">
        <v>24</v>
      </c>
      <c r="E1003" s="2" t="n">
        <v>8</v>
      </c>
      <c r="F1003" s="2" t="n">
        <v>50</v>
      </c>
      <c r="G1003" s="2" t="n">
        <v>34</v>
      </c>
      <c r="H1003" s="2" t="n">
        <v>10</v>
      </c>
      <c r="I1003" s="2" t="n">
        <v>6</v>
      </c>
      <c r="J1003" s="2" t="n">
        <v>124</v>
      </c>
      <c r="K1003" s="2" t="n">
        <v>184</v>
      </c>
      <c r="L1003" s="11" t="b">
        <f aca="false">TRUE()</f>
        <v>1</v>
      </c>
      <c r="M1003" s="2" t="s">
        <v>406</v>
      </c>
      <c r="N1003" s="2" t="n">
        <f aca="false">IF(E1003&gt;0,F1003/E1003,"")</f>
        <v>6.25</v>
      </c>
      <c r="O1003" s="2" t="n">
        <f aca="false">IF(AND(E1003&gt;0,L1003),J1003/E1003,"")</f>
        <v>15.5</v>
      </c>
    </row>
    <row r="1004" customFormat="false" ht="15" hidden="false" customHeight="false" outlineLevel="0" collapsed="false">
      <c r="A1004" s="2" t="n">
        <v>2023</v>
      </c>
      <c r="B1004" s="2" t="s">
        <v>96</v>
      </c>
      <c r="C1004" s="2" t="s">
        <v>414</v>
      </c>
      <c r="D1004" s="2" t="s">
        <v>24</v>
      </c>
      <c r="E1004" s="2" t="n">
        <v>10</v>
      </c>
      <c r="F1004" s="2" t="n">
        <v>31</v>
      </c>
      <c r="G1004" s="2" t="n">
        <v>27</v>
      </c>
      <c r="H1004" s="2" t="n">
        <v>11</v>
      </c>
      <c r="I1004" s="2" t="n">
        <v>15</v>
      </c>
      <c r="J1004" s="2" t="n">
        <v>319</v>
      </c>
      <c r="K1004" s="2" t="n">
        <v>32</v>
      </c>
      <c r="L1004" s="11" t="b">
        <f aca="false">TRUE()</f>
        <v>1</v>
      </c>
      <c r="M1004" s="2" t="s">
        <v>406</v>
      </c>
      <c r="N1004" s="2" t="n">
        <f aca="false">IF(E1004&gt;0,F1004/E1004,"")</f>
        <v>3.1</v>
      </c>
      <c r="O1004" s="2" t="n">
        <f aca="false">IF(AND(E1004&gt;0,L1004),J1004/E1004,"")</f>
        <v>31.9</v>
      </c>
    </row>
    <row r="1005" customFormat="false" ht="15" hidden="false" customHeight="false" outlineLevel="0" collapsed="false">
      <c r="A1005" s="2" t="n">
        <v>2023</v>
      </c>
      <c r="B1005" s="2" t="s">
        <v>143</v>
      </c>
      <c r="C1005" s="2" t="s">
        <v>414</v>
      </c>
      <c r="D1005" s="2" t="s">
        <v>117</v>
      </c>
      <c r="E1005" s="2" t="n">
        <v>10</v>
      </c>
      <c r="F1005" s="2" t="n">
        <v>1</v>
      </c>
      <c r="G1005" s="2" t="n">
        <v>0</v>
      </c>
      <c r="H1005" s="2" t="n">
        <v>0</v>
      </c>
      <c r="I1005" s="2" t="n">
        <v>0</v>
      </c>
      <c r="J1005" s="2" t="n">
        <v>64</v>
      </c>
      <c r="K1005" s="2" t="n">
        <v>67</v>
      </c>
      <c r="L1005" s="11" t="b">
        <f aca="false">TRUE()</f>
        <v>1</v>
      </c>
      <c r="M1005" s="2" t="s">
        <v>406</v>
      </c>
      <c r="N1005" s="2" t="n">
        <f aca="false">IF(E1005&gt;0,F1005/E1005,"")</f>
        <v>0.1</v>
      </c>
      <c r="O1005" s="2" t="n">
        <f aca="false">IF(AND(E1005&gt;0,L1005),J1005/E1005,"")</f>
        <v>6.4</v>
      </c>
    </row>
    <row r="1006" customFormat="false" ht="15" hidden="false" customHeight="false" outlineLevel="0" collapsed="false">
      <c r="A1006" s="2" t="n">
        <v>2023</v>
      </c>
      <c r="B1006" s="2" t="s">
        <v>214</v>
      </c>
      <c r="C1006" s="2" t="s">
        <v>418</v>
      </c>
      <c r="D1006" s="2" t="s">
        <v>29</v>
      </c>
      <c r="E1006" s="2" t="n">
        <v>4</v>
      </c>
      <c r="F1006" s="2" t="n">
        <v>6</v>
      </c>
      <c r="G1006" s="2" t="n">
        <v>6</v>
      </c>
      <c r="H1006" s="2" t="n">
        <v>2</v>
      </c>
      <c r="I1006" s="2" t="n">
        <v>2</v>
      </c>
      <c r="J1006" s="2" t="n">
        <v>50</v>
      </c>
      <c r="K1006" s="2" t="n">
        <v>60</v>
      </c>
      <c r="L1006" s="11" t="b">
        <f aca="false">TRUE()</f>
        <v>1</v>
      </c>
      <c r="M1006" s="2" t="s">
        <v>406</v>
      </c>
      <c r="N1006" s="2" t="n">
        <f aca="false">IF(E1006&gt;0,F1006/E1006,"")</f>
        <v>1.5</v>
      </c>
      <c r="O1006" s="2" t="n">
        <f aca="false">IF(AND(E1006&gt;0,L1006),J1006/E1006,"")</f>
        <v>12.5</v>
      </c>
    </row>
    <row r="1007" customFormat="false" ht="15" hidden="false" customHeight="false" outlineLevel="0" collapsed="false">
      <c r="A1007" s="2" t="n">
        <v>2023</v>
      </c>
      <c r="B1007" s="2" t="s">
        <v>467</v>
      </c>
      <c r="C1007" s="2" t="s">
        <v>414</v>
      </c>
      <c r="D1007" s="2" t="s">
        <v>413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11" t="b">
        <f aca="false">TRUE()</f>
        <v>1</v>
      </c>
      <c r="M1007" s="2" t="s">
        <v>410</v>
      </c>
      <c r="N1007" s="2" t="str">
        <f aca="false">IF(E1007&gt;0,F1007/E1007,"")</f>
        <v/>
      </c>
      <c r="O1007" s="2" t="str">
        <f aca="false">IF(AND(E1007&gt;0,L1007),J1007/E1007,"")</f>
        <v/>
      </c>
    </row>
    <row r="1008" customFormat="false" ht="15" hidden="false" customHeight="false" outlineLevel="0" collapsed="false">
      <c r="A1008" s="2" t="n">
        <v>2023</v>
      </c>
      <c r="B1008" s="2" t="s">
        <v>146</v>
      </c>
      <c r="C1008" s="2" t="s">
        <v>420</v>
      </c>
      <c r="D1008" s="2" t="s">
        <v>117</v>
      </c>
      <c r="E1008" s="2" t="n">
        <v>10</v>
      </c>
      <c r="F1008" s="2" t="n">
        <v>7</v>
      </c>
      <c r="G1008" s="2" t="n">
        <v>1</v>
      </c>
      <c r="H1008" s="2" t="n">
        <v>1</v>
      </c>
      <c r="I1008" s="2" t="n">
        <v>0</v>
      </c>
      <c r="J1008" s="2" t="n">
        <v>42</v>
      </c>
      <c r="K1008" s="2" t="n">
        <v>50</v>
      </c>
      <c r="L1008" s="11" t="b">
        <f aca="false">TRUE()</f>
        <v>1</v>
      </c>
      <c r="M1008" s="2" t="s">
        <v>406</v>
      </c>
      <c r="N1008" s="2" t="n">
        <f aca="false">IF(E1008&gt;0,F1008/E1008,"")</f>
        <v>0.7</v>
      </c>
      <c r="O1008" s="2" t="n">
        <f aca="false">IF(AND(E1008&gt;0,L1008),J1008/E1008,"")</f>
        <v>4.2</v>
      </c>
    </row>
    <row r="1009" customFormat="false" ht="15" hidden="false" customHeight="false" outlineLevel="0" collapsed="false">
      <c r="A1009" s="2" t="n">
        <v>2023</v>
      </c>
      <c r="B1009" s="2" t="s">
        <v>79</v>
      </c>
      <c r="C1009" s="2" t="s">
        <v>418</v>
      </c>
      <c r="D1009" s="2" t="s">
        <v>24</v>
      </c>
      <c r="E1009" s="2" t="n">
        <v>2</v>
      </c>
      <c r="F1009" s="2" t="n">
        <v>7</v>
      </c>
      <c r="G1009" s="2" t="n">
        <v>4</v>
      </c>
      <c r="H1009" s="2" t="n">
        <v>1</v>
      </c>
      <c r="I1009" s="2" t="n">
        <v>1</v>
      </c>
      <c r="J1009" s="2" t="n">
        <v>54</v>
      </c>
      <c r="K1009" s="2" t="n">
        <v>72</v>
      </c>
      <c r="L1009" s="11" t="b">
        <f aca="false">TRUE()</f>
        <v>1</v>
      </c>
      <c r="M1009" s="2" t="s">
        <v>410</v>
      </c>
      <c r="N1009" s="2" t="n">
        <f aca="false">IF(E1009&gt;0,F1009/E1009,"")</f>
        <v>3.5</v>
      </c>
      <c r="O1009" s="2" t="n">
        <f aca="false">IF(AND(E1009&gt;0,L1009),J1009/E1009,"")</f>
        <v>27</v>
      </c>
    </row>
    <row r="1010" customFormat="false" ht="15" hidden="false" customHeight="false" outlineLevel="0" collapsed="false">
      <c r="A1010" s="2" t="n">
        <v>2023</v>
      </c>
      <c r="B1010" s="2" t="s">
        <v>37</v>
      </c>
      <c r="C1010" s="2" t="s">
        <v>545</v>
      </c>
      <c r="D1010" s="2" t="s">
        <v>24</v>
      </c>
      <c r="E1010" s="2" t="n">
        <v>10</v>
      </c>
      <c r="F1010" s="2" t="n">
        <v>59</v>
      </c>
      <c r="G1010" s="2" t="n">
        <v>45</v>
      </c>
      <c r="H1010" s="2" t="n">
        <v>21</v>
      </c>
      <c r="I1010" s="2" t="n">
        <v>20</v>
      </c>
      <c r="J1010" s="2" t="n">
        <v>266</v>
      </c>
      <c r="K1010" s="2" t="n">
        <v>341</v>
      </c>
      <c r="L1010" s="11" t="b">
        <f aca="false">TRUE()</f>
        <v>1</v>
      </c>
      <c r="M1010" s="2" t="s">
        <v>406</v>
      </c>
      <c r="N1010" s="2" t="n">
        <f aca="false">IF(E1010&gt;0,F1010/E1010,"")</f>
        <v>5.9</v>
      </c>
      <c r="O1010" s="2" t="n">
        <f aca="false">IF(AND(E1010&gt;0,L1010),J1010/E1010,"")</f>
        <v>26.6</v>
      </c>
    </row>
    <row r="1011" customFormat="false" ht="15" hidden="false" customHeight="false" outlineLevel="0" collapsed="false">
      <c r="A1011" s="2" t="n">
        <v>2023</v>
      </c>
      <c r="B1011" s="2" t="s">
        <v>33</v>
      </c>
      <c r="C1011" s="2" t="s">
        <v>408</v>
      </c>
      <c r="D1011" s="2" t="s">
        <v>24</v>
      </c>
      <c r="E1011" s="2" t="n">
        <v>10</v>
      </c>
      <c r="F1011" s="2" t="n">
        <v>89</v>
      </c>
      <c r="G1011" s="2" t="n">
        <v>52</v>
      </c>
      <c r="H1011" s="2" t="n">
        <v>26</v>
      </c>
      <c r="I1011" s="2" t="n">
        <v>5</v>
      </c>
      <c r="J1011" s="2" t="n">
        <v>179</v>
      </c>
      <c r="K1011" s="2" t="n">
        <v>277</v>
      </c>
      <c r="L1011" s="11" t="b">
        <f aca="false">TRUE()</f>
        <v>1</v>
      </c>
      <c r="M1011" s="2" t="s">
        <v>406</v>
      </c>
      <c r="N1011" s="2" t="n">
        <f aca="false">IF(E1011&gt;0,F1011/E1011,"")</f>
        <v>8.9</v>
      </c>
      <c r="O1011" s="2" t="n">
        <f aca="false">IF(AND(E1011&gt;0,L1011),J1011/E1011,"")</f>
        <v>17.9</v>
      </c>
    </row>
    <row r="1012" customFormat="false" ht="15" hidden="false" customHeight="false" outlineLevel="0" collapsed="false">
      <c r="A1012" s="2" t="n">
        <v>2023</v>
      </c>
      <c r="B1012" s="2" t="s">
        <v>265</v>
      </c>
      <c r="C1012" s="2" t="s">
        <v>412</v>
      </c>
      <c r="D1012" s="2" t="s">
        <v>29</v>
      </c>
      <c r="E1012" s="2" t="n">
        <v>5</v>
      </c>
      <c r="F1012" s="2" t="n">
        <v>14</v>
      </c>
      <c r="G1012" s="2" t="n">
        <v>8</v>
      </c>
      <c r="H1012" s="2" t="n">
        <v>2</v>
      </c>
      <c r="I1012" s="2" t="n">
        <v>2</v>
      </c>
      <c r="J1012" s="2" t="n">
        <v>48</v>
      </c>
      <c r="K1012" s="2" t="n">
        <v>66</v>
      </c>
      <c r="L1012" s="11" t="b">
        <f aca="false">TRUE()</f>
        <v>1</v>
      </c>
      <c r="M1012" s="2" t="s">
        <v>406</v>
      </c>
      <c r="N1012" s="2" t="n">
        <f aca="false">IF(E1012&gt;0,F1012/E1012,"")</f>
        <v>2.8</v>
      </c>
      <c r="O1012" s="2" t="n">
        <f aca="false">IF(AND(E1012&gt;0,L1012),J1012/E1012,"")</f>
        <v>9.6</v>
      </c>
    </row>
    <row r="1013" customFormat="false" ht="15" hidden="false" customHeight="false" outlineLevel="0" collapsed="false">
      <c r="A1013" s="2" t="n">
        <v>2023</v>
      </c>
      <c r="B1013" s="2" t="s">
        <v>26</v>
      </c>
      <c r="C1013" s="2" t="s">
        <v>405</v>
      </c>
      <c r="D1013" s="2" t="s">
        <v>24</v>
      </c>
      <c r="E1013" s="2" t="n">
        <v>10</v>
      </c>
      <c r="F1013" s="2" t="n">
        <v>68</v>
      </c>
      <c r="G1013" s="2" t="n">
        <v>39</v>
      </c>
      <c r="H1013" s="2" t="n">
        <v>15</v>
      </c>
      <c r="I1013" s="2" t="n">
        <v>19</v>
      </c>
      <c r="J1013" s="2" t="n">
        <v>313</v>
      </c>
      <c r="K1013" s="2" t="n">
        <v>420</v>
      </c>
      <c r="L1013" s="11" t="b">
        <f aca="false">TRUE()</f>
        <v>1</v>
      </c>
      <c r="M1013" s="2" t="s">
        <v>406</v>
      </c>
      <c r="N1013" s="2" t="n">
        <f aca="false">IF(E1013&gt;0,F1013/E1013,"")</f>
        <v>6.8</v>
      </c>
      <c r="O1013" s="2" t="n">
        <f aca="false">IF(AND(E1013&gt;0,L1013),J1013/E1013,"")</f>
        <v>31.3</v>
      </c>
    </row>
    <row r="1014" customFormat="false" ht="15" hidden="false" customHeight="false" outlineLevel="0" collapsed="false">
      <c r="A1014" s="2" t="n">
        <v>2023</v>
      </c>
      <c r="B1014" s="2" t="s">
        <v>343</v>
      </c>
      <c r="C1014" s="2" t="s">
        <v>543</v>
      </c>
      <c r="D1014" s="2" t="s">
        <v>24</v>
      </c>
      <c r="E1014" s="2" t="n">
        <v>2</v>
      </c>
      <c r="F1014" s="2" t="n">
        <v>6</v>
      </c>
      <c r="G1014" s="2" t="n">
        <v>4</v>
      </c>
      <c r="H1014" s="2" t="n">
        <v>0</v>
      </c>
      <c r="I1014" s="2" t="n">
        <v>0</v>
      </c>
      <c r="J1014" s="2" t="n">
        <v>6</v>
      </c>
      <c r="K1014" s="2" t="n">
        <v>12</v>
      </c>
      <c r="L1014" s="11" t="b">
        <f aca="false">TRUE()</f>
        <v>1</v>
      </c>
      <c r="M1014" s="2" t="s">
        <v>410</v>
      </c>
      <c r="N1014" s="2" t="n">
        <f aca="false">IF(E1014&gt;0,F1014/E1014,"")</f>
        <v>3</v>
      </c>
      <c r="O1014" s="2" t="n">
        <f aca="false">IF(AND(E1014&gt;0,L1014),J1014/E1014,"")</f>
        <v>3</v>
      </c>
    </row>
    <row r="1015" customFormat="false" ht="15" hidden="false" customHeight="false" outlineLevel="0" collapsed="false">
      <c r="A1015" s="2" t="n">
        <v>2023</v>
      </c>
      <c r="B1015" s="2" t="s">
        <v>86</v>
      </c>
      <c r="C1015" s="2" t="s">
        <v>405</v>
      </c>
      <c r="D1015" s="2" t="s">
        <v>83</v>
      </c>
      <c r="E1015" s="2" t="n">
        <v>6</v>
      </c>
      <c r="F1015" s="2" t="n">
        <v>16</v>
      </c>
      <c r="G1015" s="2" t="n">
        <v>4</v>
      </c>
      <c r="H1015" s="2" t="n">
        <v>0</v>
      </c>
      <c r="I1015" s="2" t="n">
        <v>0</v>
      </c>
      <c r="J1015" s="2" t="n">
        <v>61</v>
      </c>
      <c r="K1015" s="2" t="n">
        <v>82</v>
      </c>
      <c r="L1015" s="11" t="b">
        <f aca="false">TRUE()</f>
        <v>1</v>
      </c>
      <c r="M1015" s="2" t="s">
        <v>406</v>
      </c>
      <c r="N1015" s="2" t="n">
        <f aca="false">IF(E1015&gt;0,F1015/E1015,"")</f>
        <v>2.66666666666667</v>
      </c>
      <c r="O1015" s="2" t="n">
        <f aca="false">IF(AND(E1015&gt;0,L1015),J1015/E1015,"")</f>
        <v>10.1666666666667</v>
      </c>
    </row>
    <row r="1016" customFormat="false" ht="15" hidden="false" customHeight="false" outlineLevel="0" collapsed="false">
      <c r="A1016" s="2" t="n">
        <v>2023</v>
      </c>
      <c r="B1016" s="2" t="s">
        <v>193</v>
      </c>
      <c r="C1016" s="2" t="s">
        <v>420</v>
      </c>
      <c r="D1016" s="2" t="s">
        <v>29</v>
      </c>
      <c r="E1016" s="2" t="n">
        <v>8</v>
      </c>
      <c r="F1016" s="2" t="n">
        <v>30</v>
      </c>
      <c r="G1016" s="2" t="n">
        <v>13</v>
      </c>
      <c r="H1016" s="2" t="n">
        <v>5</v>
      </c>
      <c r="I1016" s="2" t="n">
        <v>0</v>
      </c>
      <c r="J1016" s="2" t="n">
        <v>102</v>
      </c>
      <c r="K1016" s="2" t="n">
        <v>134</v>
      </c>
      <c r="L1016" s="11" t="b">
        <f aca="false">TRUE()</f>
        <v>1</v>
      </c>
      <c r="M1016" s="2" t="s">
        <v>406</v>
      </c>
      <c r="N1016" s="2" t="n">
        <f aca="false">IF(E1016&gt;0,F1016/E1016,"")</f>
        <v>3.75</v>
      </c>
      <c r="O1016" s="2" t="n">
        <f aca="false">IF(AND(E1016&gt;0,L1016),J1016/E1016,"")</f>
        <v>12.75</v>
      </c>
    </row>
    <row r="1017" customFormat="false" ht="15" hidden="false" customHeight="false" outlineLevel="0" collapsed="false">
      <c r="A1017" s="2" t="n">
        <v>2023</v>
      </c>
      <c r="B1017" s="2" t="s">
        <v>357</v>
      </c>
      <c r="C1017" s="2" t="s">
        <v>405</v>
      </c>
      <c r="D1017" s="2" t="s">
        <v>24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11" t="b">
        <f aca="false">TRUE()</f>
        <v>1</v>
      </c>
      <c r="M1017" s="2" t="s">
        <v>410</v>
      </c>
      <c r="N1017" s="2" t="str">
        <f aca="false">IF(E1017&gt;0,F1017/E1017,"")</f>
        <v/>
      </c>
      <c r="O1017" s="2" t="str">
        <f aca="false">IF(AND(E1017&gt;0,L1017),J1017/E1017,"")</f>
        <v/>
      </c>
    </row>
    <row r="1018" customFormat="false" ht="15" hidden="false" customHeight="false" outlineLevel="0" collapsed="false">
      <c r="A1018" s="2" t="n">
        <v>2023</v>
      </c>
      <c r="B1018" s="2" t="s">
        <v>598</v>
      </c>
      <c r="C1018" s="2" t="s">
        <v>545</v>
      </c>
      <c r="D1018" s="2" t="s">
        <v>413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11" t="b">
        <f aca="false">TRUE()</f>
        <v>1</v>
      </c>
      <c r="M1018" s="2" t="s">
        <v>410</v>
      </c>
      <c r="N1018" s="2" t="str">
        <f aca="false">IF(E1018&gt;0,F1018/E1018,"")</f>
        <v/>
      </c>
      <c r="O1018" s="2" t="str">
        <f aca="false">IF(AND(E1018&gt;0,L1018),J1018/E1018,"")</f>
        <v/>
      </c>
    </row>
    <row r="1019" customFormat="false" ht="15" hidden="false" customHeight="false" outlineLevel="0" collapsed="false">
      <c r="A1019" s="2" t="n">
        <v>2023</v>
      </c>
      <c r="B1019" s="2" t="s">
        <v>570</v>
      </c>
      <c r="C1019" s="2" t="s">
        <v>414</v>
      </c>
      <c r="D1019" s="2" t="s">
        <v>409</v>
      </c>
      <c r="E1019" s="2" t="n">
        <v>1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9</v>
      </c>
      <c r="K1019" s="2" t="n">
        <v>9</v>
      </c>
      <c r="L1019" s="11" t="b">
        <f aca="false">TRUE()</f>
        <v>1</v>
      </c>
      <c r="M1019" s="2" t="s">
        <v>410</v>
      </c>
      <c r="N1019" s="2" t="n">
        <f aca="false">IF(E1019&gt;0,F1019/E1019,"")</f>
        <v>0</v>
      </c>
      <c r="O1019" s="2" t="n">
        <f aca="false">IF(AND(E1019&gt;0,L1019),J1019/E1019,"")</f>
        <v>9</v>
      </c>
    </row>
    <row r="1020" customFormat="false" ht="15" hidden="false" customHeight="false" outlineLevel="0" collapsed="false">
      <c r="A1020" s="2" t="n">
        <v>2023</v>
      </c>
      <c r="B1020" s="2" t="s">
        <v>599</v>
      </c>
      <c r="C1020" s="2" t="s">
        <v>405</v>
      </c>
      <c r="D1020" s="2" t="s">
        <v>24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11" t="b">
        <f aca="false">TRUE()</f>
        <v>1</v>
      </c>
      <c r="M1020" s="2" t="s">
        <v>410</v>
      </c>
      <c r="N1020" s="2" t="str">
        <f aca="false">IF(E1020&gt;0,F1020/E1020,"")</f>
        <v/>
      </c>
      <c r="O1020" s="2" t="str">
        <f aca="false">IF(AND(E1020&gt;0,L1020),J1020/E1020,"")</f>
        <v/>
      </c>
    </row>
    <row r="1021" customFormat="false" ht="15" hidden="false" customHeight="false" outlineLevel="0" collapsed="false">
      <c r="A1021" s="2" t="n">
        <v>2023</v>
      </c>
      <c r="B1021" s="2" t="s">
        <v>475</v>
      </c>
      <c r="C1021" s="2" t="s">
        <v>412</v>
      </c>
      <c r="D1021" s="2" t="s">
        <v>117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11" t="b">
        <f aca="false">TRUE()</f>
        <v>1</v>
      </c>
      <c r="M1021" s="2" t="s">
        <v>410</v>
      </c>
      <c r="N1021" s="2" t="str">
        <f aca="false">IF(E1021&gt;0,F1021/E1021,"")</f>
        <v/>
      </c>
      <c r="O1021" s="2" t="str">
        <f aca="false">IF(AND(E1021&gt;0,L1021),J1021/E1021,"")</f>
        <v/>
      </c>
    </row>
    <row r="1022" customFormat="false" ht="15" hidden="false" customHeight="false" outlineLevel="0" collapsed="false">
      <c r="A1022" s="2" t="n">
        <v>2023</v>
      </c>
      <c r="B1022" s="2" t="s">
        <v>571</v>
      </c>
      <c r="C1022" s="2" t="s">
        <v>408</v>
      </c>
      <c r="D1022" s="2" t="s">
        <v>115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11" t="b">
        <f aca="false">TRUE()</f>
        <v>1</v>
      </c>
      <c r="M1022" s="2" t="s">
        <v>410</v>
      </c>
      <c r="N1022" s="2" t="str">
        <f aca="false">IF(E1022&gt;0,F1022/E1022,"")</f>
        <v/>
      </c>
      <c r="O1022" s="2" t="str">
        <f aca="false">IF(AND(E1022&gt;0,L1022),J1022/E1022,"")</f>
        <v/>
      </c>
    </row>
    <row r="1023" customFormat="false" ht="15" hidden="false" customHeight="false" outlineLevel="0" collapsed="false">
      <c r="A1023" s="2" t="n">
        <v>2023</v>
      </c>
      <c r="B1023" s="2" t="s">
        <v>613</v>
      </c>
      <c r="C1023" s="2" t="s">
        <v>412</v>
      </c>
      <c r="D1023" s="2" t="s">
        <v>409</v>
      </c>
      <c r="E1023" s="2" t="n">
        <v>2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18</v>
      </c>
      <c r="K1023" s="2" t="n">
        <v>19</v>
      </c>
      <c r="L1023" s="11" t="b">
        <f aca="false">TRUE()</f>
        <v>1</v>
      </c>
      <c r="M1023" s="2" t="s">
        <v>410</v>
      </c>
      <c r="N1023" s="2" t="n">
        <f aca="false">IF(E1023&gt;0,F1023/E1023,"")</f>
        <v>0</v>
      </c>
      <c r="O1023" s="2" t="n">
        <f aca="false">IF(AND(E1023&gt;0,L1023),J1023/E1023,"")</f>
        <v>9</v>
      </c>
    </row>
    <row r="1024" customFormat="false" ht="15" hidden="false" customHeight="false" outlineLevel="0" collapsed="false">
      <c r="A1024" s="2" t="n">
        <v>2023</v>
      </c>
      <c r="B1024" s="2" t="s">
        <v>163</v>
      </c>
      <c r="C1024" s="2" t="s">
        <v>414</v>
      </c>
      <c r="D1024" s="2" t="s">
        <v>83</v>
      </c>
      <c r="E1024" s="2" t="n">
        <v>9</v>
      </c>
      <c r="F1024" s="2" t="n">
        <v>8</v>
      </c>
      <c r="G1024" s="2" t="n">
        <v>3</v>
      </c>
      <c r="H1024" s="2" t="n">
        <v>3</v>
      </c>
      <c r="I1024" s="2" t="n">
        <v>0</v>
      </c>
      <c r="J1024" s="2" t="n">
        <v>53</v>
      </c>
      <c r="K1024" s="2" t="n">
        <v>65</v>
      </c>
      <c r="L1024" s="11" t="b">
        <f aca="false">TRUE()</f>
        <v>1</v>
      </c>
      <c r="M1024" s="2" t="s">
        <v>406</v>
      </c>
      <c r="N1024" s="2" t="n">
        <f aca="false">IF(E1024&gt;0,F1024/E1024,"")</f>
        <v>0.888888888888889</v>
      </c>
      <c r="O1024" s="2" t="n">
        <f aca="false">IF(AND(E1024&gt;0,L1024),J1024/E1024,"")</f>
        <v>5.88888888888889</v>
      </c>
    </row>
    <row r="1025" customFormat="false" ht="15" hidden="false" customHeight="false" outlineLevel="0" collapsed="false">
      <c r="A1025" s="2" t="n">
        <v>2023</v>
      </c>
      <c r="B1025" s="2" t="s">
        <v>270</v>
      </c>
      <c r="C1025" s="2" t="s">
        <v>545</v>
      </c>
      <c r="D1025" s="2" t="s">
        <v>117</v>
      </c>
      <c r="E1025" s="2" t="n">
        <v>8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20</v>
      </c>
      <c r="K1025" s="2" t="n">
        <v>22</v>
      </c>
      <c r="L1025" s="11" t="b">
        <f aca="false">TRUE()</f>
        <v>1</v>
      </c>
      <c r="M1025" s="2" t="s">
        <v>406</v>
      </c>
      <c r="N1025" s="2" t="n">
        <f aca="false">IF(E1025&gt;0,F1025/E1025,"")</f>
        <v>0</v>
      </c>
      <c r="O1025" s="2" t="n">
        <f aca="false">IF(AND(E1025&gt;0,L1025),J1025/E1025,"")</f>
        <v>2.5</v>
      </c>
    </row>
    <row r="1026" customFormat="false" ht="15" hidden="false" customHeight="false" outlineLevel="0" collapsed="false">
      <c r="A1026" s="2" t="n">
        <v>2023</v>
      </c>
      <c r="B1026" s="2" t="s">
        <v>299</v>
      </c>
      <c r="C1026" s="2" t="s">
        <v>543</v>
      </c>
      <c r="D1026" s="2" t="s">
        <v>117</v>
      </c>
      <c r="E1026" s="2" t="n">
        <v>2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4</v>
      </c>
      <c r="K1026" s="2" t="n">
        <v>4</v>
      </c>
      <c r="L1026" s="11" t="b">
        <f aca="false">TRUE()</f>
        <v>1</v>
      </c>
      <c r="M1026" s="2" t="s">
        <v>410</v>
      </c>
      <c r="N1026" s="2" t="n">
        <f aca="false">IF(E1026&gt;0,F1026/E1026,"")</f>
        <v>0</v>
      </c>
      <c r="O1026" s="2" t="n">
        <f aca="false">IF(AND(E1026&gt;0,L1026),J1026/E1026,"")</f>
        <v>2</v>
      </c>
    </row>
    <row r="1027" customFormat="false" ht="15" hidden="false" customHeight="false" outlineLevel="0" collapsed="false">
      <c r="A1027" s="2" t="n">
        <v>2023</v>
      </c>
      <c r="B1027" s="2" t="s">
        <v>185</v>
      </c>
      <c r="C1027" s="2" t="s">
        <v>545</v>
      </c>
      <c r="D1027" s="2" t="s">
        <v>115</v>
      </c>
      <c r="E1027" s="2" t="n">
        <v>9</v>
      </c>
      <c r="F1027" s="2" t="n">
        <v>2</v>
      </c>
      <c r="G1027" s="2" t="n">
        <v>1</v>
      </c>
      <c r="H1027" s="2" t="n">
        <v>1</v>
      </c>
      <c r="I1027" s="2" t="n">
        <v>0</v>
      </c>
      <c r="J1027" s="2" t="n">
        <v>35</v>
      </c>
      <c r="K1027" s="2" t="n">
        <v>40</v>
      </c>
      <c r="L1027" s="11" t="b">
        <f aca="false">TRUE()</f>
        <v>1</v>
      </c>
      <c r="M1027" s="2" t="s">
        <v>406</v>
      </c>
      <c r="N1027" s="2" t="n">
        <f aca="false">IF(E1027&gt;0,F1027/E1027,"")</f>
        <v>0.222222222222222</v>
      </c>
      <c r="O1027" s="2" t="n">
        <f aca="false">IF(AND(E1027&gt;0,L1027),J1027/E1027,"")</f>
        <v>3.88888888888889</v>
      </c>
    </row>
    <row r="1028" customFormat="false" ht="15" hidden="false" customHeight="false" outlineLevel="0" collapsed="false">
      <c r="A1028" s="2" t="n">
        <v>2023</v>
      </c>
      <c r="B1028" s="2" t="s">
        <v>42</v>
      </c>
      <c r="C1028" s="2" t="s">
        <v>414</v>
      </c>
      <c r="D1028" s="2" t="s">
        <v>24</v>
      </c>
      <c r="E1028" s="2" t="n">
        <v>9</v>
      </c>
      <c r="F1028" s="2" t="n">
        <v>47</v>
      </c>
      <c r="G1028" s="2" t="n">
        <v>33</v>
      </c>
      <c r="H1028" s="2" t="n">
        <v>14</v>
      </c>
      <c r="I1028" s="2" t="n">
        <v>11</v>
      </c>
      <c r="J1028" s="2" t="n">
        <v>165</v>
      </c>
      <c r="K1028" s="2" t="n">
        <v>238</v>
      </c>
      <c r="L1028" s="11" t="b">
        <f aca="false">TRUE()</f>
        <v>1</v>
      </c>
      <c r="M1028" s="2" t="s">
        <v>406</v>
      </c>
      <c r="N1028" s="2" t="n">
        <f aca="false">IF(E1028&gt;0,F1028/E1028,"")</f>
        <v>5.22222222222222</v>
      </c>
      <c r="O1028" s="2" t="n">
        <f aca="false">IF(AND(E1028&gt;0,L1028),J1028/E1028,"")</f>
        <v>18.3333333333333</v>
      </c>
    </row>
    <row r="1029" customFormat="false" ht="15" hidden="false" customHeight="false" outlineLevel="0" collapsed="false">
      <c r="A1029" s="2" t="n">
        <v>2023</v>
      </c>
      <c r="B1029" s="2" t="s">
        <v>130</v>
      </c>
      <c r="C1029" s="2" t="s">
        <v>518</v>
      </c>
      <c r="D1029" s="2" t="s">
        <v>117</v>
      </c>
      <c r="E1029" s="2" t="n">
        <v>10</v>
      </c>
      <c r="F1029" s="2" t="n">
        <v>6</v>
      </c>
      <c r="G1029" s="2" t="n">
        <v>4</v>
      </c>
      <c r="H1029" s="2" t="n">
        <v>1</v>
      </c>
      <c r="I1029" s="2" t="n">
        <v>0</v>
      </c>
      <c r="J1029" s="2" t="n">
        <v>77</v>
      </c>
      <c r="K1029" s="2" t="n">
        <v>87</v>
      </c>
      <c r="L1029" s="11" t="b">
        <f aca="false">TRUE()</f>
        <v>1</v>
      </c>
      <c r="M1029" s="2" t="s">
        <v>406</v>
      </c>
      <c r="N1029" s="2" t="n">
        <f aca="false">IF(E1029&gt;0,F1029/E1029,"")</f>
        <v>0.6</v>
      </c>
      <c r="O1029" s="2" t="n">
        <f aca="false">IF(AND(E1029&gt;0,L1029),J1029/E1029,"")</f>
        <v>7.7</v>
      </c>
    </row>
    <row r="1030" customFormat="false" ht="15" hidden="false" customHeight="false" outlineLevel="0" collapsed="false">
      <c r="A1030" s="2" t="n">
        <v>2023</v>
      </c>
      <c r="B1030" s="2" t="s">
        <v>277</v>
      </c>
      <c r="C1030" s="2" t="s">
        <v>545</v>
      </c>
      <c r="D1030" s="2" t="s">
        <v>115</v>
      </c>
      <c r="E1030" s="2" t="n">
        <v>8</v>
      </c>
      <c r="F1030" s="2" t="n">
        <v>9</v>
      </c>
      <c r="G1030" s="2" t="n">
        <v>5</v>
      </c>
      <c r="H1030" s="2" t="n">
        <v>2</v>
      </c>
      <c r="I1030" s="2" t="n">
        <v>1</v>
      </c>
      <c r="J1030" s="2" t="n">
        <v>25</v>
      </c>
      <c r="K1030" s="2" t="n">
        <v>36</v>
      </c>
      <c r="L1030" s="11" t="b">
        <f aca="false">TRUE()</f>
        <v>1</v>
      </c>
      <c r="M1030" s="2" t="s">
        <v>406</v>
      </c>
      <c r="N1030" s="2" t="n">
        <f aca="false">IF(E1030&gt;0,F1030/E1030,"")</f>
        <v>1.125</v>
      </c>
      <c r="O1030" s="2" t="n">
        <f aca="false">IF(AND(E1030&gt;0,L1030),J1030/E1030,"")</f>
        <v>3.125</v>
      </c>
    </row>
    <row r="1031" customFormat="false" ht="15" hidden="false" customHeight="false" outlineLevel="0" collapsed="false">
      <c r="A1031" s="2" t="n">
        <v>2023</v>
      </c>
      <c r="B1031" s="2" t="s">
        <v>209</v>
      </c>
      <c r="C1031" s="2" t="s">
        <v>518</v>
      </c>
      <c r="D1031" s="2" t="s">
        <v>115</v>
      </c>
      <c r="E1031" s="2" t="n">
        <v>8</v>
      </c>
      <c r="F1031" s="2" t="n">
        <v>6</v>
      </c>
      <c r="G1031" s="2" t="n">
        <v>4</v>
      </c>
      <c r="H1031" s="2" t="n">
        <v>1</v>
      </c>
      <c r="I1031" s="2" t="n">
        <v>1</v>
      </c>
      <c r="J1031" s="2" t="n">
        <v>18</v>
      </c>
      <c r="K1031" s="2" t="n">
        <v>26</v>
      </c>
      <c r="L1031" s="11" t="b">
        <f aca="false">TRUE()</f>
        <v>1</v>
      </c>
      <c r="M1031" s="2" t="s">
        <v>406</v>
      </c>
      <c r="N1031" s="2" t="n">
        <f aca="false">IF(E1031&gt;0,F1031/E1031,"")</f>
        <v>0.75</v>
      </c>
      <c r="O1031" s="2" t="n">
        <f aca="false">IF(AND(E1031&gt;0,L1031),J1031/E1031,"")</f>
        <v>2.25</v>
      </c>
    </row>
    <row r="1032" customFormat="false" ht="15" hidden="false" customHeight="false" outlineLevel="0" collapsed="false">
      <c r="A1032" s="2" t="n">
        <v>2023</v>
      </c>
      <c r="B1032" s="2" t="s">
        <v>114</v>
      </c>
      <c r="C1032" s="2" t="s">
        <v>420</v>
      </c>
      <c r="D1032" s="2" t="s">
        <v>115</v>
      </c>
      <c r="E1032" s="2" t="n">
        <v>10</v>
      </c>
      <c r="F1032" s="2" t="n">
        <v>10</v>
      </c>
      <c r="G1032" s="2" t="n">
        <v>5</v>
      </c>
      <c r="H1032" s="2" t="n">
        <v>2</v>
      </c>
      <c r="I1032" s="2" t="n">
        <v>0</v>
      </c>
      <c r="J1032" s="2" t="n">
        <v>60</v>
      </c>
      <c r="K1032" s="2" t="n">
        <v>74</v>
      </c>
      <c r="L1032" s="11" t="b">
        <f aca="false">TRUE()</f>
        <v>1</v>
      </c>
      <c r="M1032" s="2" t="s">
        <v>406</v>
      </c>
      <c r="N1032" s="2" t="n">
        <f aca="false">IF(E1032&gt;0,F1032/E1032,"")</f>
        <v>1</v>
      </c>
      <c r="O1032" s="2" t="n">
        <f aca="false">IF(AND(E1032&gt;0,L1032),J1032/E1032,"")</f>
        <v>6</v>
      </c>
    </row>
    <row r="1033" customFormat="false" ht="15" hidden="false" customHeight="false" outlineLevel="0" collapsed="false">
      <c r="A1033" s="2" t="n">
        <v>2023</v>
      </c>
      <c r="B1033" s="2" t="s">
        <v>147</v>
      </c>
      <c r="C1033" s="2" t="s">
        <v>412</v>
      </c>
      <c r="D1033" s="2" t="s">
        <v>29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11" t="b">
        <f aca="false">TRUE()</f>
        <v>1</v>
      </c>
      <c r="M1033" s="2" t="s">
        <v>410</v>
      </c>
      <c r="N1033" s="2" t="str">
        <f aca="false">IF(E1033&gt;0,F1033/E1033,"")</f>
        <v/>
      </c>
      <c r="O1033" s="2" t="str">
        <f aca="false">IF(AND(E1033&gt;0,L1033),J1033/E1033,"")</f>
        <v/>
      </c>
    </row>
    <row r="1034" customFormat="false" ht="15" hidden="false" customHeight="false" outlineLevel="0" collapsed="false">
      <c r="A1034" s="2" t="n">
        <v>2023</v>
      </c>
      <c r="B1034" s="2" t="s">
        <v>247</v>
      </c>
      <c r="C1034" s="2" t="s">
        <v>543</v>
      </c>
      <c r="D1034" s="2" t="s">
        <v>29</v>
      </c>
      <c r="E1034" s="2" t="n">
        <v>4</v>
      </c>
      <c r="F1034" s="2" t="n">
        <v>8</v>
      </c>
      <c r="G1034" s="2" t="n">
        <v>8</v>
      </c>
      <c r="H1034" s="2" t="n">
        <v>0</v>
      </c>
      <c r="I1034" s="2" t="n">
        <v>0</v>
      </c>
      <c r="J1034" s="2" t="n">
        <v>20</v>
      </c>
      <c r="K1034" s="2" t="n">
        <v>32</v>
      </c>
      <c r="L1034" s="11" t="b">
        <f aca="false">TRUE()</f>
        <v>1</v>
      </c>
      <c r="M1034" s="2" t="s">
        <v>406</v>
      </c>
      <c r="N1034" s="2" t="n">
        <f aca="false">IF(E1034&gt;0,F1034/E1034,"")</f>
        <v>2</v>
      </c>
      <c r="O1034" s="2" t="n">
        <f aca="false">IF(AND(E1034&gt;0,L1034),J1034/E1034,"")</f>
        <v>5</v>
      </c>
    </row>
    <row r="1035" customFormat="false" ht="15" hidden="false" customHeight="false" outlineLevel="0" collapsed="false">
      <c r="A1035" s="2" t="n">
        <v>2023</v>
      </c>
      <c r="B1035" s="2" t="s">
        <v>614</v>
      </c>
      <c r="C1035" s="2" t="s">
        <v>518</v>
      </c>
      <c r="D1035" s="2" t="s">
        <v>413</v>
      </c>
      <c r="E1035" s="2" t="n">
        <v>2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5</v>
      </c>
      <c r="K1035" s="2" t="n">
        <v>5</v>
      </c>
      <c r="L1035" s="11" t="b">
        <f aca="false">TRUE()</f>
        <v>1</v>
      </c>
      <c r="M1035" s="2" t="s">
        <v>410</v>
      </c>
      <c r="N1035" s="2" t="n">
        <f aca="false">IF(E1035&gt;0,F1035/E1035,"")</f>
        <v>0</v>
      </c>
      <c r="O1035" s="2" t="n">
        <f aca="false">IF(AND(E1035&gt;0,L1035),J1035/E1035,"")</f>
        <v>2.5</v>
      </c>
    </row>
    <row r="1036" customFormat="false" ht="15" hidden="false" customHeight="false" outlineLevel="0" collapsed="false">
      <c r="A1036" s="2" t="n">
        <v>2023</v>
      </c>
      <c r="B1036" s="2" t="s">
        <v>165</v>
      </c>
      <c r="C1036" s="2" t="s">
        <v>420</v>
      </c>
      <c r="D1036" s="2" t="s">
        <v>83</v>
      </c>
      <c r="E1036" s="2" t="n">
        <v>10</v>
      </c>
      <c r="F1036" s="2" t="n">
        <v>3</v>
      </c>
      <c r="G1036" s="2" t="n">
        <v>2</v>
      </c>
      <c r="H1036" s="2" t="n">
        <v>2</v>
      </c>
      <c r="I1036" s="2" t="n">
        <v>4</v>
      </c>
      <c r="J1036" s="2" t="n">
        <v>80</v>
      </c>
      <c r="K1036" s="2" t="n">
        <v>85</v>
      </c>
      <c r="L1036" s="11" t="b">
        <f aca="false">TRUE()</f>
        <v>1</v>
      </c>
      <c r="M1036" s="2" t="s">
        <v>406</v>
      </c>
      <c r="N1036" s="2" t="n">
        <f aca="false">IF(E1036&gt;0,F1036/E1036,"")</f>
        <v>0.3</v>
      </c>
      <c r="O1036" s="2" t="n">
        <f aca="false">IF(AND(E1036&gt;0,L1036),J1036/E1036,"")</f>
        <v>8</v>
      </c>
    </row>
    <row r="1037" customFormat="false" ht="15" hidden="false" customHeight="false" outlineLevel="0" collapsed="false">
      <c r="A1037" s="2" t="n">
        <v>2023</v>
      </c>
      <c r="B1037" s="2" t="s">
        <v>162</v>
      </c>
      <c r="C1037" s="2" t="s">
        <v>412</v>
      </c>
      <c r="D1037" s="2" t="s">
        <v>117</v>
      </c>
      <c r="E1037" s="2" t="n">
        <v>10</v>
      </c>
      <c r="F1037" s="2" t="n">
        <v>4</v>
      </c>
      <c r="G1037" s="2" t="n">
        <v>3</v>
      </c>
      <c r="H1037" s="2" t="n">
        <v>2</v>
      </c>
      <c r="I1037" s="2" t="n">
        <v>0</v>
      </c>
      <c r="J1037" s="2" t="n">
        <v>44</v>
      </c>
      <c r="K1037" s="2" t="n">
        <v>51</v>
      </c>
      <c r="L1037" s="11" t="b">
        <f aca="false">TRUE()</f>
        <v>1</v>
      </c>
      <c r="M1037" s="2" t="s">
        <v>406</v>
      </c>
      <c r="N1037" s="2" t="n">
        <f aca="false">IF(E1037&gt;0,F1037/E1037,"")</f>
        <v>0.4</v>
      </c>
      <c r="O1037" s="2" t="n">
        <f aca="false">IF(AND(E1037&gt;0,L1037),J1037/E1037,"")</f>
        <v>4.4</v>
      </c>
    </row>
    <row r="1038" customFormat="false" ht="15" hidden="false" customHeight="false" outlineLevel="0" collapsed="false">
      <c r="A1038" s="2" t="n">
        <v>2023</v>
      </c>
      <c r="B1038" s="2" t="s">
        <v>297</v>
      </c>
      <c r="C1038" s="2" t="s">
        <v>412</v>
      </c>
      <c r="D1038" s="2" t="s">
        <v>83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11" t="b">
        <f aca="false">TRUE()</f>
        <v>1</v>
      </c>
      <c r="M1038" s="2" t="s">
        <v>410</v>
      </c>
      <c r="N1038" s="2" t="str">
        <f aca="false">IF(E1038&gt;0,F1038/E1038,"")</f>
        <v/>
      </c>
      <c r="O1038" s="2" t="str">
        <f aca="false">IF(AND(E1038&gt;0,L1038),J1038/E1038,"")</f>
        <v/>
      </c>
    </row>
    <row r="1039" customFormat="false" ht="15" hidden="false" customHeight="false" outlineLevel="0" collapsed="false">
      <c r="A1039" s="2" t="n">
        <v>2023</v>
      </c>
      <c r="B1039" s="2" t="s">
        <v>194</v>
      </c>
      <c r="C1039" s="2" t="s">
        <v>412</v>
      </c>
      <c r="D1039" s="2" t="s">
        <v>83</v>
      </c>
      <c r="E1039" s="2" t="n">
        <v>10</v>
      </c>
      <c r="F1039" s="2" t="n">
        <v>2</v>
      </c>
      <c r="G1039" s="2" t="n">
        <v>1</v>
      </c>
      <c r="H1039" s="2" t="n">
        <v>0</v>
      </c>
      <c r="I1039" s="2" t="n">
        <v>0</v>
      </c>
      <c r="J1039" s="2" t="n">
        <v>60</v>
      </c>
      <c r="K1039" s="2" t="n">
        <v>62</v>
      </c>
      <c r="L1039" s="11" t="b">
        <f aca="false">TRUE()</f>
        <v>1</v>
      </c>
      <c r="M1039" s="2" t="s">
        <v>406</v>
      </c>
      <c r="N1039" s="2" t="n">
        <f aca="false">IF(E1039&gt;0,F1039/E1039,"")</f>
        <v>0.2</v>
      </c>
      <c r="O1039" s="2" t="n">
        <f aca="false">IF(AND(E1039&gt;0,L1039),J1039/E1039,"")</f>
        <v>6</v>
      </c>
    </row>
    <row r="1040" customFormat="false" ht="15" hidden="false" customHeight="false" outlineLevel="0" collapsed="false">
      <c r="A1040" s="2" t="n">
        <v>2023</v>
      </c>
      <c r="B1040" s="2" t="s">
        <v>487</v>
      </c>
      <c r="C1040" s="2" t="s">
        <v>420</v>
      </c>
      <c r="D1040" s="2" t="s">
        <v>409</v>
      </c>
      <c r="E1040" s="2" t="n">
        <v>9</v>
      </c>
      <c r="F1040" s="2" t="n">
        <v>0</v>
      </c>
      <c r="G1040" s="2" t="n">
        <v>0</v>
      </c>
      <c r="H1040" s="2" t="n">
        <v>0</v>
      </c>
      <c r="I1040" s="2" t="n">
        <v>4</v>
      </c>
      <c r="J1040" s="2" t="n">
        <v>118</v>
      </c>
      <c r="K1040" s="2" t="n">
        <v>121</v>
      </c>
      <c r="L1040" s="11" t="b">
        <f aca="false">TRUE()</f>
        <v>1</v>
      </c>
      <c r="M1040" s="2" t="s">
        <v>410</v>
      </c>
      <c r="N1040" s="2" t="n">
        <f aca="false">IF(E1040&gt;0,F1040/E1040,"")</f>
        <v>0</v>
      </c>
      <c r="O1040" s="2" t="n">
        <f aca="false">IF(AND(E1040&gt;0,L1040),J1040/E1040,"")</f>
        <v>13.1111111111111</v>
      </c>
    </row>
    <row r="1041" customFormat="false" ht="15" hidden="false" customHeight="false" outlineLevel="0" collapsed="false">
      <c r="A1041" s="2" t="n">
        <v>2023</v>
      </c>
      <c r="B1041" s="2" t="s">
        <v>253</v>
      </c>
      <c r="C1041" s="2" t="s">
        <v>408</v>
      </c>
      <c r="D1041" s="2" t="s">
        <v>115</v>
      </c>
      <c r="E1041" s="2" t="n">
        <v>6</v>
      </c>
      <c r="F1041" s="2" t="n">
        <v>3</v>
      </c>
      <c r="G1041" s="2" t="n">
        <v>2</v>
      </c>
      <c r="H1041" s="2" t="n">
        <v>1</v>
      </c>
      <c r="I1041" s="2" t="n">
        <v>0</v>
      </c>
      <c r="J1041" s="2" t="n">
        <v>23</v>
      </c>
      <c r="K1041" s="2" t="n">
        <v>27</v>
      </c>
      <c r="L1041" s="11" t="b">
        <f aca="false">TRUE()</f>
        <v>1</v>
      </c>
      <c r="M1041" s="2" t="s">
        <v>406</v>
      </c>
      <c r="N1041" s="2" t="n">
        <f aca="false">IF(E1041&gt;0,F1041/E1041,"")</f>
        <v>0.5</v>
      </c>
      <c r="O1041" s="2" t="n">
        <f aca="false">IF(AND(E1041&gt;0,L1041),J1041/E1041,"")</f>
        <v>3.83333333333333</v>
      </c>
    </row>
    <row r="1042" customFormat="false" ht="15" hidden="false" customHeight="false" outlineLevel="0" collapsed="false">
      <c r="A1042" s="2" t="n">
        <v>2023</v>
      </c>
      <c r="B1042" s="2" t="s">
        <v>172</v>
      </c>
      <c r="C1042" s="2" t="s">
        <v>408</v>
      </c>
      <c r="D1042" s="2" t="s">
        <v>29</v>
      </c>
      <c r="E1042" s="2" t="n">
        <v>8</v>
      </c>
      <c r="F1042" s="2" t="n">
        <v>14</v>
      </c>
      <c r="G1042" s="2" t="n">
        <v>9</v>
      </c>
      <c r="H1042" s="2" t="n">
        <v>3</v>
      </c>
      <c r="I1042" s="2" t="n">
        <v>1</v>
      </c>
      <c r="J1042" s="2" t="n">
        <v>54</v>
      </c>
      <c r="K1042" s="2" t="n">
        <v>77</v>
      </c>
      <c r="L1042" s="11" t="b">
        <f aca="false">TRUE()</f>
        <v>1</v>
      </c>
      <c r="M1042" s="2" t="s">
        <v>406</v>
      </c>
      <c r="N1042" s="2" t="n">
        <f aca="false">IF(E1042&gt;0,F1042/E1042,"")</f>
        <v>1.75</v>
      </c>
      <c r="O1042" s="2" t="n">
        <f aca="false">IF(AND(E1042&gt;0,L1042),J1042/E1042,"")</f>
        <v>6.75</v>
      </c>
    </row>
    <row r="1043" customFormat="false" ht="15" hidden="false" customHeight="false" outlineLevel="0" collapsed="false">
      <c r="A1043" s="2" t="n">
        <v>2023</v>
      </c>
      <c r="B1043" s="2" t="s">
        <v>219</v>
      </c>
      <c r="C1043" s="2" t="s">
        <v>405</v>
      </c>
      <c r="D1043" s="2" t="s">
        <v>29</v>
      </c>
      <c r="E1043" s="2" t="n">
        <v>2</v>
      </c>
      <c r="F1043" s="2" t="n">
        <v>7</v>
      </c>
      <c r="G1043" s="2" t="n">
        <v>6</v>
      </c>
      <c r="H1043" s="2" t="n">
        <v>2</v>
      </c>
      <c r="I1043" s="2" t="n">
        <v>2</v>
      </c>
      <c r="J1043" s="2" t="n">
        <v>39</v>
      </c>
      <c r="K1043" s="2" t="n">
        <v>47</v>
      </c>
      <c r="L1043" s="11" t="b">
        <f aca="false">TRUE()</f>
        <v>1</v>
      </c>
      <c r="M1043" s="2" t="s">
        <v>410</v>
      </c>
      <c r="N1043" s="2" t="n">
        <f aca="false">IF(E1043&gt;0,F1043/E1043,"")</f>
        <v>3.5</v>
      </c>
      <c r="O1043" s="2" t="n">
        <f aca="false">IF(AND(E1043&gt;0,L1043),J1043/E1043,"")</f>
        <v>19.5</v>
      </c>
    </row>
    <row r="1044" customFormat="false" ht="15" hidden="false" customHeight="false" outlineLevel="0" collapsed="false">
      <c r="A1044" s="2" t="n">
        <v>2023</v>
      </c>
      <c r="B1044" s="2" t="s">
        <v>615</v>
      </c>
      <c r="C1044" s="2" t="s">
        <v>518</v>
      </c>
      <c r="D1044" s="2" t="s">
        <v>409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11" t="b">
        <f aca="false">TRUE()</f>
        <v>1</v>
      </c>
      <c r="M1044" s="2" t="s">
        <v>410</v>
      </c>
      <c r="N1044" s="2" t="str">
        <f aca="false">IF(E1044&gt;0,F1044/E1044,"")</f>
        <v/>
      </c>
      <c r="O1044" s="2" t="str">
        <f aca="false">IF(AND(E1044&gt;0,L1044),J1044/E1044,"")</f>
        <v/>
      </c>
    </row>
    <row r="1045" customFormat="false" ht="15" hidden="false" customHeight="false" outlineLevel="0" collapsed="false">
      <c r="A1045" s="2" t="n">
        <v>2023</v>
      </c>
      <c r="B1045" s="2" t="s">
        <v>159</v>
      </c>
      <c r="C1045" s="2" t="s">
        <v>420</v>
      </c>
      <c r="D1045" s="2" t="s">
        <v>117</v>
      </c>
      <c r="E1045" s="2" t="n">
        <v>9</v>
      </c>
      <c r="F1045" s="2" t="n">
        <v>3</v>
      </c>
      <c r="G1045" s="2" t="n">
        <v>1</v>
      </c>
      <c r="H1045" s="2" t="n">
        <v>0</v>
      </c>
      <c r="I1045" s="2" t="n">
        <v>0</v>
      </c>
      <c r="J1045" s="2" t="n">
        <v>61</v>
      </c>
      <c r="K1045" s="2" t="n">
        <v>65</v>
      </c>
      <c r="L1045" s="11" t="b">
        <f aca="false">TRUE()</f>
        <v>1</v>
      </c>
      <c r="M1045" s="2" t="s">
        <v>406</v>
      </c>
      <c r="N1045" s="2" t="n">
        <f aca="false">IF(E1045&gt;0,F1045/E1045,"")</f>
        <v>0.333333333333333</v>
      </c>
      <c r="O1045" s="2" t="n">
        <f aca="false">IF(AND(E1045&gt;0,L1045),J1045/E1045,"")</f>
        <v>6.77777777777778</v>
      </c>
    </row>
    <row r="1046" customFormat="false" ht="15" hidden="false" customHeight="false" outlineLevel="0" collapsed="false">
      <c r="A1046" s="2" t="n">
        <v>2023</v>
      </c>
      <c r="B1046" s="2" t="s">
        <v>616</v>
      </c>
      <c r="C1046" s="2" t="s">
        <v>420</v>
      </c>
      <c r="D1046" s="2" t="s">
        <v>413</v>
      </c>
      <c r="E1046" s="2" t="n">
        <v>9</v>
      </c>
      <c r="F1046" s="2" t="n">
        <v>6</v>
      </c>
      <c r="G1046" s="2" t="n">
        <v>5</v>
      </c>
      <c r="H1046" s="2" t="n">
        <v>2</v>
      </c>
      <c r="I1046" s="2" t="n">
        <v>1</v>
      </c>
      <c r="J1046" s="2" t="n">
        <v>66</v>
      </c>
      <c r="K1046" s="2" t="n">
        <v>81</v>
      </c>
      <c r="L1046" s="11" t="b">
        <f aca="false">TRUE()</f>
        <v>1</v>
      </c>
      <c r="M1046" s="2" t="s">
        <v>410</v>
      </c>
      <c r="N1046" s="2" t="n">
        <f aca="false">IF(E1046&gt;0,F1046/E1046,"")</f>
        <v>0.666666666666667</v>
      </c>
      <c r="O1046" s="2" t="n">
        <f aca="false">IF(AND(E1046&gt;0,L1046),J1046/E1046,"")</f>
        <v>7.33333333333333</v>
      </c>
    </row>
    <row r="1047" customFormat="false" ht="15" hidden="false" customHeight="false" outlineLevel="0" collapsed="false">
      <c r="A1047" s="2" t="n">
        <v>2023</v>
      </c>
      <c r="B1047" s="2" t="s">
        <v>264</v>
      </c>
      <c r="C1047" s="2" t="s">
        <v>518</v>
      </c>
      <c r="D1047" s="2" t="s">
        <v>115</v>
      </c>
      <c r="E1047" s="2" t="n">
        <v>5</v>
      </c>
      <c r="F1047" s="2" t="n">
        <v>1</v>
      </c>
      <c r="G1047" s="2" t="n">
        <v>1</v>
      </c>
      <c r="H1047" s="2" t="n">
        <v>0</v>
      </c>
      <c r="I1047" s="2" t="n">
        <v>0</v>
      </c>
      <c r="J1047" s="2" t="n">
        <v>35</v>
      </c>
      <c r="K1047" s="2" t="n">
        <v>37</v>
      </c>
      <c r="L1047" s="11" t="b">
        <f aca="false">TRUE()</f>
        <v>1</v>
      </c>
      <c r="M1047" s="2" t="s">
        <v>406</v>
      </c>
      <c r="N1047" s="2" t="n">
        <f aca="false">IF(E1047&gt;0,F1047/E1047,"")</f>
        <v>0.2</v>
      </c>
      <c r="O1047" s="2" t="n">
        <f aca="false">IF(AND(E1047&gt;0,L1047),J1047/E1047,"")</f>
        <v>7</v>
      </c>
    </row>
    <row r="1048" customFormat="false" ht="15" hidden="false" customHeight="false" outlineLevel="0" collapsed="false">
      <c r="A1048" s="2" t="n">
        <v>2023</v>
      </c>
      <c r="B1048" s="2" t="s">
        <v>240</v>
      </c>
      <c r="C1048" s="2" t="s">
        <v>418</v>
      </c>
      <c r="D1048" s="2" t="s">
        <v>115</v>
      </c>
      <c r="E1048" s="2" t="n">
        <v>10</v>
      </c>
      <c r="F1048" s="2" t="n">
        <v>7</v>
      </c>
      <c r="G1048" s="2" t="n">
        <v>3</v>
      </c>
      <c r="H1048" s="2" t="n">
        <v>1</v>
      </c>
      <c r="I1048" s="2" t="n">
        <v>1</v>
      </c>
      <c r="J1048" s="2" t="n">
        <v>22</v>
      </c>
      <c r="K1048" s="2" t="n">
        <v>36</v>
      </c>
      <c r="L1048" s="11" t="b">
        <f aca="false">TRUE()</f>
        <v>1</v>
      </c>
      <c r="M1048" s="2" t="s">
        <v>406</v>
      </c>
      <c r="N1048" s="2" t="n">
        <f aca="false">IF(E1048&gt;0,F1048/E1048,"")</f>
        <v>0.7</v>
      </c>
      <c r="O1048" s="2" t="n">
        <f aca="false">IF(AND(E1048&gt;0,L1048),J1048/E1048,"")</f>
        <v>2.2</v>
      </c>
    </row>
    <row r="1049" customFormat="false" ht="15" hidden="false" customHeight="false" outlineLevel="0" collapsed="false">
      <c r="A1049" s="2" t="n">
        <v>2023</v>
      </c>
      <c r="B1049" s="2" t="s">
        <v>382</v>
      </c>
      <c r="C1049" s="2" t="s">
        <v>414</v>
      </c>
      <c r="D1049" s="2" t="s">
        <v>83</v>
      </c>
      <c r="E1049" s="2" t="n">
        <v>1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5</v>
      </c>
      <c r="K1049" s="2" t="n">
        <v>5</v>
      </c>
      <c r="L1049" s="11" t="b">
        <f aca="false">TRUE()</f>
        <v>1</v>
      </c>
      <c r="M1049" s="2" t="s">
        <v>410</v>
      </c>
      <c r="N1049" s="2" t="n">
        <f aca="false">IF(E1049&gt;0,F1049/E1049,"")</f>
        <v>0</v>
      </c>
      <c r="O1049" s="2" t="n">
        <f aca="false">IF(AND(E1049&gt;0,L1049),J1049/E1049,"")</f>
        <v>5</v>
      </c>
    </row>
    <row r="1050" customFormat="false" ht="15" hidden="false" customHeight="false" outlineLevel="0" collapsed="false">
      <c r="A1050" s="2" t="n">
        <v>2023</v>
      </c>
      <c r="B1050" s="2" t="s">
        <v>617</v>
      </c>
      <c r="C1050" s="2" t="s">
        <v>545</v>
      </c>
      <c r="D1050" s="2" t="s">
        <v>117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11" t="b">
        <f aca="false">TRUE()</f>
        <v>1</v>
      </c>
      <c r="M1050" s="2" t="s">
        <v>410</v>
      </c>
      <c r="N1050" s="2" t="str">
        <f aca="false">IF(E1050&gt;0,F1050/E1050,"")</f>
        <v/>
      </c>
      <c r="O1050" s="2" t="str">
        <f aca="false">IF(AND(E1050&gt;0,L1050),J1050/E1050,"")</f>
        <v/>
      </c>
    </row>
    <row r="1051" customFormat="false" ht="15" hidden="false" customHeight="false" outlineLevel="0" collapsed="false">
      <c r="A1051" s="2" t="n">
        <v>2023</v>
      </c>
      <c r="B1051" s="2" t="s">
        <v>601</v>
      </c>
      <c r="C1051" s="2" t="s">
        <v>414</v>
      </c>
      <c r="D1051" s="2" t="s">
        <v>413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11" t="b">
        <f aca="false">TRUE()</f>
        <v>1</v>
      </c>
      <c r="M1051" s="2" t="s">
        <v>410</v>
      </c>
      <c r="N1051" s="2" t="str">
        <f aca="false">IF(E1051&gt;0,F1051/E1051,"")</f>
        <v/>
      </c>
      <c r="O1051" s="2" t="str">
        <f aca="false">IF(AND(E1051&gt;0,L1051),J1051/E1051,"")</f>
        <v/>
      </c>
    </row>
    <row r="1052" customFormat="false" ht="15" hidden="false" customHeight="false" outlineLevel="0" collapsed="false">
      <c r="A1052" s="2" t="n">
        <v>2023</v>
      </c>
      <c r="B1052" s="2" t="s">
        <v>171</v>
      </c>
      <c r="C1052" s="2" t="s">
        <v>518</v>
      </c>
      <c r="D1052" s="2" t="s">
        <v>83</v>
      </c>
      <c r="E1052" s="2" t="n">
        <v>9</v>
      </c>
      <c r="F1052" s="2" t="n">
        <v>2</v>
      </c>
      <c r="G1052" s="2" t="n">
        <v>2</v>
      </c>
      <c r="H1052" s="2" t="n">
        <v>1</v>
      </c>
      <c r="I1052" s="2" t="n">
        <v>1</v>
      </c>
      <c r="J1052" s="2" t="n">
        <v>57</v>
      </c>
      <c r="K1052" s="2" t="n">
        <v>60</v>
      </c>
      <c r="L1052" s="11" t="b">
        <f aca="false">TRUE()</f>
        <v>1</v>
      </c>
      <c r="M1052" s="2" t="s">
        <v>406</v>
      </c>
      <c r="N1052" s="2" t="n">
        <f aca="false">IF(E1052&gt;0,F1052/E1052,"")</f>
        <v>0.222222222222222</v>
      </c>
      <c r="O1052" s="2" t="n">
        <f aca="false">IF(AND(E1052&gt;0,L1052),J1052/E1052,"")</f>
        <v>6.33333333333333</v>
      </c>
    </row>
    <row r="1053" customFormat="false" ht="15" hidden="false" customHeight="false" outlineLevel="0" collapsed="false">
      <c r="A1053" s="2" t="n">
        <v>2023</v>
      </c>
      <c r="B1053" s="2" t="s">
        <v>180</v>
      </c>
      <c r="C1053" s="2" t="s">
        <v>518</v>
      </c>
      <c r="D1053" s="2" t="s">
        <v>29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11" t="b">
        <f aca="false">TRUE()</f>
        <v>1</v>
      </c>
      <c r="M1053" s="2" t="s">
        <v>410</v>
      </c>
      <c r="N1053" s="2" t="str">
        <f aca="false">IF(E1053&gt;0,F1053/E1053,"")</f>
        <v/>
      </c>
      <c r="O1053" s="2" t="str">
        <f aca="false">IF(AND(E1053&gt;0,L1053),J1053/E1053,"")</f>
        <v/>
      </c>
    </row>
    <row r="1054" customFormat="false" ht="15" hidden="false" customHeight="false" outlineLevel="0" collapsed="false">
      <c r="A1054" s="2" t="n">
        <v>2023</v>
      </c>
      <c r="B1054" s="2" t="s">
        <v>34</v>
      </c>
      <c r="C1054" s="2" t="s">
        <v>408</v>
      </c>
      <c r="D1054" s="2" t="s">
        <v>29</v>
      </c>
      <c r="E1054" s="2" t="n">
        <v>10</v>
      </c>
      <c r="F1054" s="2" t="n">
        <v>64</v>
      </c>
      <c r="G1054" s="2" t="n">
        <v>36</v>
      </c>
      <c r="H1054" s="2" t="n">
        <v>18</v>
      </c>
      <c r="I1054" s="2" t="n">
        <v>17</v>
      </c>
      <c r="J1054" s="2" t="n">
        <v>310</v>
      </c>
      <c r="K1054" s="2" t="n">
        <v>388</v>
      </c>
      <c r="L1054" s="11" t="b">
        <f aca="false">TRUE()</f>
        <v>1</v>
      </c>
      <c r="M1054" s="2" t="s">
        <v>406</v>
      </c>
      <c r="N1054" s="2" t="n">
        <f aca="false">IF(E1054&gt;0,F1054/E1054,"")</f>
        <v>6.4</v>
      </c>
      <c r="O1054" s="2" t="n">
        <f aca="false">IF(AND(E1054&gt;0,L1054),J1054/E1054,"")</f>
        <v>31</v>
      </c>
    </row>
    <row r="1055" customFormat="false" ht="15" hidden="false" customHeight="false" outlineLevel="0" collapsed="false">
      <c r="A1055" s="2" t="n">
        <v>2023</v>
      </c>
      <c r="B1055" s="2" t="s">
        <v>576</v>
      </c>
      <c r="C1055" s="2" t="s">
        <v>418</v>
      </c>
      <c r="D1055" s="2" t="s">
        <v>409</v>
      </c>
      <c r="E1055" s="2" t="n">
        <v>9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133</v>
      </c>
      <c r="K1055" s="2" t="n">
        <v>140</v>
      </c>
      <c r="L1055" s="11" t="b">
        <f aca="false">TRUE()</f>
        <v>1</v>
      </c>
      <c r="M1055" s="2" t="s">
        <v>410</v>
      </c>
      <c r="N1055" s="2" t="n">
        <f aca="false">IF(E1055&gt;0,F1055/E1055,"")</f>
        <v>0</v>
      </c>
      <c r="O1055" s="2" t="n">
        <f aca="false">IF(AND(E1055&gt;0,L1055),J1055/E1055,"")</f>
        <v>14.7777777777778</v>
      </c>
    </row>
    <row r="1056" customFormat="false" ht="15" hidden="false" customHeight="false" outlineLevel="0" collapsed="false">
      <c r="A1056" s="2" t="n">
        <v>2023</v>
      </c>
      <c r="B1056" s="2" t="s">
        <v>285</v>
      </c>
      <c r="C1056" s="2" t="s">
        <v>405</v>
      </c>
      <c r="D1056" s="2" t="s">
        <v>115</v>
      </c>
      <c r="E1056" s="2" t="n">
        <v>8</v>
      </c>
      <c r="F1056" s="2" t="n">
        <v>5</v>
      </c>
      <c r="G1056" s="2" t="n">
        <v>2</v>
      </c>
      <c r="H1056" s="2" t="n">
        <v>1</v>
      </c>
      <c r="I1056" s="2" t="n">
        <v>1</v>
      </c>
      <c r="J1056" s="2" t="n">
        <v>25</v>
      </c>
      <c r="K1056" s="2" t="n">
        <v>33</v>
      </c>
      <c r="L1056" s="11" t="b">
        <f aca="false">TRUE()</f>
        <v>1</v>
      </c>
      <c r="M1056" s="2" t="s">
        <v>406</v>
      </c>
      <c r="N1056" s="2" t="n">
        <f aca="false">IF(E1056&gt;0,F1056/E1056,"")</f>
        <v>0.625</v>
      </c>
      <c r="O1056" s="2" t="n">
        <f aca="false">IF(AND(E1056&gt;0,L1056),J1056/E1056,"")</f>
        <v>3.125</v>
      </c>
    </row>
    <row r="1057" customFormat="false" ht="15" hidden="false" customHeight="false" outlineLevel="0" collapsed="false">
      <c r="A1057" s="2" t="n">
        <v>2023</v>
      </c>
      <c r="B1057" s="2" t="s">
        <v>618</v>
      </c>
      <c r="C1057" s="2" t="s">
        <v>408</v>
      </c>
      <c r="D1057" s="2" t="s">
        <v>117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11" t="b">
        <f aca="false">TRUE()</f>
        <v>1</v>
      </c>
      <c r="M1057" s="2" t="s">
        <v>410</v>
      </c>
      <c r="N1057" s="2" t="str">
        <f aca="false">IF(E1057&gt;0,F1057/E1057,"")</f>
        <v/>
      </c>
      <c r="O1057" s="2" t="str">
        <f aca="false">IF(AND(E1057&gt;0,L1057),J1057/E1057,"")</f>
        <v/>
      </c>
    </row>
    <row r="1058" customFormat="false" ht="15" hidden="false" customHeight="false" outlineLevel="0" collapsed="false">
      <c r="A1058" s="2" t="n">
        <v>2023</v>
      </c>
      <c r="B1058" s="2" t="s">
        <v>361</v>
      </c>
      <c r="C1058" s="2" t="s">
        <v>420</v>
      </c>
      <c r="D1058" s="2" t="s">
        <v>24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11" t="b">
        <f aca="false">TRUE()</f>
        <v>1</v>
      </c>
      <c r="M1058" s="2" t="s">
        <v>410</v>
      </c>
      <c r="N1058" s="2" t="str">
        <f aca="false">IF(E1058&gt;0,F1058/E1058,"")</f>
        <v/>
      </c>
      <c r="O1058" s="2" t="str">
        <f aca="false">IF(AND(E1058&gt;0,L1058),J1058/E1058,"")</f>
        <v/>
      </c>
    </row>
    <row r="1059" customFormat="false" ht="15" hidden="false" customHeight="false" outlineLevel="0" collapsed="false">
      <c r="A1059" s="2" t="n">
        <v>2023</v>
      </c>
      <c r="B1059" s="2" t="s">
        <v>619</v>
      </c>
      <c r="C1059" s="2" t="s">
        <v>408</v>
      </c>
      <c r="D1059" s="2" t="s">
        <v>413</v>
      </c>
      <c r="E1059" s="2" t="n">
        <v>10</v>
      </c>
      <c r="F1059" s="2" t="n">
        <v>12</v>
      </c>
      <c r="G1059" s="2" t="n">
        <v>9</v>
      </c>
      <c r="H1059" s="2" t="n">
        <v>3</v>
      </c>
      <c r="I1059" s="2" t="n">
        <v>1</v>
      </c>
      <c r="J1059" s="2" t="n">
        <v>77</v>
      </c>
      <c r="K1059" s="2" t="n">
        <v>104</v>
      </c>
      <c r="L1059" s="11" t="b">
        <f aca="false">TRUE()</f>
        <v>1</v>
      </c>
      <c r="M1059" s="2" t="s">
        <v>410</v>
      </c>
      <c r="N1059" s="2" t="n">
        <f aca="false">IF(E1059&gt;0,F1059/E1059,"")</f>
        <v>1.2</v>
      </c>
      <c r="O1059" s="2" t="n">
        <f aca="false">IF(AND(E1059&gt;0,L1059),J1059/E1059,"")</f>
        <v>7.7</v>
      </c>
    </row>
    <row r="1060" customFormat="false" ht="15" hidden="false" customHeight="false" outlineLevel="0" collapsed="false">
      <c r="A1060" s="2" t="n">
        <v>2023</v>
      </c>
      <c r="B1060" s="2" t="s">
        <v>241</v>
      </c>
      <c r="C1060" s="2" t="s">
        <v>418</v>
      </c>
      <c r="D1060" s="2" t="s">
        <v>83</v>
      </c>
      <c r="E1060" s="2" t="n">
        <v>10</v>
      </c>
      <c r="F1060" s="2" t="n">
        <v>1</v>
      </c>
      <c r="G1060" s="2" t="n">
        <v>1</v>
      </c>
      <c r="H1060" s="2" t="n">
        <v>0</v>
      </c>
      <c r="I1060" s="2" t="n">
        <v>1</v>
      </c>
      <c r="J1060" s="2" t="n">
        <v>55</v>
      </c>
      <c r="K1060" s="2" t="n">
        <v>58</v>
      </c>
      <c r="L1060" s="11" t="b">
        <f aca="false">TRUE()</f>
        <v>1</v>
      </c>
      <c r="M1060" s="2" t="s">
        <v>406</v>
      </c>
      <c r="N1060" s="2" t="n">
        <f aca="false">IF(E1060&gt;0,F1060/E1060,"")</f>
        <v>0.1</v>
      </c>
      <c r="O1060" s="2" t="n">
        <f aca="false">IF(AND(E1060&gt;0,L1060),J1060/E1060,"")</f>
        <v>5.5</v>
      </c>
    </row>
    <row r="1061" customFormat="false" ht="15" hidden="false" customHeight="false" outlineLevel="0" collapsed="false">
      <c r="A1061" s="2" t="n">
        <v>2023</v>
      </c>
      <c r="B1061" s="2" t="s">
        <v>70</v>
      </c>
      <c r="C1061" s="2" t="s">
        <v>414</v>
      </c>
      <c r="D1061" s="2" t="s">
        <v>29</v>
      </c>
      <c r="E1061" s="2" t="n">
        <v>5</v>
      </c>
      <c r="F1061" s="2" t="n">
        <v>20</v>
      </c>
      <c r="G1061" s="2" t="n">
        <v>13</v>
      </c>
      <c r="H1061" s="2" t="n">
        <v>5</v>
      </c>
      <c r="I1061" s="2" t="n">
        <v>5</v>
      </c>
      <c r="J1061" s="2" t="n">
        <v>93</v>
      </c>
      <c r="K1061" s="2" t="n">
        <v>120</v>
      </c>
      <c r="L1061" s="11" t="b">
        <f aca="false">TRUE()</f>
        <v>1</v>
      </c>
      <c r="M1061" s="2" t="s">
        <v>406</v>
      </c>
      <c r="N1061" s="2" t="n">
        <f aca="false">IF(E1061&gt;0,F1061/E1061,"")</f>
        <v>4</v>
      </c>
      <c r="O1061" s="2" t="n">
        <f aca="false">IF(AND(E1061&gt;0,L1061),J1061/E1061,"")</f>
        <v>18.6</v>
      </c>
    </row>
    <row r="1062" customFormat="false" ht="15" hidden="false" customHeight="false" outlineLevel="0" collapsed="false">
      <c r="A1062" s="2" t="n">
        <v>2023</v>
      </c>
      <c r="B1062" s="2" t="s">
        <v>98</v>
      </c>
      <c r="C1062" s="2" t="s">
        <v>420</v>
      </c>
      <c r="D1062" s="2" t="s">
        <v>29</v>
      </c>
      <c r="E1062" s="2" t="n">
        <v>8</v>
      </c>
      <c r="F1062" s="2" t="n">
        <v>24</v>
      </c>
      <c r="G1062" s="2" t="n">
        <v>17</v>
      </c>
      <c r="H1062" s="2" t="n">
        <v>5</v>
      </c>
      <c r="I1062" s="2" t="n">
        <v>25</v>
      </c>
      <c r="J1062" s="2" t="n">
        <v>269</v>
      </c>
      <c r="K1062" s="2" t="n">
        <v>318</v>
      </c>
      <c r="L1062" s="11" t="b">
        <f aca="false">TRUE()</f>
        <v>1</v>
      </c>
      <c r="M1062" s="2" t="s">
        <v>406</v>
      </c>
      <c r="N1062" s="2" t="n">
        <f aca="false">IF(E1062&gt;0,F1062/E1062,"")</f>
        <v>3</v>
      </c>
      <c r="O1062" s="2" t="n">
        <f aca="false">IF(AND(E1062&gt;0,L1062),J1062/E1062,"")</f>
        <v>33.625</v>
      </c>
    </row>
    <row r="1063" customFormat="false" ht="15" hidden="false" customHeight="false" outlineLevel="0" collapsed="false">
      <c r="A1063" s="2" t="n">
        <v>2023</v>
      </c>
      <c r="B1063" s="2" t="s">
        <v>231</v>
      </c>
      <c r="C1063" s="2" t="s">
        <v>412</v>
      </c>
      <c r="D1063" s="2" t="s">
        <v>115</v>
      </c>
      <c r="E1063" s="2" t="n">
        <v>3</v>
      </c>
      <c r="F1063" s="2" t="n">
        <v>5</v>
      </c>
      <c r="G1063" s="2" t="n">
        <v>2</v>
      </c>
      <c r="H1063" s="2" t="n">
        <v>1</v>
      </c>
      <c r="I1063" s="2" t="n">
        <v>0</v>
      </c>
      <c r="J1063" s="2" t="n">
        <v>5</v>
      </c>
      <c r="K1063" s="2" t="n">
        <v>12</v>
      </c>
      <c r="L1063" s="11" t="b">
        <f aca="false">TRUE()</f>
        <v>1</v>
      </c>
      <c r="M1063" s="2" t="s">
        <v>406</v>
      </c>
      <c r="N1063" s="2" t="n">
        <f aca="false">IF(E1063&gt;0,F1063/E1063,"")</f>
        <v>1.66666666666667</v>
      </c>
      <c r="O1063" s="2" t="n">
        <f aca="false">IF(AND(E1063&gt;0,L1063),J1063/E1063,"")</f>
        <v>1.66666666666667</v>
      </c>
    </row>
    <row r="1064" customFormat="false" ht="15" hidden="false" customHeight="false" outlineLevel="0" collapsed="false">
      <c r="A1064" s="2" t="n">
        <v>2023</v>
      </c>
      <c r="B1064" s="2" t="s">
        <v>537</v>
      </c>
      <c r="C1064" s="2" t="s">
        <v>412</v>
      </c>
      <c r="D1064" s="2" t="s">
        <v>413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11" t="b">
        <f aca="false">TRUE()</f>
        <v>1</v>
      </c>
      <c r="M1064" s="2" t="s">
        <v>410</v>
      </c>
      <c r="N1064" s="2" t="str">
        <f aca="false">IF(E1064&gt;0,F1064/E1064,"")</f>
        <v/>
      </c>
      <c r="O1064" s="2" t="str">
        <f aca="false">IF(AND(E1064&gt;0,L1064),J1064/E1064,"")</f>
        <v/>
      </c>
    </row>
    <row r="1065" customFormat="false" ht="15" hidden="false" customHeight="false" outlineLevel="0" collapsed="false">
      <c r="A1065" s="2" t="n">
        <v>2023</v>
      </c>
      <c r="B1065" s="2" t="s">
        <v>141</v>
      </c>
      <c r="C1065" s="2" t="s">
        <v>420</v>
      </c>
      <c r="D1065" s="2" t="s">
        <v>29</v>
      </c>
      <c r="E1065" s="2" t="n">
        <v>10</v>
      </c>
      <c r="F1065" s="2" t="n">
        <v>34</v>
      </c>
      <c r="G1065" s="2" t="n">
        <v>22</v>
      </c>
      <c r="H1065" s="2" t="n">
        <v>14</v>
      </c>
      <c r="I1065" s="2" t="n">
        <v>4</v>
      </c>
      <c r="J1065" s="2" t="n">
        <v>90</v>
      </c>
      <c r="K1065" s="2" t="n">
        <v>131</v>
      </c>
      <c r="L1065" s="11" t="b">
        <f aca="false">TRUE()</f>
        <v>1</v>
      </c>
      <c r="M1065" s="2" t="s">
        <v>406</v>
      </c>
      <c r="N1065" s="2" t="n">
        <f aca="false">IF(E1065&gt;0,F1065/E1065,"")</f>
        <v>3.4</v>
      </c>
      <c r="O1065" s="2" t="n">
        <f aca="false">IF(AND(E1065&gt;0,L1065),J1065/E1065,"")</f>
        <v>9</v>
      </c>
    </row>
    <row r="1066" customFormat="false" ht="15" hidden="false" customHeight="false" outlineLevel="0" collapsed="false">
      <c r="A1066" s="2" t="n">
        <v>2023</v>
      </c>
      <c r="B1066" s="2" t="s">
        <v>25</v>
      </c>
      <c r="C1066" s="2" t="s">
        <v>518</v>
      </c>
      <c r="D1066" s="2" t="s">
        <v>24</v>
      </c>
      <c r="E1066" s="2" t="n">
        <v>10</v>
      </c>
      <c r="F1066" s="2" t="n">
        <v>77</v>
      </c>
      <c r="G1066" s="2" t="n">
        <v>49</v>
      </c>
      <c r="H1066" s="2" t="n">
        <v>15</v>
      </c>
      <c r="I1066" s="2" t="n">
        <v>15</v>
      </c>
      <c r="J1066" s="2" t="n">
        <v>227</v>
      </c>
      <c r="K1066" s="2" t="n">
        <v>322</v>
      </c>
      <c r="L1066" s="11" t="b">
        <f aca="false">TRUE()</f>
        <v>1</v>
      </c>
      <c r="M1066" s="2" t="s">
        <v>406</v>
      </c>
      <c r="N1066" s="2" t="n">
        <f aca="false">IF(E1066&gt;0,F1066/E1066,"")</f>
        <v>7.7</v>
      </c>
      <c r="O1066" s="2" t="n">
        <f aca="false">IF(AND(E1066&gt;0,L1066),J1066/E1066,"")</f>
        <v>22.7</v>
      </c>
    </row>
    <row r="1067" customFormat="false" ht="15" hidden="false" customHeight="false" outlineLevel="0" collapsed="false">
      <c r="A1067" s="2" t="n">
        <v>2023</v>
      </c>
      <c r="B1067" s="2" t="s">
        <v>206</v>
      </c>
      <c r="C1067" s="2" t="s">
        <v>414</v>
      </c>
      <c r="D1067" s="2" t="s">
        <v>115</v>
      </c>
      <c r="E1067" s="2" t="n">
        <v>10</v>
      </c>
      <c r="F1067" s="2" t="n">
        <v>5</v>
      </c>
      <c r="G1067" s="2" t="n">
        <v>1</v>
      </c>
      <c r="H1067" s="2" t="n">
        <v>1</v>
      </c>
      <c r="I1067" s="2" t="n">
        <v>1</v>
      </c>
      <c r="J1067" s="2" t="n">
        <v>30</v>
      </c>
      <c r="K1067" s="2" t="n">
        <v>35</v>
      </c>
      <c r="L1067" s="11" t="b">
        <f aca="false">TRUE()</f>
        <v>1</v>
      </c>
      <c r="M1067" s="2" t="s">
        <v>406</v>
      </c>
      <c r="N1067" s="2" t="n">
        <f aca="false">IF(E1067&gt;0,F1067/E1067,"")</f>
        <v>0.5</v>
      </c>
      <c r="O1067" s="2" t="n">
        <f aca="false">IF(AND(E1067&gt;0,L1067),J1067/E1067,"")</f>
        <v>3</v>
      </c>
    </row>
    <row r="1068" customFormat="false" ht="15" hidden="false" customHeight="false" outlineLevel="0" collapsed="false">
      <c r="A1068" s="2" t="n">
        <v>2023</v>
      </c>
      <c r="B1068" s="2" t="s">
        <v>620</v>
      </c>
      <c r="C1068" s="2" t="s">
        <v>545</v>
      </c>
      <c r="D1068" s="2" t="s">
        <v>24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11" t="b">
        <f aca="false">TRUE()</f>
        <v>1</v>
      </c>
      <c r="M1068" s="2" t="s">
        <v>410</v>
      </c>
      <c r="N1068" s="2" t="str">
        <f aca="false">IF(E1068&gt;0,F1068/E1068,"")</f>
        <v/>
      </c>
      <c r="O1068" s="2" t="str">
        <f aca="false">IF(AND(E1068&gt;0,L1068),J1068/E1068,"")</f>
        <v/>
      </c>
    </row>
    <row r="1069" customFormat="false" ht="15" hidden="false" customHeight="false" outlineLevel="0" collapsed="false">
      <c r="A1069" s="2" t="n">
        <v>2023</v>
      </c>
      <c r="B1069" s="2" t="s">
        <v>344</v>
      </c>
      <c r="C1069" s="2" t="s">
        <v>545</v>
      </c>
      <c r="D1069" s="2" t="s">
        <v>117</v>
      </c>
      <c r="E1069" s="2" t="n">
        <v>2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8</v>
      </c>
      <c r="K1069" s="2" t="n">
        <v>9</v>
      </c>
      <c r="L1069" s="11" t="b">
        <f aca="false">TRUE()</f>
        <v>1</v>
      </c>
      <c r="M1069" s="2" t="s">
        <v>410</v>
      </c>
      <c r="N1069" s="2" t="n">
        <f aca="false">IF(E1069&gt;0,F1069/E1069,"")</f>
        <v>0</v>
      </c>
      <c r="O1069" s="2" t="n">
        <f aca="false">IF(AND(E1069&gt;0,L1069),J1069/E1069,"")</f>
        <v>4</v>
      </c>
    </row>
    <row r="1070" customFormat="false" ht="15" hidden="false" customHeight="false" outlineLevel="0" collapsed="false">
      <c r="A1070" s="2" t="n">
        <v>2023</v>
      </c>
      <c r="B1070" s="2" t="s">
        <v>380</v>
      </c>
      <c r="C1070" s="2" t="s">
        <v>420</v>
      </c>
      <c r="D1070" s="2" t="s">
        <v>117</v>
      </c>
      <c r="E1070" s="2" t="n">
        <v>2</v>
      </c>
      <c r="F1070" s="2" t="n">
        <v>0</v>
      </c>
      <c r="G1070" s="2" t="n">
        <v>0</v>
      </c>
      <c r="H1070" s="2" t="n">
        <v>0</v>
      </c>
      <c r="I1070" s="2" t="n">
        <v>1</v>
      </c>
      <c r="J1070" s="2" t="n">
        <v>6</v>
      </c>
      <c r="K1070" s="2" t="n">
        <v>6</v>
      </c>
      <c r="L1070" s="11" t="b">
        <f aca="false">TRUE()</f>
        <v>1</v>
      </c>
      <c r="M1070" s="2" t="s">
        <v>410</v>
      </c>
      <c r="N1070" s="2" t="n">
        <f aca="false">IF(E1070&gt;0,F1070/E1070,"")</f>
        <v>0</v>
      </c>
      <c r="O1070" s="2" t="n">
        <f aca="false">IF(AND(E1070&gt;0,L1070),J1070/E1070,"")</f>
        <v>3</v>
      </c>
    </row>
    <row r="1071" customFormat="false" ht="15" hidden="false" customHeight="false" outlineLevel="0" collapsed="false">
      <c r="A1071" s="2" t="n">
        <v>2023</v>
      </c>
      <c r="B1071" s="2" t="s">
        <v>31</v>
      </c>
      <c r="C1071" s="2" t="s">
        <v>412</v>
      </c>
      <c r="D1071" s="2" t="s">
        <v>24</v>
      </c>
      <c r="E1071" s="2" t="n">
        <v>10</v>
      </c>
      <c r="F1071" s="2" t="n">
        <v>36</v>
      </c>
      <c r="G1071" s="2" t="n">
        <v>27</v>
      </c>
      <c r="H1071" s="2" t="n">
        <v>11</v>
      </c>
      <c r="I1071" s="2" t="n">
        <v>25</v>
      </c>
      <c r="J1071" s="2" t="n">
        <v>301</v>
      </c>
      <c r="K1071" s="2" t="n">
        <v>358</v>
      </c>
      <c r="L1071" s="11" t="b">
        <f aca="false">TRUE()</f>
        <v>1</v>
      </c>
      <c r="M1071" s="2" t="s">
        <v>406</v>
      </c>
      <c r="N1071" s="2" t="n">
        <f aca="false">IF(E1071&gt;0,F1071/E1071,"")</f>
        <v>3.6</v>
      </c>
      <c r="O1071" s="2" t="n">
        <f aca="false">IF(AND(E1071&gt;0,L1071),J1071/E1071,"")</f>
        <v>30.1</v>
      </c>
    </row>
    <row r="1072" customFormat="false" ht="15" hidden="false" customHeight="false" outlineLevel="0" collapsed="false">
      <c r="A1072" s="2" t="n">
        <v>2023</v>
      </c>
      <c r="B1072" s="2" t="s">
        <v>90</v>
      </c>
      <c r="C1072" s="2" t="s">
        <v>418</v>
      </c>
      <c r="D1072" s="2" t="s">
        <v>83</v>
      </c>
      <c r="E1072" s="2" t="n">
        <v>10</v>
      </c>
      <c r="F1072" s="2" t="n">
        <v>15</v>
      </c>
      <c r="G1072" s="2" t="n">
        <v>8</v>
      </c>
      <c r="H1072" s="2" t="n">
        <v>3</v>
      </c>
      <c r="I1072" s="2" t="n">
        <v>2</v>
      </c>
      <c r="J1072" s="2" t="n">
        <v>95</v>
      </c>
      <c r="K1072" s="2" t="n">
        <v>118</v>
      </c>
      <c r="L1072" s="11" t="b">
        <f aca="false">TRUE()</f>
        <v>1</v>
      </c>
      <c r="M1072" s="2" t="s">
        <v>406</v>
      </c>
      <c r="N1072" s="2" t="n">
        <f aca="false">IF(E1072&gt;0,F1072/E1072,"")</f>
        <v>1.5</v>
      </c>
      <c r="O1072" s="2" t="n">
        <f aca="false">IF(AND(E1072&gt;0,L1072),J1072/E1072,"")</f>
        <v>9.5</v>
      </c>
    </row>
    <row r="1073" customFormat="false" ht="15" hidden="false" customHeight="false" outlineLevel="0" collapsed="false">
      <c r="A1073" s="2" t="n">
        <v>2023</v>
      </c>
      <c r="B1073" s="2" t="s">
        <v>105</v>
      </c>
      <c r="C1073" s="2" t="s">
        <v>405</v>
      </c>
      <c r="D1073" s="2" t="s">
        <v>83</v>
      </c>
      <c r="E1073" s="2" t="n">
        <v>8</v>
      </c>
      <c r="F1073" s="2" t="n">
        <v>11</v>
      </c>
      <c r="G1073" s="2" t="n">
        <v>3</v>
      </c>
      <c r="H1073" s="2" t="n">
        <v>2</v>
      </c>
      <c r="I1073" s="2" t="n">
        <v>0</v>
      </c>
      <c r="J1073" s="2" t="n">
        <v>59</v>
      </c>
      <c r="K1073" s="2" t="n">
        <v>74</v>
      </c>
      <c r="L1073" s="11" t="b">
        <f aca="false">TRUE()</f>
        <v>1</v>
      </c>
      <c r="M1073" s="2" t="s">
        <v>406</v>
      </c>
      <c r="N1073" s="2" t="n">
        <f aca="false">IF(E1073&gt;0,F1073/E1073,"")</f>
        <v>1.375</v>
      </c>
      <c r="O1073" s="2" t="n">
        <f aca="false">IF(AND(E1073&gt;0,L1073),J1073/E1073,"")</f>
        <v>7.375</v>
      </c>
    </row>
    <row r="1074" customFormat="false" ht="15" hidden="false" customHeight="false" outlineLevel="0" collapsed="false">
      <c r="A1074" s="2" t="n">
        <v>2023</v>
      </c>
      <c r="B1074" s="2" t="s">
        <v>125</v>
      </c>
      <c r="C1074" s="2" t="s">
        <v>545</v>
      </c>
      <c r="D1074" s="2" t="s">
        <v>24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11" t="b">
        <f aca="false">TRUE()</f>
        <v>1</v>
      </c>
      <c r="M1074" s="2" t="s">
        <v>410</v>
      </c>
      <c r="N1074" s="2" t="str">
        <f aca="false">IF(E1074&gt;0,F1074/E1074,"")</f>
        <v/>
      </c>
      <c r="O1074" s="2" t="str">
        <f aca="false">IF(AND(E1074&gt;0,L1074),J1074/E1074,"")</f>
        <v/>
      </c>
    </row>
    <row r="1075" customFormat="false" ht="15" hidden="false" customHeight="false" outlineLevel="0" collapsed="false">
      <c r="A1075" s="2" t="n">
        <v>2023</v>
      </c>
      <c r="B1075" s="2" t="s">
        <v>207</v>
      </c>
      <c r="C1075" s="2" t="s">
        <v>405</v>
      </c>
      <c r="D1075" s="2" t="s">
        <v>29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11" t="b">
        <f aca="false">TRUE()</f>
        <v>1</v>
      </c>
      <c r="M1075" s="2" t="s">
        <v>410</v>
      </c>
      <c r="N1075" s="2" t="str">
        <f aca="false">IF(E1075&gt;0,F1075/E1075,"")</f>
        <v/>
      </c>
      <c r="O1075" s="2" t="str">
        <f aca="false">IF(AND(E1075&gt;0,L1075),J1075/E1075,"")</f>
        <v/>
      </c>
    </row>
    <row r="1076" customFormat="false" ht="15" hidden="false" customHeight="false" outlineLevel="0" collapsed="false">
      <c r="A1076" s="2" t="n">
        <v>2023</v>
      </c>
      <c r="B1076" s="2" t="s">
        <v>111</v>
      </c>
      <c r="C1076" s="2" t="s">
        <v>545</v>
      </c>
      <c r="D1076" s="2" t="s">
        <v>83</v>
      </c>
      <c r="E1076" s="2" t="n">
        <v>10</v>
      </c>
      <c r="F1076" s="2" t="n">
        <v>10</v>
      </c>
      <c r="G1076" s="2" t="n">
        <v>3</v>
      </c>
      <c r="H1076" s="2" t="n">
        <v>2</v>
      </c>
      <c r="I1076" s="2" t="n">
        <v>2</v>
      </c>
      <c r="J1076" s="2" t="n">
        <v>60</v>
      </c>
      <c r="K1076" s="2" t="n">
        <v>73</v>
      </c>
      <c r="L1076" s="11" t="b">
        <f aca="false">TRUE()</f>
        <v>1</v>
      </c>
      <c r="M1076" s="2" t="s">
        <v>406</v>
      </c>
      <c r="N1076" s="2" t="n">
        <f aca="false">IF(E1076&gt;0,F1076/E1076,"")</f>
        <v>1</v>
      </c>
      <c r="O1076" s="2" t="n">
        <f aca="false">IF(AND(E1076&gt;0,L1076),J1076/E1076,"")</f>
        <v>6</v>
      </c>
    </row>
    <row r="1077" customFormat="false" ht="15" hidden="false" customHeight="false" outlineLevel="0" collapsed="false">
      <c r="A1077" s="2" t="n">
        <v>2023</v>
      </c>
      <c r="B1077" s="2" t="s">
        <v>621</v>
      </c>
      <c r="C1077" s="2" t="s">
        <v>518</v>
      </c>
      <c r="D1077" s="2" t="s">
        <v>24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11" t="b">
        <f aca="false">TRUE()</f>
        <v>1</v>
      </c>
      <c r="M1077" s="2" t="s">
        <v>410</v>
      </c>
      <c r="N1077" s="2" t="str">
        <f aca="false">IF(E1077&gt;0,F1077/E1077,"")</f>
        <v/>
      </c>
      <c r="O1077" s="2" t="str">
        <f aca="false">IF(AND(E1077&gt;0,L1077),J1077/E1077,"")</f>
        <v/>
      </c>
    </row>
    <row r="1078" customFormat="false" ht="15" hidden="false" customHeight="false" outlineLevel="0" collapsed="false">
      <c r="A1078" s="2" t="n">
        <v>2023</v>
      </c>
      <c r="B1078" s="2" t="s">
        <v>508</v>
      </c>
      <c r="C1078" s="2" t="s">
        <v>405</v>
      </c>
      <c r="D1078" s="2" t="s">
        <v>409</v>
      </c>
      <c r="E1078" s="2" t="n">
        <v>1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11" t="b">
        <f aca="false">TRUE()</f>
        <v>1</v>
      </c>
      <c r="M1078" s="2" t="s">
        <v>410</v>
      </c>
      <c r="N1078" s="2" t="n">
        <f aca="false">IF(E1078&gt;0,F1078/E1078,"")</f>
        <v>0</v>
      </c>
      <c r="O1078" s="2" t="n">
        <f aca="false">IF(AND(E1078&gt;0,L1078),J1078/E1078,"")</f>
        <v>0</v>
      </c>
    </row>
    <row r="1079" customFormat="false" ht="15" hidden="false" customHeight="false" outlineLevel="0" collapsed="false">
      <c r="A1079" s="2" t="n">
        <v>2023</v>
      </c>
      <c r="B1079" s="2" t="s">
        <v>603</v>
      </c>
      <c r="C1079" s="2" t="s">
        <v>518</v>
      </c>
      <c r="D1079" s="2" t="s">
        <v>413</v>
      </c>
      <c r="E1079" s="2" t="n">
        <v>1</v>
      </c>
      <c r="F1079" s="2" t="n">
        <v>1</v>
      </c>
      <c r="G1079" s="2" t="n">
        <v>1</v>
      </c>
      <c r="H1079" s="2" t="n">
        <v>0</v>
      </c>
      <c r="I1079" s="2" t="n">
        <v>0</v>
      </c>
      <c r="J1079" s="2" t="n">
        <v>1</v>
      </c>
      <c r="K1079" s="2" t="n">
        <v>3</v>
      </c>
      <c r="L1079" s="11" t="b">
        <f aca="false">TRUE()</f>
        <v>1</v>
      </c>
      <c r="M1079" s="2" t="s">
        <v>410</v>
      </c>
      <c r="N1079" s="2" t="n">
        <f aca="false">IF(E1079&gt;0,F1079/E1079,"")</f>
        <v>1</v>
      </c>
      <c r="O1079" s="2" t="n">
        <f aca="false">IF(AND(E1079&gt;0,L1079),J1079/E1079,"")</f>
        <v>1</v>
      </c>
    </row>
    <row r="1080" customFormat="false" ht="15" hidden="false" customHeight="false" outlineLevel="0" collapsed="false">
      <c r="A1080" s="2" t="n">
        <v>2023</v>
      </c>
      <c r="B1080" s="2" t="s">
        <v>288</v>
      </c>
      <c r="C1080" s="2" t="s">
        <v>543</v>
      </c>
      <c r="D1080" s="2" t="s">
        <v>24</v>
      </c>
      <c r="E1080" s="2" t="n">
        <v>2</v>
      </c>
      <c r="F1080" s="2" t="n">
        <v>4</v>
      </c>
      <c r="G1080" s="2" t="n">
        <v>4</v>
      </c>
      <c r="H1080" s="2" t="n">
        <v>2</v>
      </c>
      <c r="I1080" s="2" t="n">
        <v>0</v>
      </c>
      <c r="J1080" s="2" t="n">
        <v>24</v>
      </c>
      <c r="K1080" s="2" t="n">
        <v>36</v>
      </c>
      <c r="L1080" s="11" t="b">
        <f aca="false">TRUE()</f>
        <v>1</v>
      </c>
      <c r="M1080" s="2" t="s">
        <v>410</v>
      </c>
      <c r="N1080" s="2" t="n">
        <f aca="false">IF(E1080&gt;0,F1080/E1080,"")</f>
        <v>2</v>
      </c>
      <c r="O1080" s="2" t="n">
        <f aca="false">IF(AND(E1080&gt;0,L1080),J1080/E1080,"")</f>
        <v>12</v>
      </c>
    </row>
    <row r="1081" customFormat="false" ht="15" hidden="false" customHeight="false" outlineLevel="0" collapsed="false">
      <c r="A1081" s="2" t="n">
        <v>2023</v>
      </c>
      <c r="B1081" s="2" t="s">
        <v>57</v>
      </c>
      <c r="C1081" s="2" t="s">
        <v>518</v>
      </c>
      <c r="D1081" s="2" t="s">
        <v>24</v>
      </c>
      <c r="E1081" s="2" t="n">
        <v>10</v>
      </c>
      <c r="F1081" s="2" t="n">
        <v>57</v>
      </c>
      <c r="G1081" s="2" t="n">
        <v>41</v>
      </c>
      <c r="H1081" s="2" t="n">
        <v>16</v>
      </c>
      <c r="I1081" s="2" t="n">
        <v>14</v>
      </c>
      <c r="J1081" s="2" t="n">
        <v>271</v>
      </c>
      <c r="K1081" s="2" t="n">
        <v>335</v>
      </c>
      <c r="L1081" s="11" t="b">
        <f aca="false">TRUE()</f>
        <v>1</v>
      </c>
      <c r="M1081" s="2" t="s">
        <v>406</v>
      </c>
      <c r="N1081" s="2" t="n">
        <f aca="false">IF(E1081&gt;0,F1081/E1081,"")</f>
        <v>5.7</v>
      </c>
      <c r="O1081" s="2" t="n">
        <f aca="false">IF(AND(E1081&gt;0,L1081),J1081/E1081,"")</f>
        <v>27.1</v>
      </c>
    </row>
    <row r="1082" customFormat="false" ht="15" hidden="false" customHeight="false" outlineLevel="0" collapsed="false">
      <c r="A1082" s="2" t="n">
        <v>2023</v>
      </c>
      <c r="B1082" s="2" t="s">
        <v>539</v>
      </c>
      <c r="C1082" s="2" t="s">
        <v>518</v>
      </c>
      <c r="D1082" s="2" t="s">
        <v>409</v>
      </c>
      <c r="E1082" s="2" t="n">
        <v>6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59</v>
      </c>
      <c r="K1082" s="2" t="n">
        <v>61</v>
      </c>
      <c r="L1082" s="11" t="b">
        <f aca="false">TRUE()</f>
        <v>1</v>
      </c>
      <c r="M1082" s="2" t="s">
        <v>410</v>
      </c>
      <c r="N1082" s="2" t="n">
        <f aca="false">IF(E1082&gt;0,F1082/E1082,"")</f>
        <v>0</v>
      </c>
      <c r="O1082" s="2" t="n">
        <f aca="false">IF(AND(E1082&gt;0,L1082),J1082/E1082,"")</f>
        <v>9.83333333333333</v>
      </c>
    </row>
    <row r="1083" customFormat="false" ht="15" hidden="false" customHeight="false" outlineLevel="0" collapsed="false">
      <c r="A1083" s="2" t="n">
        <v>2023</v>
      </c>
      <c r="B1083" s="2" t="s">
        <v>245</v>
      </c>
      <c r="C1083" s="2" t="s">
        <v>414</v>
      </c>
      <c r="D1083" s="2" t="s">
        <v>83</v>
      </c>
      <c r="E1083" s="2" t="n">
        <v>10</v>
      </c>
      <c r="F1083" s="2" t="n">
        <v>4</v>
      </c>
      <c r="G1083" s="2" t="n">
        <v>1</v>
      </c>
      <c r="H1083" s="2" t="n">
        <v>1</v>
      </c>
      <c r="I1083" s="2" t="n">
        <v>0</v>
      </c>
      <c r="J1083" s="2" t="n">
        <v>39</v>
      </c>
      <c r="K1083" s="2" t="n">
        <v>45</v>
      </c>
      <c r="L1083" s="11" t="b">
        <f aca="false">TRUE()</f>
        <v>1</v>
      </c>
      <c r="M1083" s="2" t="s">
        <v>406</v>
      </c>
      <c r="N1083" s="2" t="n">
        <f aca="false">IF(E1083&gt;0,F1083/E1083,"")</f>
        <v>0.4</v>
      </c>
      <c r="O1083" s="2" t="n">
        <f aca="false">IF(AND(E1083&gt;0,L1083),J1083/E1083,"")</f>
        <v>3.9</v>
      </c>
    </row>
    <row r="1084" customFormat="false" ht="15" hidden="false" customHeight="false" outlineLevel="0" collapsed="false">
      <c r="A1084" s="2" t="n">
        <v>2023</v>
      </c>
      <c r="B1084" s="2" t="s">
        <v>584</v>
      </c>
      <c r="C1084" s="2" t="s">
        <v>408</v>
      </c>
      <c r="D1084" s="2" t="s">
        <v>409</v>
      </c>
      <c r="E1084" s="2" t="n">
        <v>4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10</v>
      </c>
      <c r="K1084" s="2" t="n">
        <v>10</v>
      </c>
      <c r="L1084" s="11" t="b">
        <f aca="false">TRUE()</f>
        <v>1</v>
      </c>
      <c r="M1084" s="2" t="s">
        <v>410</v>
      </c>
      <c r="N1084" s="2" t="n">
        <f aca="false">IF(E1084&gt;0,F1084/E1084,"")</f>
        <v>0</v>
      </c>
      <c r="O1084" s="2" t="n">
        <f aca="false">IF(AND(E1084&gt;0,L1084),J1084/E1084,"")</f>
        <v>2.5</v>
      </c>
    </row>
    <row r="1085" customFormat="false" ht="15" hidden="false" customHeight="false" outlineLevel="0" collapsed="false">
      <c r="A1085" s="2" t="n">
        <v>2023</v>
      </c>
      <c r="B1085" s="2" t="s">
        <v>330</v>
      </c>
      <c r="C1085" s="2" t="s">
        <v>545</v>
      </c>
      <c r="D1085" s="2" t="s">
        <v>117</v>
      </c>
      <c r="E1085" s="2" t="n">
        <v>7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41</v>
      </c>
      <c r="K1085" s="2" t="n">
        <v>44</v>
      </c>
      <c r="L1085" s="11" t="b">
        <f aca="false">TRUE()</f>
        <v>1</v>
      </c>
      <c r="M1085" s="2" t="s">
        <v>406</v>
      </c>
      <c r="N1085" s="2" t="n">
        <f aca="false">IF(E1085&gt;0,F1085/E1085,"")</f>
        <v>0</v>
      </c>
      <c r="O1085" s="2" t="n">
        <f aca="false">IF(AND(E1085&gt;0,L1085),J1085/E1085,"")</f>
        <v>5.85714285714286</v>
      </c>
    </row>
    <row r="1086" customFormat="false" ht="15" hidden="false" customHeight="false" outlineLevel="0" collapsed="false">
      <c r="A1086" s="2" t="n">
        <v>2023</v>
      </c>
      <c r="B1086" s="2" t="s">
        <v>282</v>
      </c>
      <c r="C1086" s="2" t="s">
        <v>418</v>
      </c>
      <c r="D1086" s="2" t="s">
        <v>117</v>
      </c>
      <c r="E1086" s="2" t="n">
        <v>1</v>
      </c>
      <c r="F1086" s="2" t="n">
        <v>1</v>
      </c>
      <c r="G1086" s="2" t="n">
        <v>1</v>
      </c>
      <c r="H1086" s="2" t="n">
        <v>1</v>
      </c>
      <c r="I1086" s="2" t="n">
        <v>0</v>
      </c>
      <c r="J1086" s="2" t="n">
        <v>9</v>
      </c>
      <c r="K1086" s="2" t="n">
        <v>10</v>
      </c>
      <c r="L1086" s="11" t="b">
        <f aca="false">TRUE()</f>
        <v>1</v>
      </c>
      <c r="M1086" s="2" t="s">
        <v>410</v>
      </c>
      <c r="N1086" s="2" t="n">
        <f aca="false">IF(E1086&gt;0,F1086/E1086,"")</f>
        <v>1</v>
      </c>
      <c r="O1086" s="2" t="n">
        <f aca="false">IF(AND(E1086&gt;0,L1086),J1086/E1086,"")</f>
        <v>9</v>
      </c>
    </row>
    <row r="1087" customFormat="false" ht="15" hidden="false" customHeight="false" outlineLevel="0" collapsed="false">
      <c r="A1087" s="2" t="n">
        <v>2023</v>
      </c>
      <c r="B1087" s="2" t="s">
        <v>124</v>
      </c>
      <c r="C1087" s="2" t="s">
        <v>518</v>
      </c>
      <c r="D1087" s="2" t="s">
        <v>83</v>
      </c>
      <c r="E1087" s="2" t="n">
        <v>10</v>
      </c>
      <c r="F1087" s="2" t="n">
        <v>12</v>
      </c>
      <c r="G1087" s="2" t="n">
        <v>9</v>
      </c>
      <c r="H1087" s="2" t="n">
        <v>5</v>
      </c>
      <c r="I1087" s="2" t="n">
        <v>0</v>
      </c>
      <c r="J1087" s="2" t="n">
        <v>57</v>
      </c>
      <c r="K1087" s="2" t="n">
        <v>71</v>
      </c>
      <c r="L1087" s="11" t="b">
        <f aca="false">TRUE()</f>
        <v>1</v>
      </c>
      <c r="M1087" s="2" t="s">
        <v>406</v>
      </c>
      <c r="N1087" s="2" t="n">
        <f aca="false">IF(E1087&gt;0,F1087/E1087,"")</f>
        <v>1.2</v>
      </c>
      <c r="O1087" s="2" t="n">
        <f aca="false">IF(AND(E1087&gt;0,L1087),J1087/E1087,"")</f>
        <v>5.7</v>
      </c>
    </row>
    <row r="1088" customFormat="false" ht="15" hidden="false" customHeight="false" outlineLevel="0" collapsed="false">
      <c r="A1088" s="2" t="n">
        <v>2023</v>
      </c>
      <c r="B1088" s="2" t="s">
        <v>212</v>
      </c>
      <c r="C1088" s="2" t="s">
        <v>418</v>
      </c>
      <c r="D1088" s="2" t="s">
        <v>29</v>
      </c>
      <c r="E1088" s="2" t="n">
        <v>2</v>
      </c>
      <c r="F1088" s="2" t="n">
        <v>6</v>
      </c>
      <c r="G1088" s="2" t="n">
        <v>3</v>
      </c>
      <c r="H1088" s="2" t="n">
        <v>1</v>
      </c>
      <c r="I1088" s="2" t="n">
        <v>0</v>
      </c>
      <c r="J1088" s="2" t="n">
        <v>15</v>
      </c>
      <c r="K1088" s="2" t="n">
        <v>27</v>
      </c>
      <c r="L1088" s="11" t="b">
        <f aca="false">TRUE()</f>
        <v>1</v>
      </c>
      <c r="M1088" s="2" t="s">
        <v>410</v>
      </c>
      <c r="N1088" s="2" t="n">
        <f aca="false">IF(E1088&gt;0,F1088/E1088,"")</f>
        <v>3</v>
      </c>
      <c r="O1088" s="2" t="n">
        <f aca="false">IF(AND(E1088&gt;0,L1088),J1088/E1088,"")</f>
        <v>7.5</v>
      </c>
    </row>
    <row r="1089" customFormat="false" ht="15" hidden="false" customHeight="false" outlineLevel="0" collapsed="false">
      <c r="A1089" s="2" t="n">
        <v>2023</v>
      </c>
      <c r="B1089" s="2" t="s">
        <v>50</v>
      </c>
      <c r="C1089" s="2" t="s">
        <v>414</v>
      </c>
      <c r="D1089" s="2" t="s">
        <v>24</v>
      </c>
      <c r="E1089" s="2" t="n">
        <v>9</v>
      </c>
      <c r="F1089" s="2" t="n">
        <v>73</v>
      </c>
      <c r="G1089" s="2" t="n">
        <v>45</v>
      </c>
      <c r="H1089" s="2" t="n">
        <v>15</v>
      </c>
      <c r="I1089" s="2" t="n">
        <v>7</v>
      </c>
      <c r="J1089" s="2" t="n">
        <v>151</v>
      </c>
      <c r="K1089" s="2" t="n">
        <v>237</v>
      </c>
      <c r="L1089" s="11" t="b">
        <f aca="false">TRUE()</f>
        <v>1</v>
      </c>
      <c r="M1089" s="2" t="s">
        <v>406</v>
      </c>
      <c r="N1089" s="2" t="n">
        <f aca="false">IF(E1089&gt;0,F1089/E1089,"")</f>
        <v>8.11111111111111</v>
      </c>
      <c r="O1089" s="2" t="n">
        <f aca="false">IF(AND(E1089&gt;0,L1089),J1089/E1089,"")</f>
        <v>16.7777777777778</v>
      </c>
    </row>
    <row r="1090" customFormat="false" ht="15" hidden="false" customHeight="false" outlineLevel="0" collapsed="false">
      <c r="A1090" s="2" t="n">
        <v>2023</v>
      </c>
      <c r="B1090" s="2" t="s">
        <v>36</v>
      </c>
      <c r="C1090" s="2" t="s">
        <v>418</v>
      </c>
      <c r="D1090" s="2" t="s">
        <v>24</v>
      </c>
      <c r="E1090" s="2" t="n">
        <v>10</v>
      </c>
      <c r="F1090" s="2" t="n">
        <v>54</v>
      </c>
      <c r="G1090" s="2" t="n">
        <v>33</v>
      </c>
      <c r="H1090" s="2" t="n">
        <v>11</v>
      </c>
      <c r="I1090" s="2" t="n">
        <v>7</v>
      </c>
      <c r="J1090" s="2" t="n">
        <v>241</v>
      </c>
      <c r="K1090" s="2" t="n">
        <v>312</v>
      </c>
      <c r="L1090" s="11" t="b">
        <f aca="false">TRUE()</f>
        <v>1</v>
      </c>
      <c r="M1090" s="2" t="s">
        <v>406</v>
      </c>
      <c r="N1090" s="2" t="n">
        <f aca="false">IF(E1090&gt;0,F1090/E1090,"")</f>
        <v>5.4</v>
      </c>
      <c r="O1090" s="2" t="n">
        <f aca="false">IF(AND(E1090&gt;0,L1090),J1090/E1090,"")</f>
        <v>24.1</v>
      </c>
    </row>
    <row r="1091" customFormat="false" ht="15" hidden="false" customHeight="false" outlineLevel="0" collapsed="false">
      <c r="A1091" s="2" t="n">
        <v>2023</v>
      </c>
      <c r="B1091" s="2" t="s">
        <v>540</v>
      </c>
      <c r="C1091" s="2" t="s">
        <v>518</v>
      </c>
      <c r="D1091" s="2" t="s">
        <v>413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11" t="b">
        <f aca="false">TRUE()</f>
        <v>1</v>
      </c>
      <c r="M1091" s="2" t="s">
        <v>410</v>
      </c>
      <c r="N1091" s="2" t="str">
        <f aca="false">IF(E1091&gt;0,F1091/E1091,"")</f>
        <v/>
      </c>
      <c r="O1091" s="2" t="str">
        <f aca="false">IF(AND(E1091&gt;0,L1091),J1091/E1091,"")</f>
        <v/>
      </c>
    </row>
    <row r="1092" customFormat="false" ht="15" hidden="false" customHeight="false" outlineLevel="0" collapsed="false">
      <c r="A1092" s="2" t="n">
        <v>2023</v>
      </c>
      <c r="B1092" s="2" t="s">
        <v>243</v>
      </c>
      <c r="C1092" s="2" t="s">
        <v>408</v>
      </c>
      <c r="D1092" s="2" t="s">
        <v>115</v>
      </c>
      <c r="E1092" s="2" t="n">
        <v>5</v>
      </c>
      <c r="F1092" s="2" t="n">
        <v>3</v>
      </c>
      <c r="G1092" s="2" t="n">
        <v>2</v>
      </c>
      <c r="H1092" s="2" t="n">
        <v>1</v>
      </c>
      <c r="I1092" s="2" t="n">
        <v>0</v>
      </c>
      <c r="J1092" s="2" t="n">
        <v>8</v>
      </c>
      <c r="K1092" s="2" t="n">
        <v>12</v>
      </c>
      <c r="L1092" s="11" t="b">
        <f aca="false">TRUE()</f>
        <v>1</v>
      </c>
      <c r="M1092" s="2" t="s">
        <v>406</v>
      </c>
      <c r="N1092" s="2" t="n">
        <f aca="false">IF(E1092&gt;0,F1092/E1092,"")</f>
        <v>0.6</v>
      </c>
      <c r="O1092" s="2" t="n">
        <f aca="false">IF(AND(E1092&gt;0,L1092),J1092/E1092,"")</f>
        <v>1.6</v>
      </c>
    </row>
    <row r="1093" customFormat="false" ht="15" hidden="false" customHeight="false" outlineLevel="0" collapsed="false">
      <c r="A1093" s="2" t="n">
        <v>2023</v>
      </c>
      <c r="B1093" s="2" t="s">
        <v>198</v>
      </c>
      <c r="C1093" s="2" t="s">
        <v>414</v>
      </c>
      <c r="D1093" s="2" t="s">
        <v>117</v>
      </c>
      <c r="E1093" s="2" t="n">
        <v>10</v>
      </c>
      <c r="F1093" s="2" t="n">
        <v>4</v>
      </c>
      <c r="G1093" s="2" t="n">
        <v>1</v>
      </c>
      <c r="H1093" s="2" t="n">
        <v>1</v>
      </c>
      <c r="I1093" s="2" t="n">
        <v>0</v>
      </c>
      <c r="J1093" s="2" t="n">
        <v>54</v>
      </c>
      <c r="K1093" s="2" t="n">
        <v>63</v>
      </c>
      <c r="L1093" s="11" t="b">
        <f aca="false">TRUE()</f>
        <v>1</v>
      </c>
      <c r="M1093" s="2" t="s">
        <v>406</v>
      </c>
      <c r="N1093" s="2" t="n">
        <f aca="false">IF(E1093&gt;0,F1093/E1093,"")</f>
        <v>0.4</v>
      </c>
      <c r="O1093" s="2" t="n">
        <f aca="false">IF(AND(E1093&gt;0,L1093),J1093/E1093,"")</f>
        <v>5.4</v>
      </c>
    </row>
    <row r="1094" customFormat="false" ht="15" hidden="false" customHeight="false" outlineLevel="0" collapsed="false">
      <c r="A1094" s="2" t="n">
        <v>2023</v>
      </c>
      <c r="B1094" s="2" t="s">
        <v>329</v>
      </c>
      <c r="C1094" s="2" t="s">
        <v>543</v>
      </c>
      <c r="D1094" s="2" t="s">
        <v>83</v>
      </c>
      <c r="E1094" s="2" t="n">
        <v>2</v>
      </c>
      <c r="F1094" s="2" t="n">
        <v>4</v>
      </c>
      <c r="G1094" s="2" t="n">
        <v>2</v>
      </c>
      <c r="H1094" s="2" t="n">
        <v>0</v>
      </c>
      <c r="I1094" s="2" t="n">
        <v>0</v>
      </c>
      <c r="J1094" s="2" t="n">
        <v>26</v>
      </c>
      <c r="K1094" s="2" t="n">
        <v>38</v>
      </c>
      <c r="L1094" s="11" t="b">
        <f aca="false">TRUE()</f>
        <v>1</v>
      </c>
      <c r="M1094" s="2" t="s">
        <v>410</v>
      </c>
      <c r="N1094" s="2" t="n">
        <f aca="false">IF(E1094&gt;0,F1094/E1094,"")</f>
        <v>2</v>
      </c>
      <c r="O1094" s="2" t="n">
        <f aca="false">IF(AND(E1094&gt;0,L1094),J1094/E1094,"")</f>
        <v>13</v>
      </c>
    </row>
    <row r="1095" customFormat="false" ht="15" hidden="false" customHeight="false" outlineLevel="0" collapsed="false">
      <c r="A1095" s="2" t="n">
        <v>2023</v>
      </c>
      <c r="B1095" s="2" t="s">
        <v>148</v>
      </c>
      <c r="C1095" s="2" t="s">
        <v>545</v>
      </c>
      <c r="D1095" s="2" t="s">
        <v>117</v>
      </c>
      <c r="E1095" s="2" t="n">
        <v>7</v>
      </c>
      <c r="F1095" s="2" t="n">
        <v>7</v>
      </c>
      <c r="G1095" s="2" t="n">
        <v>5</v>
      </c>
      <c r="H1095" s="2" t="n">
        <v>4</v>
      </c>
      <c r="I1095" s="2" t="n">
        <v>0</v>
      </c>
      <c r="J1095" s="2" t="n">
        <v>71</v>
      </c>
      <c r="K1095" s="2" t="n">
        <v>83</v>
      </c>
      <c r="L1095" s="11" t="b">
        <f aca="false">TRUE()</f>
        <v>1</v>
      </c>
      <c r="M1095" s="2" t="s">
        <v>406</v>
      </c>
      <c r="N1095" s="2" t="n">
        <f aca="false">IF(E1095&gt;0,F1095/E1095,"")</f>
        <v>1</v>
      </c>
      <c r="O1095" s="2" t="n">
        <f aca="false">IF(AND(E1095&gt;0,L1095),J1095/E1095,"")</f>
        <v>10.1428571428571</v>
      </c>
    </row>
    <row r="1096" customFormat="false" ht="15" hidden="false" customHeight="false" outlineLevel="0" collapsed="false">
      <c r="A1096" s="2" t="n">
        <v>2024</v>
      </c>
      <c r="B1096" s="2" t="s">
        <v>197</v>
      </c>
      <c r="C1096" s="2" t="s">
        <v>412</v>
      </c>
      <c r="D1096" s="2" t="s">
        <v>117</v>
      </c>
      <c r="E1096" s="2" t="n">
        <v>10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58</v>
      </c>
      <c r="K1096" s="2" t="n">
        <v>60</v>
      </c>
      <c r="L1096" s="11" t="b">
        <f aca="false">TRUE()</f>
        <v>1</v>
      </c>
      <c r="M1096" s="2" t="s">
        <v>406</v>
      </c>
      <c r="N1096" s="2" t="n">
        <f aca="false">IF(E1096&gt;0,F1096/E1096,"")</f>
        <v>0</v>
      </c>
      <c r="O1096" s="2" t="n">
        <f aca="false">IF(AND(E1096&gt;0,L1096),J1096/E1096,"")</f>
        <v>5.8</v>
      </c>
    </row>
    <row r="1097" customFormat="false" ht="15" hidden="false" customHeight="false" outlineLevel="0" collapsed="false">
      <c r="A1097" s="2" t="n">
        <v>2024</v>
      </c>
      <c r="B1097" s="2" t="s">
        <v>102</v>
      </c>
      <c r="C1097" s="2" t="s">
        <v>412</v>
      </c>
      <c r="D1097" s="2" t="s">
        <v>29</v>
      </c>
      <c r="E1097" s="2" t="n">
        <v>10</v>
      </c>
      <c r="F1097" s="2" t="n">
        <v>49</v>
      </c>
      <c r="G1097" s="2" t="n">
        <v>32</v>
      </c>
      <c r="H1097" s="2" t="n">
        <v>15</v>
      </c>
      <c r="I1097" s="2" t="n">
        <v>1</v>
      </c>
      <c r="J1097" s="2" t="n">
        <v>187</v>
      </c>
      <c r="K1097" s="2" t="n">
        <v>249</v>
      </c>
      <c r="L1097" s="11" t="b">
        <f aca="false">TRUE()</f>
        <v>1</v>
      </c>
      <c r="M1097" s="2" t="s">
        <v>406</v>
      </c>
      <c r="N1097" s="2" t="n">
        <f aca="false">IF(E1097&gt;0,F1097/E1097,"")</f>
        <v>4.9</v>
      </c>
      <c r="O1097" s="2" t="n">
        <f aca="false">IF(AND(E1097&gt;0,L1097),J1097/E1097,"")</f>
        <v>18.7</v>
      </c>
    </row>
    <row r="1098" customFormat="false" ht="15" hidden="false" customHeight="false" outlineLevel="0" collapsed="false">
      <c r="A1098" s="2" t="n">
        <v>2024</v>
      </c>
      <c r="B1098" s="2" t="s">
        <v>52</v>
      </c>
      <c r="C1098" s="2" t="s">
        <v>408</v>
      </c>
      <c r="D1098" s="2" t="s">
        <v>29</v>
      </c>
      <c r="E1098" s="2" t="n">
        <v>10</v>
      </c>
      <c r="F1098" s="2" t="n">
        <v>29</v>
      </c>
      <c r="G1098" s="2" t="n">
        <v>18</v>
      </c>
      <c r="H1098" s="2" t="n">
        <v>8</v>
      </c>
      <c r="I1098" s="2" t="n">
        <v>5</v>
      </c>
      <c r="J1098" s="2" t="n">
        <v>111</v>
      </c>
      <c r="K1098" s="2" t="n">
        <v>156</v>
      </c>
      <c r="L1098" s="11" t="b">
        <f aca="false">TRUE()</f>
        <v>1</v>
      </c>
      <c r="M1098" s="2" t="s">
        <v>406</v>
      </c>
      <c r="N1098" s="2" t="n">
        <f aca="false">IF(E1098&gt;0,F1098/E1098,"")</f>
        <v>2.9</v>
      </c>
      <c r="O1098" s="2" t="n">
        <f aca="false">IF(AND(E1098&gt;0,L1098),J1098/E1098,"")</f>
        <v>11.1</v>
      </c>
    </row>
    <row r="1099" customFormat="false" ht="15" hidden="false" customHeight="false" outlineLevel="0" collapsed="false">
      <c r="A1099" s="2" t="n">
        <v>2024</v>
      </c>
      <c r="B1099" s="2" t="s">
        <v>54</v>
      </c>
      <c r="C1099" s="2" t="s">
        <v>408</v>
      </c>
      <c r="D1099" s="2" t="s">
        <v>29</v>
      </c>
      <c r="E1099" s="2" t="n">
        <v>10</v>
      </c>
      <c r="F1099" s="2" t="n">
        <v>45</v>
      </c>
      <c r="G1099" s="2" t="n">
        <v>27</v>
      </c>
      <c r="H1099" s="2" t="n">
        <v>15</v>
      </c>
      <c r="I1099" s="2" t="n">
        <v>13</v>
      </c>
      <c r="J1099" s="2" t="n">
        <v>222</v>
      </c>
      <c r="K1099" s="2" t="n">
        <v>285</v>
      </c>
      <c r="L1099" s="11" t="b">
        <f aca="false">TRUE()</f>
        <v>1</v>
      </c>
      <c r="M1099" s="2" t="s">
        <v>406</v>
      </c>
      <c r="N1099" s="2" t="n">
        <f aca="false">IF(E1099&gt;0,F1099/E1099,"")</f>
        <v>4.5</v>
      </c>
      <c r="O1099" s="2" t="n">
        <f aca="false">IF(AND(E1099&gt;0,L1099),J1099/E1099,"")</f>
        <v>22.2</v>
      </c>
    </row>
    <row r="1100" customFormat="false" ht="15" hidden="false" customHeight="false" outlineLevel="0" collapsed="false">
      <c r="A1100" s="2" t="n">
        <v>2024</v>
      </c>
      <c r="B1100" s="2" t="s">
        <v>49</v>
      </c>
      <c r="C1100" s="2" t="s">
        <v>622</v>
      </c>
      <c r="D1100" s="2" t="s">
        <v>29</v>
      </c>
      <c r="E1100" s="2" t="n">
        <v>10</v>
      </c>
      <c r="F1100" s="2" t="n">
        <v>37</v>
      </c>
      <c r="G1100" s="2" t="n">
        <v>22</v>
      </c>
      <c r="H1100" s="2" t="n">
        <v>12</v>
      </c>
      <c r="I1100" s="2" t="n">
        <v>6</v>
      </c>
      <c r="J1100" s="2" t="n">
        <v>139</v>
      </c>
      <c r="K1100" s="2" t="n">
        <v>187</v>
      </c>
      <c r="L1100" s="11" t="b">
        <f aca="false">TRUE()</f>
        <v>1</v>
      </c>
      <c r="M1100" s="2" t="s">
        <v>406</v>
      </c>
      <c r="N1100" s="2" t="n">
        <f aca="false">IF(E1100&gt;0,F1100/E1100,"")</f>
        <v>3.7</v>
      </c>
      <c r="O1100" s="2" t="n">
        <f aca="false">IF(AND(E1100&gt;0,L1100),J1100/E1100,"")</f>
        <v>13.9</v>
      </c>
    </row>
    <row r="1101" customFormat="false" ht="15" hidden="false" customHeight="false" outlineLevel="0" collapsed="false">
      <c r="A1101" s="2" t="n">
        <v>2024</v>
      </c>
      <c r="B1101" s="2" t="s">
        <v>103</v>
      </c>
      <c r="C1101" s="2" t="s">
        <v>414</v>
      </c>
      <c r="D1101" s="2" t="s">
        <v>29</v>
      </c>
      <c r="E1101" s="2" t="n">
        <v>7</v>
      </c>
      <c r="F1101" s="2" t="n">
        <v>27</v>
      </c>
      <c r="G1101" s="2" t="n">
        <v>19</v>
      </c>
      <c r="H1101" s="2" t="n">
        <v>9</v>
      </c>
      <c r="I1101" s="2" t="n">
        <v>4</v>
      </c>
      <c r="J1101" s="2" t="n">
        <v>94</v>
      </c>
      <c r="K1101" s="2" t="n">
        <v>129</v>
      </c>
      <c r="L1101" s="11" t="b">
        <f aca="false">TRUE()</f>
        <v>1</v>
      </c>
      <c r="M1101" s="2" t="s">
        <v>406</v>
      </c>
      <c r="N1101" s="2" t="n">
        <f aca="false">IF(E1101&gt;0,F1101/E1101,"")</f>
        <v>3.85714285714286</v>
      </c>
      <c r="O1101" s="2" t="n">
        <f aca="false">IF(AND(E1101&gt;0,L1101),J1101/E1101,"")</f>
        <v>13.4285714285714</v>
      </c>
    </row>
    <row r="1102" customFormat="false" ht="15" hidden="false" customHeight="false" outlineLevel="0" collapsed="false">
      <c r="A1102" s="2" t="n">
        <v>2024</v>
      </c>
      <c r="B1102" s="2" t="s">
        <v>75</v>
      </c>
      <c r="C1102" s="2" t="s">
        <v>545</v>
      </c>
      <c r="D1102" s="2" t="s">
        <v>29</v>
      </c>
      <c r="E1102" s="2" t="n">
        <v>8</v>
      </c>
      <c r="F1102" s="2" t="n">
        <v>33</v>
      </c>
      <c r="G1102" s="2" t="n">
        <v>20</v>
      </c>
      <c r="H1102" s="2" t="n">
        <v>8</v>
      </c>
      <c r="I1102" s="2" t="n">
        <v>1</v>
      </c>
      <c r="J1102" s="2" t="n">
        <v>131</v>
      </c>
      <c r="K1102" s="2" t="n">
        <v>169</v>
      </c>
      <c r="L1102" s="11" t="b">
        <f aca="false">TRUE()</f>
        <v>1</v>
      </c>
      <c r="M1102" s="2" t="s">
        <v>406</v>
      </c>
      <c r="N1102" s="2" t="n">
        <f aca="false">IF(E1102&gt;0,F1102/E1102,"")</f>
        <v>4.125</v>
      </c>
      <c r="O1102" s="2" t="n">
        <f aca="false">IF(AND(E1102&gt;0,L1102),J1102/E1102,"")</f>
        <v>16.375</v>
      </c>
    </row>
    <row r="1103" customFormat="false" ht="15" hidden="false" customHeight="false" outlineLevel="0" collapsed="false">
      <c r="A1103" s="2" t="n">
        <v>2024</v>
      </c>
      <c r="B1103" s="2" t="s">
        <v>291</v>
      </c>
      <c r="C1103" s="2" t="s">
        <v>545</v>
      </c>
      <c r="D1103" s="2" t="s">
        <v>83</v>
      </c>
      <c r="E1103" s="2" t="n">
        <v>1</v>
      </c>
      <c r="F1103" s="2" t="n">
        <v>1</v>
      </c>
      <c r="G1103" s="2" t="n">
        <v>0</v>
      </c>
      <c r="H1103" s="2" t="n">
        <v>0</v>
      </c>
      <c r="I1103" s="2" t="n">
        <v>0</v>
      </c>
      <c r="J1103" s="2" t="n">
        <v>3</v>
      </c>
      <c r="K1103" s="2" t="n">
        <v>4</v>
      </c>
      <c r="L1103" s="11" t="b">
        <f aca="false">TRUE()</f>
        <v>1</v>
      </c>
      <c r="M1103" s="2" t="s">
        <v>410</v>
      </c>
      <c r="N1103" s="2" t="n">
        <f aca="false">IF(E1103&gt;0,F1103/E1103,"")</f>
        <v>1</v>
      </c>
      <c r="O1103" s="2" t="n">
        <f aca="false">IF(AND(E1103&gt;0,L1103),J1103/E1103,"")</f>
        <v>3</v>
      </c>
    </row>
    <row r="1104" customFormat="false" ht="15" hidden="false" customHeight="false" outlineLevel="0" collapsed="false">
      <c r="A1104" s="2" t="n">
        <v>2024</v>
      </c>
      <c r="B1104" s="2" t="s">
        <v>200</v>
      </c>
      <c r="C1104" s="2" t="s">
        <v>408</v>
      </c>
      <c r="D1104" s="2" t="s">
        <v>29</v>
      </c>
      <c r="E1104" s="2" t="n">
        <v>6</v>
      </c>
      <c r="F1104" s="2" t="n">
        <v>12</v>
      </c>
      <c r="G1104" s="2" t="n">
        <v>8</v>
      </c>
      <c r="H1104" s="2" t="n">
        <v>1</v>
      </c>
      <c r="I1104" s="2" t="n">
        <v>2</v>
      </c>
      <c r="J1104" s="2" t="n">
        <v>42</v>
      </c>
      <c r="K1104" s="2" t="n">
        <v>58</v>
      </c>
      <c r="L1104" s="11" t="b">
        <f aca="false">TRUE()</f>
        <v>1</v>
      </c>
      <c r="M1104" s="2" t="s">
        <v>406</v>
      </c>
      <c r="N1104" s="2" t="n">
        <f aca="false">IF(E1104&gt;0,F1104/E1104,"")</f>
        <v>2</v>
      </c>
      <c r="O1104" s="2" t="n">
        <f aca="false">IF(AND(E1104&gt;0,L1104),J1104/E1104,"")</f>
        <v>7</v>
      </c>
    </row>
    <row r="1105" customFormat="false" ht="15" hidden="false" customHeight="false" outlineLevel="0" collapsed="false">
      <c r="A1105" s="2" t="n">
        <v>2024</v>
      </c>
      <c r="B1105" s="2" t="s">
        <v>411</v>
      </c>
      <c r="C1105" s="2" t="s">
        <v>412</v>
      </c>
      <c r="D1105" s="2" t="s">
        <v>413</v>
      </c>
      <c r="E1105" s="2" t="n">
        <v>10</v>
      </c>
      <c r="F1105" s="2" t="n">
        <v>13</v>
      </c>
      <c r="G1105" s="2" t="n">
        <v>9</v>
      </c>
      <c r="H1105" s="2" t="n">
        <v>5</v>
      </c>
      <c r="I1105" s="2" t="n">
        <v>1</v>
      </c>
      <c r="J1105" s="2" t="n">
        <v>111</v>
      </c>
      <c r="K1105" s="2" t="n">
        <v>133</v>
      </c>
      <c r="L1105" s="11" t="b">
        <f aca="false">TRUE()</f>
        <v>1</v>
      </c>
      <c r="M1105" s="2" t="s">
        <v>410</v>
      </c>
      <c r="N1105" s="2" t="n">
        <f aca="false">IF(E1105&gt;0,F1105/E1105,"")</f>
        <v>1.3</v>
      </c>
      <c r="O1105" s="2" t="n">
        <f aca="false">IF(AND(E1105&gt;0,L1105),J1105/E1105,"")</f>
        <v>11.1</v>
      </c>
    </row>
    <row r="1106" customFormat="false" ht="15" hidden="false" customHeight="false" outlineLevel="0" collapsed="false">
      <c r="A1106" s="2" t="n">
        <v>2024</v>
      </c>
      <c r="B1106" s="2" t="s">
        <v>377</v>
      </c>
      <c r="C1106" s="2" t="s">
        <v>414</v>
      </c>
      <c r="D1106" s="2" t="s">
        <v>117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11" t="b">
        <f aca="false">TRUE()</f>
        <v>1</v>
      </c>
      <c r="M1106" s="2" t="s">
        <v>410</v>
      </c>
      <c r="N1106" s="2" t="str">
        <f aca="false">IF(E1106&gt;0,F1106/E1106,"")</f>
        <v/>
      </c>
      <c r="O1106" s="2" t="str">
        <f aca="false">IF(AND(E1106&gt;0,L1106),J1106/E1106,"")</f>
        <v/>
      </c>
    </row>
    <row r="1107" customFormat="false" ht="15" hidden="false" customHeight="false" outlineLevel="0" collapsed="false">
      <c r="A1107" s="2" t="n">
        <v>2024</v>
      </c>
      <c r="B1107" s="2" t="s">
        <v>388</v>
      </c>
      <c r="C1107" s="2" t="s">
        <v>408</v>
      </c>
      <c r="D1107" s="2" t="s">
        <v>117</v>
      </c>
      <c r="E1107" s="2" t="n">
        <v>2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4</v>
      </c>
      <c r="K1107" s="2" t="n">
        <v>6</v>
      </c>
      <c r="L1107" s="11" t="b">
        <f aca="false">TRUE()</f>
        <v>1</v>
      </c>
      <c r="M1107" s="2" t="s">
        <v>410</v>
      </c>
      <c r="N1107" s="2" t="n">
        <f aca="false">IF(E1107&gt;0,F1107/E1107,"")</f>
        <v>0</v>
      </c>
      <c r="O1107" s="2" t="n">
        <f aca="false">IF(AND(E1107&gt;0,L1107),J1107/E1107,"")</f>
        <v>2</v>
      </c>
    </row>
    <row r="1108" customFormat="false" ht="15" hidden="false" customHeight="false" outlineLevel="0" collapsed="false">
      <c r="A1108" s="2" t="n">
        <v>2024</v>
      </c>
      <c r="B1108" s="2" t="s">
        <v>104</v>
      </c>
      <c r="C1108" s="2" t="s">
        <v>405</v>
      </c>
      <c r="D1108" s="2" t="s">
        <v>24</v>
      </c>
      <c r="E1108" s="2" t="n">
        <v>10</v>
      </c>
      <c r="F1108" s="2" t="n">
        <v>28</v>
      </c>
      <c r="G1108" s="2" t="n">
        <v>20</v>
      </c>
      <c r="H1108" s="2" t="n">
        <v>14</v>
      </c>
      <c r="I1108" s="2" t="n">
        <v>1</v>
      </c>
      <c r="J1108" s="2" t="n">
        <v>90</v>
      </c>
      <c r="K1108" s="2" t="n">
        <v>128</v>
      </c>
      <c r="L1108" s="11" t="b">
        <f aca="false">TRUE()</f>
        <v>1</v>
      </c>
      <c r="M1108" s="2" t="s">
        <v>406</v>
      </c>
      <c r="N1108" s="2" t="n">
        <f aca="false">IF(E1108&gt;0,F1108/E1108,"")</f>
        <v>2.8</v>
      </c>
      <c r="O1108" s="2" t="n">
        <f aca="false">IF(AND(E1108&gt;0,L1108),J1108/E1108,"")</f>
        <v>9</v>
      </c>
    </row>
    <row r="1109" customFormat="false" ht="15" hidden="false" customHeight="false" outlineLevel="0" collapsed="false">
      <c r="A1109" s="2" t="n">
        <v>2024</v>
      </c>
      <c r="B1109" s="2" t="s">
        <v>179</v>
      </c>
      <c r="C1109" s="2" t="s">
        <v>414</v>
      </c>
      <c r="D1109" s="2" t="s">
        <v>83</v>
      </c>
      <c r="E1109" s="2" t="n">
        <v>9</v>
      </c>
      <c r="F1109" s="2" t="n">
        <v>5</v>
      </c>
      <c r="G1109" s="2" t="n">
        <v>2</v>
      </c>
      <c r="H1109" s="2" t="n">
        <v>1</v>
      </c>
      <c r="I1109" s="2" t="n">
        <v>1</v>
      </c>
      <c r="J1109" s="2" t="n">
        <v>46</v>
      </c>
      <c r="K1109" s="2" t="n">
        <v>55</v>
      </c>
      <c r="L1109" s="11" t="b">
        <f aca="false">TRUE()</f>
        <v>1</v>
      </c>
      <c r="M1109" s="2" t="s">
        <v>406</v>
      </c>
      <c r="N1109" s="2" t="n">
        <f aca="false">IF(E1109&gt;0,F1109/E1109,"")</f>
        <v>0.555555555555556</v>
      </c>
      <c r="O1109" s="2" t="n">
        <f aca="false">IF(AND(E1109&gt;0,L1109),J1109/E1109,"")</f>
        <v>5.11111111111111</v>
      </c>
    </row>
    <row r="1110" customFormat="false" ht="15" hidden="false" customHeight="false" outlineLevel="0" collapsed="false">
      <c r="A1110" s="2" t="n">
        <v>2024</v>
      </c>
      <c r="B1110" s="2" t="s">
        <v>161</v>
      </c>
      <c r="C1110" s="2" t="s">
        <v>622</v>
      </c>
      <c r="D1110" s="2" t="s">
        <v>117</v>
      </c>
      <c r="E1110" s="2" t="n">
        <v>6</v>
      </c>
      <c r="F1110" s="2" t="n">
        <v>1</v>
      </c>
      <c r="G1110" s="2" t="n">
        <v>0</v>
      </c>
      <c r="H1110" s="2" t="n">
        <v>0</v>
      </c>
      <c r="I1110" s="2" t="n">
        <v>1</v>
      </c>
      <c r="J1110" s="2" t="n">
        <v>49</v>
      </c>
      <c r="K1110" s="2" t="n">
        <v>50</v>
      </c>
      <c r="L1110" s="11" t="b">
        <f aca="false">TRUE()</f>
        <v>1</v>
      </c>
      <c r="M1110" s="2" t="s">
        <v>406</v>
      </c>
      <c r="N1110" s="2" t="n">
        <f aca="false">IF(E1110&gt;0,F1110/E1110,"")</f>
        <v>0.166666666666667</v>
      </c>
      <c r="O1110" s="2" t="n">
        <f aca="false">IF(AND(E1110&gt;0,L1110),J1110/E1110,"")</f>
        <v>8.16666666666667</v>
      </c>
    </row>
    <row r="1111" customFormat="false" ht="15" hidden="false" customHeight="false" outlineLevel="0" collapsed="false">
      <c r="A1111" s="2" t="n">
        <v>2024</v>
      </c>
      <c r="B1111" s="2" t="s">
        <v>416</v>
      </c>
      <c r="C1111" s="2" t="s">
        <v>414</v>
      </c>
      <c r="D1111" s="2" t="s">
        <v>409</v>
      </c>
      <c r="E1111" s="2" t="n">
        <v>3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6</v>
      </c>
      <c r="K1111" s="2" t="n">
        <v>6</v>
      </c>
      <c r="L1111" s="11" t="b">
        <f aca="false">TRUE()</f>
        <v>1</v>
      </c>
      <c r="M1111" s="2" t="s">
        <v>410</v>
      </c>
      <c r="N1111" s="2" t="n">
        <f aca="false">IF(E1111&gt;0,F1111/E1111,"")</f>
        <v>0</v>
      </c>
      <c r="O1111" s="2" t="n">
        <f aca="false">IF(AND(E1111&gt;0,L1111),J1111/E1111,"")</f>
        <v>2</v>
      </c>
    </row>
    <row r="1112" customFormat="false" ht="15" hidden="false" customHeight="false" outlineLevel="0" collapsed="false">
      <c r="A1112" s="2" t="n">
        <v>2024</v>
      </c>
      <c r="B1112" s="2" t="s">
        <v>59</v>
      </c>
      <c r="C1112" s="2" t="s">
        <v>405</v>
      </c>
      <c r="D1112" s="2" t="s">
        <v>29</v>
      </c>
      <c r="E1112" s="2" t="n">
        <v>10</v>
      </c>
      <c r="F1112" s="2" t="n">
        <v>52</v>
      </c>
      <c r="G1112" s="2" t="n">
        <v>36</v>
      </c>
      <c r="H1112" s="2" t="n">
        <v>14</v>
      </c>
      <c r="I1112" s="2" t="n">
        <v>2</v>
      </c>
      <c r="J1112" s="2" t="n">
        <v>164</v>
      </c>
      <c r="K1112" s="2" t="n">
        <v>225</v>
      </c>
      <c r="L1112" s="11" t="b">
        <f aca="false">TRUE()</f>
        <v>1</v>
      </c>
      <c r="M1112" s="2" t="s">
        <v>406</v>
      </c>
      <c r="N1112" s="2" t="n">
        <f aca="false">IF(E1112&gt;0,F1112/E1112,"")</f>
        <v>5.2</v>
      </c>
      <c r="O1112" s="2" t="n">
        <f aca="false">IF(AND(E1112&gt;0,L1112),J1112/E1112,"")</f>
        <v>16.4</v>
      </c>
    </row>
    <row r="1113" customFormat="false" ht="15" hidden="false" customHeight="false" outlineLevel="0" collapsed="false">
      <c r="A1113" s="2" t="n">
        <v>2024</v>
      </c>
      <c r="B1113" s="2" t="s">
        <v>546</v>
      </c>
      <c r="C1113" s="2" t="s">
        <v>622</v>
      </c>
      <c r="D1113" s="2" t="s">
        <v>83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11" t="b">
        <f aca="false">TRUE()</f>
        <v>1</v>
      </c>
      <c r="M1113" s="2" t="s">
        <v>410</v>
      </c>
      <c r="N1113" s="2" t="str">
        <f aca="false">IF(E1113&gt;0,F1113/E1113,"")</f>
        <v/>
      </c>
      <c r="O1113" s="2" t="str">
        <f aca="false">IF(AND(E1113&gt;0,L1113),J1113/E1113,"")</f>
        <v/>
      </c>
    </row>
    <row r="1114" customFormat="false" ht="15" hidden="false" customHeight="false" outlineLevel="0" collapsed="false">
      <c r="A1114" s="2" t="n">
        <v>2024</v>
      </c>
      <c r="B1114" s="2" t="s">
        <v>154</v>
      </c>
      <c r="C1114" s="2" t="s">
        <v>518</v>
      </c>
      <c r="D1114" s="2" t="s">
        <v>24</v>
      </c>
      <c r="E1114" s="2" t="n">
        <v>1</v>
      </c>
      <c r="F1114" s="2" t="n">
        <v>4</v>
      </c>
      <c r="G1114" s="2" t="n">
        <v>2</v>
      </c>
      <c r="H1114" s="2" t="n">
        <v>0</v>
      </c>
      <c r="I1114" s="2" t="n">
        <v>2</v>
      </c>
      <c r="J1114" s="2" t="n">
        <v>22</v>
      </c>
      <c r="K1114" s="2" t="n">
        <v>28</v>
      </c>
      <c r="L1114" s="11" t="b">
        <f aca="false">TRUE()</f>
        <v>1</v>
      </c>
      <c r="M1114" s="2" t="s">
        <v>410</v>
      </c>
      <c r="N1114" s="2" t="n">
        <f aca="false">IF(E1114&gt;0,F1114/E1114,"")</f>
        <v>4</v>
      </c>
      <c r="O1114" s="2" t="n">
        <f aca="false">IF(AND(E1114&gt;0,L1114),J1114/E1114,"")</f>
        <v>22</v>
      </c>
    </row>
    <row r="1115" customFormat="false" ht="15" hidden="false" customHeight="false" outlineLevel="0" collapsed="false">
      <c r="A1115" s="2" t="n">
        <v>2024</v>
      </c>
      <c r="B1115" s="2" t="s">
        <v>113</v>
      </c>
      <c r="C1115" s="2" t="s">
        <v>408</v>
      </c>
      <c r="D1115" s="2" t="s">
        <v>83</v>
      </c>
      <c r="E1115" s="2" t="n">
        <v>10</v>
      </c>
      <c r="F1115" s="2" t="n">
        <v>7</v>
      </c>
      <c r="G1115" s="2" t="n">
        <v>5</v>
      </c>
      <c r="H1115" s="2" t="n">
        <v>2</v>
      </c>
      <c r="I1115" s="2" t="n">
        <v>0</v>
      </c>
      <c r="J1115" s="2" t="n">
        <v>108</v>
      </c>
      <c r="K1115" s="2" t="n">
        <v>125</v>
      </c>
      <c r="L1115" s="11" t="b">
        <f aca="false">TRUE()</f>
        <v>1</v>
      </c>
      <c r="M1115" s="2" t="s">
        <v>406</v>
      </c>
      <c r="N1115" s="2" t="n">
        <f aca="false">IF(E1115&gt;0,F1115/E1115,"")</f>
        <v>0.7</v>
      </c>
      <c r="O1115" s="2" t="n">
        <f aca="false">IF(AND(E1115&gt;0,L1115),J1115/E1115,"")</f>
        <v>10.8</v>
      </c>
    </row>
    <row r="1116" customFormat="false" ht="15" hidden="false" customHeight="false" outlineLevel="0" collapsed="false">
      <c r="A1116" s="2" t="n">
        <v>2024</v>
      </c>
      <c r="B1116" s="2" t="s">
        <v>238</v>
      </c>
      <c r="C1116" s="2" t="s">
        <v>420</v>
      </c>
      <c r="D1116" s="2" t="s">
        <v>117</v>
      </c>
      <c r="E1116" s="2" t="n">
        <v>9</v>
      </c>
      <c r="F1116" s="2" t="n">
        <v>1</v>
      </c>
      <c r="G1116" s="2" t="n">
        <v>0</v>
      </c>
      <c r="H1116" s="2" t="n">
        <v>0</v>
      </c>
      <c r="I1116" s="2" t="n">
        <v>0</v>
      </c>
      <c r="J1116" s="2" t="n">
        <v>41</v>
      </c>
      <c r="K1116" s="2" t="n">
        <v>45</v>
      </c>
      <c r="L1116" s="11" t="b">
        <f aca="false">TRUE()</f>
        <v>1</v>
      </c>
      <c r="M1116" s="2" t="s">
        <v>406</v>
      </c>
      <c r="N1116" s="2" t="n">
        <f aca="false">IF(E1116&gt;0,F1116/E1116,"")</f>
        <v>0.111111111111111</v>
      </c>
      <c r="O1116" s="2" t="n">
        <f aca="false">IF(AND(E1116&gt;0,L1116),J1116/E1116,"")</f>
        <v>4.55555555555556</v>
      </c>
    </row>
    <row r="1117" customFormat="false" ht="15" hidden="false" customHeight="false" outlineLevel="0" collapsed="false">
      <c r="A1117" s="2" t="n">
        <v>2024</v>
      </c>
      <c r="B1117" s="2" t="s">
        <v>127</v>
      </c>
      <c r="C1117" s="2" t="s">
        <v>412</v>
      </c>
      <c r="D1117" s="2" t="s">
        <v>29</v>
      </c>
      <c r="E1117" s="2" t="n">
        <v>3</v>
      </c>
      <c r="F1117" s="2" t="n">
        <v>8</v>
      </c>
      <c r="G1117" s="2" t="n">
        <v>4</v>
      </c>
      <c r="H1117" s="2" t="n">
        <v>2</v>
      </c>
      <c r="I1117" s="2" t="n">
        <v>1</v>
      </c>
      <c r="J1117" s="2" t="n">
        <v>13</v>
      </c>
      <c r="K1117" s="2" t="n">
        <v>24</v>
      </c>
      <c r="L1117" s="11" t="b">
        <f aca="false">TRUE()</f>
        <v>1</v>
      </c>
      <c r="M1117" s="2" t="s">
        <v>406</v>
      </c>
      <c r="N1117" s="2" t="n">
        <f aca="false">IF(E1117&gt;0,F1117/E1117,"")</f>
        <v>2.66666666666667</v>
      </c>
      <c r="O1117" s="2" t="n">
        <f aca="false">IF(AND(E1117&gt;0,L1117),J1117/E1117,"")</f>
        <v>4.33333333333333</v>
      </c>
    </row>
    <row r="1118" customFormat="false" ht="15" hidden="false" customHeight="false" outlineLevel="0" collapsed="false">
      <c r="A1118" s="2" t="n">
        <v>2024</v>
      </c>
      <c r="B1118" s="2" t="s">
        <v>71</v>
      </c>
      <c r="C1118" s="2" t="s">
        <v>518</v>
      </c>
      <c r="D1118" s="2" t="s">
        <v>24</v>
      </c>
      <c r="E1118" s="2" t="n">
        <v>6</v>
      </c>
      <c r="F1118" s="2" t="n">
        <v>20</v>
      </c>
      <c r="G1118" s="2" t="n">
        <v>15</v>
      </c>
      <c r="H1118" s="2" t="n">
        <v>4</v>
      </c>
      <c r="I1118" s="2" t="n">
        <v>2</v>
      </c>
      <c r="J1118" s="2" t="n">
        <v>53</v>
      </c>
      <c r="K1118" s="2" t="n">
        <v>76</v>
      </c>
      <c r="L1118" s="11" t="b">
        <f aca="false">TRUE()</f>
        <v>1</v>
      </c>
      <c r="M1118" s="2" t="s">
        <v>406</v>
      </c>
      <c r="N1118" s="2" t="n">
        <f aca="false">IF(E1118&gt;0,F1118/E1118,"")</f>
        <v>3.33333333333333</v>
      </c>
      <c r="O1118" s="2" t="n">
        <f aca="false">IF(AND(E1118&gt;0,L1118),J1118/E1118,"")</f>
        <v>8.83333333333333</v>
      </c>
    </row>
    <row r="1119" customFormat="false" ht="15" hidden="false" customHeight="false" outlineLevel="0" collapsed="false">
      <c r="A1119" s="2" t="n">
        <v>2024</v>
      </c>
      <c r="B1119" s="2" t="s">
        <v>256</v>
      </c>
      <c r="C1119" s="2" t="s">
        <v>518</v>
      </c>
      <c r="D1119" s="2" t="s">
        <v>117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11" t="b">
        <f aca="false">TRUE()</f>
        <v>1</v>
      </c>
      <c r="M1119" s="2" t="s">
        <v>410</v>
      </c>
      <c r="N1119" s="2" t="str">
        <f aca="false">IF(E1119&gt;0,F1119/E1119,"")</f>
        <v/>
      </c>
      <c r="O1119" s="2" t="str">
        <f aca="false">IF(AND(E1119&gt;0,L1119),J1119/E1119,"")</f>
        <v/>
      </c>
    </row>
    <row r="1120" customFormat="false" ht="15" hidden="false" customHeight="false" outlineLevel="0" collapsed="false">
      <c r="A1120" s="2" t="n">
        <v>2024</v>
      </c>
      <c r="B1120" s="2" t="s">
        <v>60</v>
      </c>
      <c r="C1120" s="2" t="s">
        <v>622</v>
      </c>
      <c r="D1120" s="2" t="s">
        <v>29</v>
      </c>
      <c r="E1120" s="2" t="n">
        <v>10</v>
      </c>
      <c r="F1120" s="2" t="n">
        <v>69</v>
      </c>
      <c r="G1120" s="2" t="n">
        <v>33</v>
      </c>
      <c r="H1120" s="2" t="n">
        <v>15</v>
      </c>
      <c r="I1120" s="2" t="n">
        <v>2</v>
      </c>
      <c r="J1120" s="2" t="n">
        <v>145</v>
      </c>
      <c r="K1120" s="2" t="n">
        <v>225</v>
      </c>
      <c r="L1120" s="11" t="b">
        <f aca="false">TRUE()</f>
        <v>1</v>
      </c>
      <c r="M1120" s="2" t="s">
        <v>406</v>
      </c>
      <c r="N1120" s="2" t="n">
        <f aca="false">IF(E1120&gt;0,F1120/E1120,"")</f>
        <v>6.9</v>
      </c>
      <c r="O1120" s="2" t="n">
        <f aca="false">IF(AND(E1120&gt;0,L1120),J1120/E1120,"")</f>
        <v>14.5</v>
      </c>
    </row>
    <row r="1121" customFormat="false" ht="15" hidden="false" customHeight="false" outlineLevel="0" collapsed="false">
      <c r="A1121" s="2" t="n">
        <v>2024</v>
      </c>
      <c r="B1121" s="2" t="s">
        <v>62</v>
      </c>
      <c r="C1121" s="2" t="s">
        <v>420</v>
      </c>
      <c r="D1121" s="2" t="s">
        <v>24</v>
      </c>
      <c r="E1121" s="2" t="n">
        <v>9</v>
      </c>
      <c r="F1121" s="2" t="n">
        <v>50</v>
      </c>
      <c r="G1121" s="2" t="n">
        <v>28</v>
      </c>
      <c r="H1121" s="2" t="n">
        <v>11</v>
      </c>
      <c r="I1121" s="2" t="n">
        <v>18</v>
      </c>
      <c r="J1121" s="2" t="n">
        <v>221</v>
      </c>
      <c r="K1121" s="2" t="n">
        <v>288</v>
      </c>
      <c r="L1121" s="11" t="b">
        <f aca="false">TRUE()</f>
        <v>1</v>
      </c>
      <c r="M1121" s="2" t="s">
        <v>406</v>
      </c>
      <c r="N1121" s="2" t="n">
        <f aca="false">IF(E1121&gt;0,F1121/E1121,"")</f>
        <v>5.55555555555556</v>
      </c>
      <c r="O1121" s="2" t="n">
        <f aca="false">IF(AND(E1121&gt;0,L1121),J1121/E1121,"")</f>
        <v>24.5555555555556</v>
      </c>
    </row>
    <row r="1122" customFormat="false" ht="15" hidden="false" customHeight="false" outlineLevel="0" collapsed="false">
      <c r="A1122" s="2" t="n">
        <v>2024</v>
      </c>
      <c r="B1122" s="2" t="s">
        <v>175</v>
      </c>
      <c r="C1122" s="2" t="s">
        <v>518</v>
      </c>
      <c r="D1122" s="2" t="s">
        <v>117</v>
      </c>
      <c r="E1122" s="2" t="n">
        <v>5</v>
      </c>
      <c r="F1122" s="2" t="n">
        <v>2</v>
      </c>
      <c r="G1122" s="2" t="n">
        <v>0</v>
      </c>
      <c r="H1122" s="2" t="n">
        <v>0</v>
      </c>
      <c r="I1122" s="2" t="n">
        <v>0</v>
      </c>
      <c r="J1122" s="2" t="n">
        <v>35</v>
      </c>
      <c r="K1122" s="2" t="n">
        <v>39</v>
      </c>
      <c r="L1122" s="11" t="b">
        <f aca="false">TRUE()</f>
        <v>1</v>
      </c>
      <c r="M1122" s="2" t="s">
        <v>406</v>
      </c>
      <c r="N1122" s="2" t="n">
        <f aca="false">IF(E1122&gt;0,F1122/E1122,"")</f>
        <v>0.4</v>
      </c>
      <c r="O1122" s="2" t="n">
        <f aca="false">IF(AND(E1122&gt;0,L1122),J1122/E1122,"")</f>
        <v>7</v>
      </c>
    </row>
    <row r="1123" customFormat="false" ht="15" hidden="false" customHeight="false" outlineLevel="0" collapsed="false">
      <c r="A1123" s="2" t="n">
        <v>2024</v>
      </c>
      <c r="B1123" s="2" t="s">
        <v>45</v>
      </c>
      <c r="C1123" s="2" t="s">
        <v>545</v>
      </c>
      <c r="D1123" s="2" t="s">
        <v>29</v>
      </c>
      <c r="E1123" s="2" t="n">
        <v>10</v>
      </c>
      <c r="F1123" s="2" t="n">
        <v>51</v>
      </c>
      <c r="G1123" s="2" t="n">
        <v>32</v>
      </c>
      <c r="H1123" s="2" t="n">
        <v>14</v>
      </c>
      <c r="I1123" s="2" t="n">
        <v>6</v>
      </c>
      <c r="J1123" s="2" t="n">
        <v>204</v>
      </c>
      <c r="K1123" s="2" t="n">
        <v>261</v>
      </c>
      <c r="L1123" s="11" t="b">
        <f aca="false">TRUE()</f>
        <v>1</v>
      </c>
      <c r="M1123" s="2" t="s">
        <v>406</v>
      </c>
      <c r="N1123" s="2" t="n">
        <f aca="false">IF(E1123&gt;0,F1123/E1123,"")</f>
        <v>5.1</v>
      </c>
      <c r="O1123" s="2" t="n">
        <f aca="false">IF(AND(E1123&gt;0,L1123),J1123/E1123,"")</f>
        <v>20.4</v>
      </c>
    </row>
    <row r="1124" customFormat="false" ht="15" hidden="false" customHeight="false" outlineLevel="0" collapsed="false">
      <c r="A1124" s="2" t="n">
        <v>2024</v>
      </c>
      <c r="B1124" s="2" t="s">
        <v>168</v>
      </c>
      <c r="C1124" s="2" t="s">
        <v>412</v>
      </c>
      <c r="D1124" s="2" t="s">
        <v>115</v>
      </c>
      <c r="E1124" s="2" t="n">
        <v>10</v>
      </c>
      <c r="F1124" s="2" t="n">
        <v>8</v>
      </c>
      <c r="G1124" s="2" t="n">
        <v>6</v>
      </c>
      <c r="H1124" s="2" t="n">
        <v>4</v>
      </c>
      <c r="I1124" s="2" t="n">
        <v>1</v>
      </c>
      <c r="J1124" s="2" t="n">
        <v>70</v>
      </c>
      <c r="K1124" s="2" t="n">
        <v>83</v>
      </c>
      <c r="L1124" s="11" t="b">
        <f aca="false">TRUE()</f>
        <v>1</v>
      </c>
      <c r="M1124" s="2" t="s">
        <v>406</v>
      </c>
      <c r="N1124" s="2" t="n">
        <f aca="false">IF(E1124&gt;0,F1124/E1124,"")</f>
        <v>0.8</v>
      </c>
      <c r="O1124" s="2" t="n">
        <f aca="false">IF(AND(E1124&gt;0,L1124),J1124/E1124,"")</f>
        <v>7</v>
      </c>
    </row>
    <row r="1125" customFormat="false" ht="15" hidden="false" customHeight="false" outlineLevel="0" collapsed="false">
      <c r="A1125" s="2" t="n">
        <v>2024</v>
      </c>
      <c r="B1125" s="2" t="s">
        <v>108</v>
      </c>
      <c r="C1125" s="2" t="s">
        <v>518</v>
      </c>
      <c r="D1125" s="2" t="s">
        <v>29</v>
      </c>
      <c r="E1125" s="2" t="n">
        <v>7</v>
      </c>
      <c r="F1125" s="2" t="n">
        <v>28</v>
      </c>
      <c r="G1125" s="2" t="n">
        <v>18</v>
      </c>
      <c r="H1125" s="2" t="n">
        <v>8</v>
      </c>
      <c r="I1125" s="2" t="n">
        <v>2</v>
      </c>
      <c r="J1125" s="2" t="n">
        <v>89</v>
      </c>
      <c r="K1125" s="2" t="n">
        <v>121</v>
      </c>
      <c r="L1125" s="11" t="b">
        <f aca="false">TRUE()</f>
        <v>1</v>
      </c>
      <c r="M1125" s="2" t="s">
        <v>406</v>
      </c>
      <c r="N1125" s="2" t="n">
        <f aca="false">IF(E1125&gt;0,F1125/E1125,"")</f>
        <v>4</v>
      </c>
      <c r="O1125" s="2" t="n">
        <f aca="false">IF(AND(E1125&gt;0,L1125),J1125/E1125,"")</f>
        <v>12.7142857142857</v>
      </c>
    </row>
    <row r="1126" customFormat="false" ht="15" hidden="false" customHeight="false" outlineLevel="0" collapsed="false">
      <c r="A1126" s="2" t="n">
        <v>2024</v>
      </c>
      <c r="B1126" s="2" t="s">
        <v>55</v>
      </c>
      <c r="C1126" s="2" t="s">
        <v>414</v>
      </c>
      <c r="D1126" s="2" t="s">
        <v>29</v>
      </c>
      <c r="E1126" s="2" t="n">
        <v>10</v>
      </c>
      <c r="F1126" s="2" t="n">
        <v>46</v>
      </c>
      <c r="G1126" s="2" t="n">
        <v>28</v>
      </c>
      <c r="H1126" s="2" t="n">
        <v>7</v>
      </c>
      <c r="I1126" s="2" t="n">
        <v>3</v>
      </c>
      <c r="J1126" s="2" t="n">
        <v>186</v>
      </c>
      <c r="K1126" s="2" t="n">
        <v>244</v>
      </c>
      <c r="L1126" s="11" t="b">
        <f aca="false">TRUE()</f>
        <v>1</v>
      </c>
      <c r="M1126" s="2" t="s">
        <v>406</v>
      </c>
      <c r="N1126" s="2" t="n">
        <f aca="false">IF(E1126&gt;0,F1126/E1126,"")</f>
        <v>4.6</v>
      </c>
      <c r="O1126" s="2" t="n">
        <f aca="false">IF(AND(E1126&gt;0,L1126),J1126/E1126,"")</f>
        <v>18.6</v>
      </c>
    </row>
    <row r="1127" customFormat="false" ht="15" hidden="false" customHeight="false" outlineLevel="0" collapsed="false">
      <c r="A1127" s="2" t="n">
        <v>2024</v>
      </c>
      <c r="B1127" s="2" t="s">
        <v>268</v>
      </c>
      <c r="C1127" s="2" t="s">
        <v>545</v>
      </c>
      <c r="D1127" s="2" t="s">
        <v>115</v>
      </c>
      <c r="E1127" s="2" t="n">
        <v>5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12</v>
      </c>
      <c r="K1127" s="2" t="n">
        <v>14</v>
      </c>
      <c r="L1127" s="11" t="b">
        <f aca="false">TRUE()</f>
        <v>1</v>
      </c>
      <c r="M1127" s="2" t="s">
        <v>406</v>
      </c>
      <c r="N1127" s="2" t="n">
        <f aca="false">IF(E1127&gt;0,F1127/E1127,"")</f>
        <v>0</v>
      </c>
      <c r="O1127" s="2" t="n">
        <f aca="false">IF(AND(E1127&gt;0,L1127),J1127/E1127,"")</f>
        <v>2.4</v>
      </c>
    </row>
    <row r="1128" customFormat="false" ht="15" hidden="false" customHeight="false" outlineLevel="0" collapsed="false">
      <c r="A1128" s="2" t="n">
        <v>2024</v>
      </c>
      <c r="B1128" s="2" t="s">
        <v>129</v>
      </c>
      <c r="C1128" s="2" t="s">
        <v>420</v>
      </c>
      <c r="D1128" s="2" t="s">
        <v>24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11" t="b">
        <f aca="false">TRUE()</f>
        <v>1</v>
      </c>
      <c r="M1128" s="2" t="s">
        <v>410</v>
      </c>
      <c r="N1128" s="2" t="str">
        <f aca="false">IF(E1128&gt;0,F1128/E1128,"")</f>
        <v/>
      </c>
      <c r="O1128" s="2" t="str">
        <f aca="false">IF(AND(E1128&gt;0,L1128),J1128/E1128,"")</f>
        <v/>
      </c>
    </row>
    <row r="1129" customFormat="false" ht="15" hidden="false" customHeight="false" outlineLevel="0" collapsed="false">
      <c r="A1129" s="2" t="n">
        <v>2024</v>
      </c>
      <c r="B1129" s="2" t="s">
        <v>220</v>
      </c>
      <c r="C1129" s="2" t="s">
        <v>405</v>
      </c>
      <c r="D1129" s="2" t="s">
        <v>117</v>
      </c>
      <c r="E1129" s="2" t="n">
        <v>10</v>
      </c>
      <c r="F1129" s="2" t="n">
        <v>1</v>
      </c>
      <c r="G1129" s="2" t="n">
        <v>1</v>
      </c>
      <c r="H1129" s="2" t="n">
        <v>0</v>
      </c>
      <c r="I1129" s="2" t="n">
        <v>1</v>
      </c>
      <c r="J1129" s="2" t="n">
        <v>46</v>
      </c>
      <c r="K1129" s="2" t="n">
        <v>49</v>
      </c>
      <c r="L1129" s="11" t="b">
        <f aca="false">TRUE()</f>
        <v>1</v>
      </c>
      <c r="M1129" s="2" t="s">
        <v>406</v>
      </c>
      <c r="N1129" s="2" t="n">
        <f aca="false">IF(E1129&gt;0,F1129/E1129,"")</f>
        <v>0.1</v>
      </c>
      <c r="O1129" s="2" t="n">
        <f aca="false">IF(AND(E1129&gt;0,L1129),J1129/E1129,"")</f>
        <v>4.6</v>
      </c>
    </row>
    <row r="1130" customFormat="false" ht="15" hidden="false" customHeight="false" outlineLevel="0" collapsed="false">
      <c r="A1130" s="2" t="n">
        <v>2024</v>
      </c>
      <c r="B1130" s="2" t="s">
        <v>427</v>
      </c>
      <c r="C1130" s="2" t="s">
        <v>420</v>
      </c>
      <c r="D1130" s="2" t="s">
        <v>29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11" t="b">
        <f aca="false">TRUE()</f>
        <v>1</v>
      </c>
      <c r="M1130" s="2" t="s">
        <v>410</v>
      </c>
      <c r="N1130" s="2" t="str">
        <f aca="false">IF(E1130&gt;0,F1130/E1130,"")</f>
        <v/>
      </c>
      <c r="O1130" s="2" t="str">
        <f aca="false">IF(AND(E1130&gt;0,L1130),J1130/E1130,"")</f>
        <v/>
      </c>
    </row>
    <row r="1131" customFormat="false" ht="15" hidden="false" customHeight="false" outlineLevel="0" collapsed="false">
      <c r="A1131" s="2" t="n">
        <v>2024</v>
      </c>
      <c r="B1131" s="2" t="s">
        <v>623</v>
      </c>
      <c r="C1131" s="2" t="s">
        <v>414</v>
      </c>
      <c r="D1131" s="2" t="s">
        <v>24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11" t="b">
        <f aca="false">TRUE()</f>
        <v>1</v>
      </c>
      <c r="M1131" s="2" t="s">
        <v>410</v>
      </c>
      <c r="N1131" s="2" t="str">
        <f aca="false">IF(E1131&gt;0,F1131/E1131,"")</f>
        <v/>
      </c>
      <c r="O1131" s="2" t="str">
        <f aca="false">IF(AND(E1131&gt;0,L1131),J1131/E1131,"")</f>
        <v/>
      </c>
    </row>
    <row r="1132" customFormat="false" ht="15" hidden="false" customHeight="false" outlineLevel="0" collapsed="false">
      <c r="A1132" s="2" t="n">
        <v>2024</v>
      </c>
      <c r="B1132" s="2" t="s">
        <v>608</v>
      </c>
      <c r="C1132" s="2" t="s">
        <v>405</v>
      </c>
      <c r="D1132" s="2" t="s">
        <v>413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11" t="b">
        <f aca="false">TRUE()</f>
        <v>1</v>
      </c>
      <c r="M1132" s="2" t="s">
        <v>410</v>
      </c>
      <c r="N1132" s="2" t="str">
        <f aca="false">IF(E1132&gt;0,F1132/E1132,"")</f>
        <v/>
      </c>
      <c r="O1132" s="2" t="str">
        <f aca="false">IF(AND(E1132&gt;0,L1132),J1132/E1132,"")</f>
        <v/>
      </c>
    </row>
    <row r="1133" customFormat="false" ht="15" hidden="false" customHeight="false" outlineLevel="0" collapsed="false">
      <c r="A1133" s="2" t="n">
        <v>2024</v>
      </c>
      <c r="B1133" s="2" t="s">
        <v>183</v>
      </c>
      <c r="C1133" s="2" t="s">
        <v>412</v>
      </c>
      <c r="D1133" s="2" t="s">
        <v>83</v>
      </c>
      <c r="E1133" s="2" t="n">
        <v>10</v>
      </c>
      <c r="F1133" s="2" t="n">
        <v>7</v>
      </c>
      <c r="G1133" s="2" t="n">
        <v>6</v>
      </c>
      <c r="H1133" s="2" t="n">
        <v>3</v>
      </c>
      <c r="I1133" s="2" t="n">
        <v>0</v>
      </c>
      <c r="J1133" s="2" t="n">
        <v>77</v>
      </c>
      <c r="K1133" s="2" t="n">
        <v>90</v>
      </c>
      <c r="L1133" s="11" t="b">
        <f aca="false">TRUE()</f>
        <v>1</v>
      </c>
      <c r="M1133" s="2" t="s">
        <v>406</v>
      </c>
      <c r="N1133" s="2" t="n">
        <f aca="false">IF(E1133&gt;0,F1133/E1133,"")</f>
        <v>0.7</v>
      </c>
      <c r="O1133" s="2" t="n">
        <f aca="false">IF(AND(E1133&gt;0,L1133),J1133/E1133,"")</f>
        <v>7.7</v>
      </c>
    </row>
    <row r="1134" customFormat="false" ht="15" hidden="false" customHeight="false" outlineLevel="0" collapsed="false">
      <c r="A1134" s="2" t="n">
        <v>2024</v>
      </c>
      <c r="B1134" s="2" t="s">
        <v>187</v>
      </c>
      <c r="C1134" s="2" t="s">
        <v>405</v>
      </c>
      <c r="D1134" s="2" t="s">
        <v>117</v>
      </c>
      <c r="E1134" s="2" t="n">
        <v>9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74</v>
      </c>
      <c r="K1134" s="2" t="n">
        <v>75</v>
      </c>
      <c r="L1134" s="11" t="b">
        <f aca="false">TRUE()</f>
        <v>1</v>
      </c>
      <c r="M1134" s="2" t="s">
        <v>406</v>
      </c>
      <c r="N1134" s="2" t="n">
        <f aca="false">IF(E1134&gt;0,F1134/E1134,"")</f>
        <v>0</v>
      </c>
      <c r="O1134" s="2" t="n">
        <f aca="false">IF(AND(E1134&gt;0,L1134),J1134/E1134,"")</f>
        <v>8.22222222222222</v>
      </c>
    </row>
    <row r="1135" customFormat="false" ht="15" hidden="false" customHeight="false" outlineLevel="0" collapsed="false">
      <c r="A1135" s="2" t="n">
        <v>2024</v>
      </c>
      <c r="B1135" s="2" t="s">
        <v>121</v>
      </c>
      <c r="C1135" s="2" t="s">
        <v>405</v>
      </c>
      <c r="D1135" s="2" t="s">
        <v>115</v>
      </c>
      <c r="E1135" s="2" t="n">
        <v>10</v>
      </c>
      <c r="F1135" s="2" t="n">
        <v>7</v>
      </c>
      <c r="G1135" s="2" t="n">
        <v>3</v>
      </c>
      <c r="H1135" s="2" t="n">
        <v>2</v>
      </c>
      <c r="I1135" s="2" t="n">
        <v>1</v>
      </c>
      <c r="J1135" s="2" t="n">
        <v>62</v>
      </c>
      <c r="K1135" s="2" t="n">
        <v>77</v>
      </c>
      <c r="L1135" s="11" t="b">
        <f aca="false">TRUE()</f>
        <v>1</v>
      </c>
      <c r="M1135" s="2" t="s">
        <v>406</v>
      </c>
      <c r="N1135" s="2" t="n">
        <f aca="false">IF(E1135&gt;0,F1135/E1135,"")</f>
        <v>0.7</v>
      </c>
      <c r="O1135" s="2" t="n">
        <f aca="false">IF(AND(E1135&gt;0,L1135),J1135/E1135,"")</f>
        <v>6.2</v>
      </c>
    </row>
    <row r="1136" customFormat="false" ht="15" hidden="false" customHeight="false" outlineLevel="0" collapsed="false">
      <c r="A1136" s="2" t="n">
        <v>2024</v>
      </c>
      <c r="B1136" s="2" t="s">
        <v>95</v>
      </c>
      <c r="C1136" s="2" t="s">
        <v>414</v>
      </c>
      <c r="D1136" s="2" t="s">
        <v>29</v>
      </c>
      <c r="E1136" s="2" t="n">
        <v>8</v>
      </c>
      <c r="F1136" s="2" t="n">
        <v>43</v>
      </c>
      <c r="G1136" s="2" t="n">
        <v>24</v>
      </c>
      <c r="H1136" s="2" t="n">
        <v>8</v>
      </c>
      <c r="I1136" s="2" t="n">
        <v>2</v>
      </c>
      <c r="J1136" s="2" t="n">
        <v>101</v>
      </c>
      <c r="K1136" s="2" t="n">
        <v>155</v>
      </c>
      <c r="L1136" s="11" t="b">
        <f aca="false">TRUE()</f>
        <v>1</v>
      </c>
      <c r="M1136" s="2" t="s">
        <v>406</v>
      </c>
      <c r="N1136" s="2" t="n">
        <f aca="false">IF(E1136&gt;0,F1136/E1136,"")</f>
        <v>5.375</v>
      </c>
      <c r="O1136" s="2" t="n">
        <f aca="false">IF(AND(E1136&gt;0,L1136),J1136/E1136,"")</f>
        <v>12.625</v>
      </c>
    </row>
    <row r="1137" customFormat="false" ht="15" hidden="false" customHeight="false" outlineLevel="0" collapsed="false">
      <c r="A1137" s="2" t="n">
        <v>2024</v>
      </c>
      <c r="B1137" s="2" t="s">
        <v>302</v>
      </c>
      <c r="C1137" s="2" t="s">
        <v>412</v>
      </c>
      <c r="D1137" s="2" t="s">
        <v>24</v>
      </c>
      <c r="E1137" s="2" t="n">
        <v>2</v>
      </c>
      <c r="F1137" s="2" t="n">
        <v>11</v>
      </c>
      <c r="G1137" s="2" t="n">
        <v>9</v>
      </c>
      <c r="H1137" s="2" t="n">
        <v>5</v>
      </c>
      <c r="I1137" s="2" t="n">
        <v>1</v>
      </c>
      <c r="J1137" s="2" t="n">
        <v>15</v>
      </c>
      <c r="K1137" s="2" t="n">
        <v>27</v>
      </c>
      <c r="L1137" s="11" t="b">
        <f aca="false">TRUE()</f>
        <v>1</v>
      </c>
      <c r="M1137" s="2" t="s">
        <v>410</v>
      </c>
      <c r="N1137" s="2" t="n">
        <f aca="false">IF(E1137&gt;0,F1137/E1137,"")</f>
        <v>5.5</v>
      </c>
      <c r="O1137" s="2" t="n">
        <f aca="false">IF(AND(E1137&gt;0,L1137),J1137/E1137,"")</f>
        <v>7.5</v>
      </c>
    </row>
    <row r="1138" customFormat="false" ht="15" hidden="false" customHeight="false" outlineLevel="0" collapsed="false">
      <c r="A1138" s="2" t="n">
        <v>2024</v>
      </c>
      <c r="B1138" s="2" t="s">
        <v>32</v>
      </c>
      <c r="C1138" s="2" t="s">
        <v>412</v>
      </c>
      <c r="D1138" s="2" t="s">
        <v>29</v>
      </c>
      <c r="E1138" s="2" t="n">
        <v>9</v>
      </c>
      <c r="F1138" s="2" t="n">
        <v>47</v>
      </c>
      <c r="G1138" s="2" t="n">
        <v>28</v>
      </c>
      <c r="H1138" s="2" t="n">
        <v>11</v>
      </c>
      <c r="I1138" s="2" t="n">
        <v>8</v>
      </c>
      <c r="J1138" s="2" t="n">
        <v>170</v>
      </c>
      <c r="K1138" s="2" t="n">
        <v>228</v>
      </c>
      <c r="L1138" s="11" t="b">
        <f aca="false">TRUE()</f>
        <v>1</v>
      </c>
      <c r="M1138" s="2" t="s">
        <v>406</v>
      </c>
      <c r="N1138" s="2" t="n">
        <f aca="false">IF(E1138&gt;0,F1138/E1138,"")</f>
        <v>5.22222222222222</v>
      </c>
      <c r="O1138" s="2" t="n">
        <f aca="false">IF(AND(E1138&gt;0,L1138),J1138/E1138,"")</f>
        <v>18.8888888888889</v>
      </c>
    </row>
    <row r="1139" customFormat="false" ht="15" hidden="false" customHeight="false" outlineLevel="0" collapsed="false">
      <c r="A1139" s="2" t="n">
        <v>2024</v>
      </c>
      <c r="B1139" s="2" t="s">
        <v>184</v>
      </c>
      <c r="C1139" s="2" t="s">
        <v>420</v>
      </c>
      <c r="D1139" s="2" t="s">
        <v>115</v>
      </c>
      <c r="E1139" s="2" t="n">
        <v>5</v>
      </c>
      <c r="F1139" s="2" t="n">
        <v>5</v>
      </c>
      <c r="G1139" s="2" t="n">
        <v>2</v>
      </c>
      <c r="H1139" s="2" t="n">
        <v>0</v>
      </c>
      <c r="I1139" s="2" t="n">
        <v>0</v>
      </c>
      <c r="J1139" s="2" t="n">
        <v>19</v>
      </c>
      <c r="K1139" s="2" t="n">
        <v>26</v>
      </c>
      <c r="L1139" s="11" t="b">
        <f aca="false">TRUE()</f>
        <v>1</v>
      </c>
      <c r="M1139" s="2" t="s">
        <v>406</v>
      </c>
      <c r="N1139" s="2" t="n">
        <f aca="false">IF(E1139&gt;0,F1139/E1139,"")</f>
        <v>1</v>
      </c>
      <c r="O1139" s="2" t="n">
        <f aca="false">IF(AND(E1139&gt;0,L1139),J1139/E1139,"")</f>
        <v>3.8</v>
      </c>
    </row>
    <row r="1140" customFormat="false" ht="15" hidden="false" customHeight="false" outlineLevel="0" collapsed="false">
      <c r="A1140" s="2" t="n">
        <v>2024</v>
      </c>
      <c r="B1140" s="2" t="s">
        <v>624</v>
      </c>
      <c r="C1140" s="2" t="s">
        <v>622</v>
      </c>
      <c r="D1140" s="2" t="s">
        <v>29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11" t="b">
        <f aca="false">TRUE()</f>
        <v>1</v>
      </c>
      <c r="M1140" s="2" t="s">
        <v>410</v>
      </c>
      <c r="N1140" s="2" t="str">
        <f aca="false">IF(E1140&gt;0,F1140/E1140,"")</f>
        <v/>
      </c>
      <c r="O1140" s="2" t="str">
        <f aca="false">IF(AND(E1140&gt;0,L1140),J1140/E1140,"")</f>
        <v/>
      </c>
    </row>
    <row r="1141" customFormat="false" ht="15" hidden="false" customHeight="false" outlineLevel="0" collapsed="false">
      <c r="A1141" s="2" t="n">
        <v>2024</v>
      </c>
      <c r="B1141" s="2" t="s">
        <v>520</v>
      </c>
      <c r="C1141" s="2" t="s">
        <v>405</v>
      </c>
      <c r="D1141" s="2" t="s">
        <v>115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11" t="b">
        <f aca="false">TRUE()</f>
        <v>1</v>
      </c>
      <c r="M1141" s="2" t="s">
        <v>410</v>
      </c>
      <c r="N1141" s="2" t="str">
        <f aca="false">IF(E1141&gt;0,F1141/E1141,"")</f>
        <v/>
      </c>
      <c r="O1141" s="2" t="str">
        <f aca="false">IF(AND(E1141&gt;0,L1141),J1141/E1141,"")</f>
        <v/>
      </c>
    </row>
    <row r="1142" customFormat="false" ht="15" hidden="false" customHeight="false" outlineLevel="0" collapsed="false">
      <c r="A1142" s="2" t="n">
        <v>2024</v>
      </c>
      <c r="B1142" s="2" t="s">
        <v>46</v>
      </c>
      <c r="C1142" s="2" t="s">
        <v>518</v>
      </c>
      <c r="D1142" s="2" t="s">
        <v>29</v>
      </c>
      <c r="E1142" s="2" t="n">
        <v>10</v>
      </c>
      <c r="F1142" s="2" t="n">
        <v>25</v>
      </c>
      <c r="G1142" s="2" t="n">
        <v>18</v>
      </c>
      <c r="H1142" s="2" t="n">
        <v>11</v>
      </c>
      <c r="I1142" s="2" t="n">
        <v>7</v>
      </c>
      <c r="J1142" s="2" t="n">
        <v>165</v>
      </c>
      <c r="K1142" s="2" t="n">
        <v>199</v>
      </c>
      <c r="L1142" s="11" t="b">
        <f aca="false">TRUE()</f>
        <v>1</v>
      </c>
      <c r="M1142" s="2" t="s">
        <v>406</v>
      </c>
      <c r="N1142" s="2" t="n">
        <f aca="false">IF(E1142&gt;0,F1142/E1142,"")</f>
        <v>2.5</v>
      </c>
      <c r="O1142" s="2" t="n">
        <f aca="false">IF(AND(E1142&gt;0,L1142),J1142/E1142,"")</f>
        <v>16.5</v>
      </c>
    </row>
    <row r="1143" customFormat="false" ht="15" hidden="false" customHeight="false" outlineLevel="0" collapsed="false">
      <c r="A1143" s="2" t="n">
        <v>2024</v>
      </c>
      <c r="B1143" s="2" t="s">
        <v>205</v>
      </c>
      <c r="C1143" s="2" t="s">
        <v>412</v>
      </c>
      <c r="D1143" s="2" t="s">
        <v>29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11" t="b">
        <f aca="false">TRUE()</f>
        <v>1</v>
      </c>
      <c r="M1143" s="2" t="s">
        <v>410</v>
      </c>
      <c r="N1143" s="2" t="str">
        <f aca="false">IF(E1143&gt;0,F1143/E1143,"")</f>
        <v/>
      </c>
      <c r="O1143" s="2" t="str">
        <f aca="false">IF(AND(E1143&gt;0,L1143),J1143/E1143,"")</f>
        <v/>
      </c>
    </row>
    <row r="1144" customFormat="false" ht="15" hidden="false" customHeight="false" outlineLevel="0" collapsed="false">
      <c r="A1144" s="2" t="n">
        <v>2024</v>
      </c>
      <c r="B1144" s="2" t="s">
        <v>225</v>
      </c>
      <c r="C1144" s="2" t="s">
        <v>405</v>
      </c>
      <c r="D1144" s="2" t="s">
        <v>83</v>
      </c>
      <c r="E1144" s="2" t="n">
        <v>5</v>
      </c>
      <c r="F1144" s="2" t="n">
        <v>1</v>
      </c>
      <c r="G1144" s="2" t="n">
        <v>1</v>
      </c>
      <c r="H1144" s="2" t="n">
        <v>0</v>
      </c>
      <c r="I1144" s="2" t="n">
        <v>1</v>
      </c>
      <c r="J1144" s="2" t="n">
        <v>15</v>
      </c>
      <c r="K1144" s="2" t="n">
        <v>16</v>
      </c>
      <c r="L1144" s="11" t="b">
        <f aca="false">TRUE()</f>
        <v>1</v>
      </c>
      <c r="M1144" s="2" t="s">
        <v>406</v>
      </c>
      <c r="N1144" s="2" t="n">
        <f aca="false">IF(E1144&gt;0,F1144/E1144,"")</f>
        <v>0.2</v>
      </c>
      <c r="O1144" s="2" t="n">
        <f aca="false">IF(AND(E1144&gt;0,L1144),J1144/E1144,"")</f>
        <v>3</v>
      </c>
    </row>
    <row r="1145" customFormat="false" ht="15" hidden="false" customHeight="false" outlineLevel="0" collapsed="false">
      <c r="A1145" s="2" t="n">
        <v>2024</v>
      </c>
      <c r="B1145" s="2" t="s">
        <v>522</v>
      </c>
      <c r="C1145" s="2" t="s">
        <v>518</v>
      </c>
      <c r="D1145" s="2" t="s">
        <v>409</v>
      </c>
      <c r="E1145" s="2" t="n">
        <v>7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49</v>
      </c>
      <c r="K1145" s="2" t="n">
        <v>51</v>
      </c>
      <c r="L1145" s="11" t="b">
        <f aca="false">TRUE()</f>
        <v>1</v>
      </c>
      <c r="M1145" s="2" t="s">
        <v>410</v>
      </c>
      <c r="N1145" s="2" t="n">
        <f aca="false">IF(E1145&gt;0,F1145/E1145,"")</f>
        <v>0</v>
      </c>
      <c r="O1145" s="2" t="n">
        <f aca="false">IF(AND(E1145&gt;0,L1145),J1145/E1145,"")</f>
        <v>7</v>
      </c>
    </row>
    <row r="1146" customFormat="false" ht="15" hidden="false" customHeight="false" outlineLevel="0" collapsed="false">
      <c r="A1146" s="2" t="n">
        <v>2024</v>
      </c>
      <c r="B1146" s="2" t="s">
        <v>173</v>
      </c>
      <c r="C1146" s="2" t="s">
        <v>405</v>
      </c>
      <c r="D1146" s="2" t="s">
        <v>29</v>
      </c>
      <c r="E1146" s="2" t="n">
        <v>4</v>
      </c>
      <c r="F1146" s="2" t="n">
        <v>15</v>
      </c>
      <c r="G1146" s="2" t="n">
        <v>9</v>
      </c>
      <c r="H1146" s="2" t="n">
        <v>4</v>
      </c>
      <c r="I1146" s="2" t="n">
        <v>1</v>
      </c>
      <c r="J1146" s="2" t="n">
        <v>52</v>
      </c>
      <c r="K1146" s="2" t="n">
        <v>70</v>
      </c>
      <c r="L1146" s="11" t="b">
        <f aca="false">TRUE()</f>
        <v>1</v>
      </c>
      <c r="M1146" s="2" t="s">
        <v>406</v>
      </c>
      <c r="N1146" s="2" t="n">
        <f aca="false">IF(E1146&gt;0,F1146/E1146,"")</f>
        <v>3.75</v>
      </c>
      <c r="O1146" s="2" t="n">
        <f aca="false">IF(AND(E1146&gt;0,L1146),J1146/E1146,"")</f>
        <v>13</v>
      </c>
    </row>
    <row r="1147" customFormat="false" ht="15" hidden="false" customHeight="false" outlineLevel="0" collapsed="false">
      <c r="A1147" s="2" t="n">
        <v>2024</v>
      </c>
      <c r="B1147" s="2" t="s">
        <v>58</v>
      </c>
      <c r="C1147" s="2" t="s">
        <v>405</v>
      </c>
      <c r="D1147" s="2" t="s">
        <v>29</v>
      </c>
      <c r="E1147" s="2" t="n">
        <v>9</v>
      </c>
      <c r="F1147" s="2" t="n">
        <v>41</v>
      </c>
      <c r="G1147" s="2" t="n">
        <v>20</v>
      </c>
      <c r="H1147" s="2" t="n">
        <v>8</v>
      </c>
      <c r="I1147" s="2" t="n">
        <v>0</v>
      </c>
      <c r="J1147" s="2" t="n">
        <v>114</v>
      </c>
      <c r="K1147" s="2" t="n">
        <v>163</v>
      </c>
      <c r="L1147" s="11" t="b">
        <f aca="false">TRUE()</f>
        <v>1</v>
      </c>
      <c r="M1147" s="2" t="s">
        <v>406</v>
      </c>
      <c r="N1147" s="2" t="n">
        <f aca="false">IF(E1147&gt;0,F1147/E1147,"")</f>
        <v>4.55555555555556</v>
      </c>
      <c r="O1147" s="2" t="n">
        <f aca="false">IF(AND(E1147&gt;0,L1147),J1147/E1147,"")</f>
        <v>12.6666666666667</v>
      </c>
    </row>
    <row r="1148" customFormat="false" ht="15" hidden="false" customHeight="false" outlineLevel="0" collapsed="false">
      <c r="A1148" s="2" t="n">
        <v>2024</v>
      </c>
      <c r="B1148" s="2" t="s">
        <v>362</v>
      </c>
      <c r="C1148" s="2" t="s">
        <v>408</v>
      </c>
      <c r="D1148" s="2" t="s">
        <v>117</v>
      </c>
      <c r="E1148" s="2" t="n">
        <v>1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2</v>
      </c>
      <c r="K1148" s="2" t="n">
        <v>3</v>
      </c>
      <c r="L1148" s="11" t="b">
        <f aca="false">TRUE()</f>
        <v>1</v>
      </c>
      <c r="M1148" s="2" t="s">
        <v>410</v>
      </c>
      <c r="N1148" s="2" t="n">
        <f aca="false">IF(E1148&gt;0,F1148/E1148,"")</f>
        <v>0</v>
      </c>
      <c r="O1148" s="2" t="n">
        <f aca="false">IF(AND(E1148&gt;0,L1148),J1148/E1148,"")</f>
        <v>2</v>
      </c>
    </row>
    <row r="1149" customFormat="false" ht="15" hidden="false" customHeight="false" outlineLevel="0" collapsed="false">
      <c r="A1149" s="2" t="n">
        <v>2024</v>
      </c>
      <c r="B1149" s="2" t="s">
        <v>523</v>
      </c>
      <c r="C1149" s="2" t="s">
        <v>420</v>
      </c>
      <c r="D1149" s="2" t="s">
        <v>24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11" t="b">
        <f aca="false">TRUE()</f>
        <v>1</v>
      </c>
      <c r="M1149" s="2" t="s">
        <v>410</v>
      </c>
      <c r="N1149" s="2" t="str">
        <f aca="false">IF(E1149&gt;0,F1149/E1149,"")</f>
        <v/>
      </c>
      <c r="O1149" s="2" t="str">
        <f aca="false">IF(AND(E1149&gt;0,L1149),J1149/E1149,"")</f>
        <v/>
      </c>
    </row>
    <row r="1150" customFormat="false" ht="15" hidden="false" customHeight="false" outlineLevel="0" collapsed="false">
      <c r="A1150" s="2" t="n">
        <v>2024</v>
      </c>
      <c r="B1150" s="2" t="s">
        <v>47</v>
      </c>
      <c r="C1150" s="2" t="s">
        <v>412</v>
      </c>
      <c r="D1150" s="2" t="s">
        <v>24</v>
      </c>
      <c r="E1150" s="2" t="n">
        <v>10</v>
      </c>
      <c r="F1150" s="2" t="n">
        <v>58</v>
      </c>
      <c r="G1150" s="2" t="n">
        <v>41</v>
      </c>
      <c r="H1150" s="2" t="n">
        <v>24</v>
      </c>
      <c r="I1150" s="2" t="n">
        <v>6</v>
      </c>
      <c r="J1150" s="2" t="n">
        <v>125</v>
      </c>
      <c r="K1150" s="2" t="n">
        <v>194</v>
      </c>
      <c r="L1150" s="11" t="b">
        <f aca="false">TRUE()</f>
        <v>1</v>
      </c>
      <c r="M1150" s="2" t="s">
        <v>406</v>
      </c>
      <c r="N1150" s="2" t="n">
        <f aca="false">IF(E1150&gt;0,F1150/E1150,"")</f>
        <v>5.8</v>
      </c>
      <c r="O1150" s="2" t="n">
        <f aca="false">IF(AND(E1150&gt;0,L1150),J1150/E1150,"")</f>
        <v>12.5</v>
      </c>
    </row>
    <row r="1151" customFormat="false" ht="15" hidden="false" customHeight="false" outlineLevel="0" collapsed="false">
      <c r="A1151" s="2" t="n">
        <v>2024</v>
      </c>
      <c r="B1151" s="2" t="s">
        <v>587</v>
      </c>
      <c r="C1151" s="2" t="s">
        <v>408</v>
      </c>
      <c r="D1151" s="2" t="s">
        <v>409</v>
      </c>
      <c r="E1151" s="2" t="n">
        <v>10</v>
      </c>
      <c r="F1151" s="2" t="n">
        <v>2</v>
      </c>
      <c r="G1151" s="2" t="n">
        <v>1</v>
      </c>
      <c r="H1151" s="2" t="n">
        <v>0</v>
      </c>
      <c r="I1151" s="2" t="n">
        <v>1</v>
      </c>
      <c r="J1151" s="2" t="n">
        <v>140</v>
      </c>
      <c r="K1151" s="2" t="n">
        <v>148</v>
      </c>
      <c r="L1151" s="11" t="b">
        <f aca="false">TRUE()</f>
        <v>1</v>
      </c>
      <c r="M1151" s="2" t="s">
        <v>410</v>
      </c>
      <c r="N1151" s="2" t="n">
        <f aca="false">IF(E1151&gt;0,F1151/E1151,"")</f>
        <v>0.2</v>
      </c>
      <c r="O1151" s="2" t="n">
        <f aca="false">IF(AND(E1151&gt;0,L1151),J1151/E1151,"")</f>
        <v>14</v>
      </c>
    </row>
    <row r="1152" customFormat="false" ht="15" hidden="false" customHeight="false" outlineLevel="0" collapsed="false">
      <c r="A1152" s="2" t="n">
        <v>2024</v>
      </c>
      <c r="B1152" s="2" t="s">
        <v>195</v>
      </c>
      <c r="C1152" s="2" t="s">
        <v>420</v>
      </c>
      <c r="D1152" s="2" t="s">
        <v>29</v>
      </c>
      <c r="E1152" s="2" t="n">
        <v>6</v>
      </c>
      <c r="F1152" s="2" t="n">
        <v>20</v>
      </c>
      <c r="G1152" s="2" t="n">
        <v>13</v>
      </c>
      <c r="H1152" s="2" t="n">
        <v>5</v>
      </c>
      <c r="I1152" s="2" t="n">
        <v>0</v>
      </c>
      <c r="J1152" s="2" t="n">
        <v>69</v>
      </c>
      <c r="K1152" s="2" t="n">
        <v>100</v>
      </c>
      <c r="L1152" s="11" t="b">
        <f aca="false">TRUE()</f>
        <v>1</v>
      </c>
      <c r="M1152" s="2" t="s">
        <v>406</v>
      </c>
      <c r="N1152" s="2" t="n">
        <f aca="false">IF(E1152&gt;0,F1152/E1152,"")</f>
        <v>3.33333333333333</v>
      </c>
      <c r="O1152" s="2" t="n">
        <f aca="false">IF(AND(E1152&gt;0,L1152),J1152/E1152,"")</f>
        <v>11.5</v>
      </c>
    </row>
    <row r="1153" customFormat="false" ht="15" hidden="false" customHeight="false" outlineLevel="0" collapsed="false">
      <c r="A1153" s="2" t="n">
        <v>2024</v>
      </c>
      <c r="B1153" s="2" t="s">
        <v>588</v>
      </c>
      <c r="C1153" s="2" t="s">
        <v>405</v>
      </c>
      <c r="D1153" s="2" t="s">
        <v>83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11" t="b">
        <f aca="false">TRUE()</f>
        <v>1</v>
      </c>
      <c r="M1153" s="2" t="s">
        <v>410</v>
      </c>
      <c r="N1153" s="2" t="str">
        <f aca="false">IF(E1153&gt;0,F1153/E1153,"")</f>
        <v/>
      </c>
      <c r="O1153" s="2" t="str">
        <f aca="false">IF(AND(E1153&gt;0,L1153),J1153/E1153,"")</f>
        <v/>
      </c>
    </row>
    <row r="1154" customFormat="false" ht="15" hidden="false" customHeight="false" outlineLevel="0" collapsed="false">
      <c r="A1154" s="2" t="n">
        <v>2024</v>
      </c>
      <c r="B1154" s="2" t="s">
        <v>99</v>
      </c>
      <c r="C1154" s="2" t="s">
        <v>545</v>
      </c>
      <c r="D1154" s="2" t="s">
        <v>29</v>
      </c>
      <c r="E1154" s="2" t="n">
        <v>1</v>
      </c>
      <c r="F1154" s="2" t="n">
        <v>2</v>
      </c>
      <c r="G1154" s="2" t="n">
        <v>1</v>
      </c>
      <c r="H1154" s="2" t="n">
        <v>0</v>
      </c>
      <c r="I1154" s="2" t="n">
        <v>0</v>
      </c>
      <c r="J1154" s="2" t="n">
        <v>14</v>
      </c>
      <c r="K1154" s="2" t="n">
        <v>20</v>
      </c>
      <c r="L1154" s="11" t="b">
        <f aca="false">TRUE()</f>
        <v>1</v>
      </c>
      <c r="M1154" s="2" t="s">
        <v>410</v>
      </c>
      <c r="N1154" s="2" t="n">
        <f aca="false">IF(E1154&gt;0,F1154/E1154,"")</f>
        <v>2</v>
      </c>
      <c r="O1154" s="2" t="n">
        <f aca="false">IF(AND(E1154&gt;0,L1154),J1154/E1154,"")</f>
        <v>14</v>
      </c>
    </row>
    <row r="1155" customFormat="false" ht="15" hidden="false" customHeight="false" outlineLevel="0" collapsed="false">
      <c r="A1155" s="2" t="n">
        <v>2024</v>
      </c>
      <c r="B1155" s="2" t="s">
        <v>106</v>
      </c>
      <c r="C1155" s="2" t="s">
        <v>414</v>
      </c>
      <c r="D1155" s="2" t="s">
        <v>29</v>
      </c>
      <c r="E1155" s="2" t="n">
        <v>4</v>
      </c>
      <c r="F1155" s="2" t="n">
        <v>25</v>
      </c>
      <c r="G1155" s="2" t="n">
        <v>14</v>
      </c>
      <c r="H1155" s="2" t="n">
        <v>7</v>
      </c>
      <c r="I1155" s="2" t="n">
        <v>0</v>
      </c>
      <c r="J1155" s="2" t="n">
        <v>51</v>
      </c>
      <c r="K1155" s="2" t="n">
        <v>80</v>
      </c>
      <c r="L1155" s="11" t="b">
        <f aca="false">TRUE()</f>
        <v>1</v>
      </c>
      <c r="M1155" s="2" t="s">
        <v>406</v>
      </c>
      <c r="N1155" s="2" t="n">
        <f aca="false">IF(E1155&gt;0,F1155/E1155,"")</f>
        <v>6.25</v>
      </c>
      <c r="O1155" s="2" t="n">
        <f aca="false">IF(AND(E1155&gt;0,L1155),J1155/E1155,"")</f>
        <v>12.75</v>
      </c>
    </row>
    <row r="1156" customFormat="false" ht="15" hidden="false" customHeight="false" outlineLevel="0" collapsed="false">
      <c r="A1156" s="2" t="n">
        <v>2024</v>
      </c>
      <c r="B1156" s="2" t="s">
        <v>43</v>
      </c>
      <c r="C1156" s="2" t="s">
        <v>545</v>
      </c>
      <c r="D1156" s="2" t="s">
        <v>29</v>
      </c>
      <c r="E1156" s="2" t="n">
        <v>10</v>
      </c>
      <c r="F1156" s="2" t="n">
        <v>32</v>
      </c>
      <c r="G1156" s="2" t="n">
        <v>19</v>
      </c>
      <c r="H1156" s="2" t="n">
        <v>10</v>
      </c>
      <c r="I1156" s="2" t="n">
        <v>3</v>
      </c>
      <c r="J1156" s="2" t="n">
        <v>188</v>
      </c>
      <c r="K1156" s="2" t="n">
        <v>224</v>
      </c>
      <c r="L1156" s="11" t="b">
        <f aca="false">TRUE()</f>
        <v>1</v>
      </c>
      <c r="M1156" s="2" t="s">
        <v>406</v>
      </c>
      <c r="N1156" s="2" t="n">
        <f aca="false">IF(E1156&gt;0,F1156/E1156,"")</f>
        <v>3.2</v>
      </c>
      <c r="O1156" s="2" t="n">
        <f aca="false">IF(AND(E1156&gt;0,L1156),J1156/E1156,"")</f>
        <v>18.8</v>
      </c>
    </row>
    <row r="1157" customFormat="false" ht="15" hidden="false" customHeight="false" outlineLevel="0" collapsed="false">
      <c r="A1157" s="2" t="n">
        <v>2024</v>
      </c>
      <c r="B1157" s="2" t="s">
        <v>142</v>
      </c>
      <c r="C1157" s="2" t="s">
        <v>414</v>
      </c>
      <c r="D1157" s="2" t="s">
        <v>117</v>
      </c>
      <c r="E1157" s="2" t="n">
        <v>10</v>
      </c>
      <c r="F1157" s="2" t="n">
        <v>5</v>
      </c>
      <c r="G1157" s="2" t="n">
        <v>4</v>
      </c>
      <c r="H1157" s="2" t="n">
        <v>2</v>
      </c>
      <c r="I1157" s="2" t="n">
        <v>2</v>
      </c>
      <c r="J1157" s="2" t="n">
        <v>60</v>
      </c>
      <c r="K1157" s="2" t="n">
        <v>67</v>
      </c>
      <c r="L1157" s="11" t="b">
        <f aca="false">TRUE()</f>
        <v>1</v>
      </c>
      <c r="M1157" s="2" t="s">
        <v>406</v>
      </c>
      <c r="N1157" s="2" t="n">
        <f aca="false">IF(E1157&gt;0,F1157/E1157,"")</f>
        <v>0.5</v>
      </c>
      <c r="O1157" s="2" t="n">
        <f aca="false">IF(AND(E1157&gt;0,L1157),J1157/E1157,"")</f>
        <v>6</v>
      </c>
    </row>
    <row r="1158" customFormat="false" ht="15" hidden="false" customHeight="false" outlineLevel="0" collapsed="false">
      <c r="A1158" s="2" t="n">
        <v>2024</v>
      </c>
      <c r="B1158" s="2" t="s">
        <v>387</v>
      </c>
      <c r="C1158" s="2" t="s">
        <v>408</v>
      </c>
      <c r="D1158" s="2" t="s">
        <v>115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11" t="b">
        <f aca="false">TRUE()</f>
        <v>1</v>
      </c>
      <c r="M1158" s="2" t="s">
        <v>410</v>
      </c>
      <c r="N1158" s="2" t="str">
        <f aca="false">IF(E1158&gt;0,F1158/E1158,"")</f>
        <v/>
      </c>
      <c r="O1158" s="2" t="str">
        <f aca="false">IF(AND(E1158&gt;0,L1158),J1158/E1158,"")</f>
        <v/>
      </c>
    </row>
    <row r="1159" customFormat="false" ht="15" hidden="false" customHeight="false" outlineLevel="0" collapsed="false">
      <c r="A1159" s="2" t="n">
        <v>2024</v>
      </c>
      <c r="B1159" s="2" t="s">
        <v>625</v>
      </c>
      <c r="C1159" s="2" t="s">
        <v>412</v>
      </c>
      <c r="D1159" s="2" t="s">
        <v>409</v>
      </c>
      <c r="E1159" s="2" t="n">
        <v>6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88</v>
      </c>
      <c r="K1159" s="2" t="n">
        <v>90</v>
      </c>
      <c r="L1159" s="11" t="b">
        <f aca="false">TRUE()</f>
        <v>1</v>
      </c>
      <c r="M1159" s="2" t="s">
        <v>410</v>
      </c>
      <c r="N1159" s="2" t="n">
        <f aca="false">IF(E1159&gt;0,F1159/E1159,"")</f>
        <v>0</v>
      </c>
      <c r="O1159" s="2" t="n">
        <f aca="false">IF(AND(E1159&gt;0,L1159),J1159/E1159,"")</f>
        <v>14.6666666666667</v>
      </c>
    </row>
    <row r="1160" customFormat="false" ht="15" hidden="false" customHeight="false" outlineLevel="0" collapsed="false">
      <c r="A1160" s="2" t="n">
        <v>2024</v>
      </c>
      <c r="B1160" s="2" t="s">
        <v>155</v>
      </c>
      <c r="C1160" s="2" t="s">
        <v>545</v>
      </c>
      <c r="D1160" s="2" t="s">
        <v>117</v>
      </c>
      <c r="E1160" s="2" t="n">
        <v>10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89</v>
      </c>
      <c r="K1160" s="2" t="n">
        <v>93</v>
      </c>
      <c r="L1160" s="11" t="b">
        <f aca="false">TRUE()</f>
        <v>1</v>
      </c>
      <c r="M1160" s="2" t="s">
        <v>406</v>
      </c>
      <c r="N1160" s="2" t="n">
        <f aca="false">IF(E1160&gt;0,F1160/E1160,"")</f>
        <v>0</v>
      </c>
      <c r="O1160" s="2" t="n">
        <f aca="false">IF(AND(E1160&gt;0,L1160),J1160/E1160,"")</f>
        <v>8.9</v>
      </c>
    </row>
    <row r="1161" customFormat="false" ht="15" hidden="false" customHeight="false" outlineLevel="0" collapsed="false">
      <c r="A1161" s="2" t="n">
        <v>2024</v>
      </c>
      <c r="B1161" s="2" t="s">
        <v>158</v>
      </c>
      <c r="C1161" s="2" t="s">
        <v>545</v>
      </c>
      <c r="D1161" s="2" t="s">
        <v>83</v>
      </c>
      <c r="E1161" s="2" t="n">
        <v>10</v>
      </c>
      <c r="F1161" s="2" t="n">
        <v>5</v>
      </c>
      <c r="G1161" s="2" t="n">
        <v>3</v>
      </c>
      <c r="H1161" s="2" t="n">
        <v>0</v>
      </c>
      <c r="I1161" s="2" t="n">
        <v>0</v>
      </c>
      <c r="J1161" s="2" t="n">
        <v>68</v>
      </c>
      <c r="K1161" s="2" t="n">
        <v>77</v>
      </c>
      <c r="L1161" s="11" t="b">
        <f aca="false">TRUE()</f>
        <v>1</v>
      </c>
      <c r="M1161" s="2" t="s">
        <v>406</v>
      </c>
      <c r="N1161" s="2" t="n">
        <f aca="false">IF(E1161&gt;0,F1161/E1161,"")</f>
        <v>0.5</v>
      </c>
      <c r="O1161" s="2" t="n">
        <f aca="false">IF(AND(E1161&gt;0,L1161),J1161/E1161,"")</f>
        <v>6.8</v>
      </c>
    </row>
    <row r="1162" customFormat="false" ht="15" hidden="false" customHeight="false" outlineLevel="0" collapsed="false">
      <c r="A1162" s="2" t="n">
        <v>2024</v>
      </c>
      <c r="B1162" s="2" t="s">
        <v>191</v>
      </c>
      <c r="C1162" s="2" t="s">
        <v>405</v>
      </c>
      <c r="D1162" s="2" t="s">
        <v>117</v>
      </c>
      <c r="E1162" s="2" t="n">
        <v>10</v>
      </c>
      <c r="F1162" s="2" t="n">
        <v>5</v>
      </c>
      <c r="G1162" s="2" t="n">
        <v>2</v>
      </c>
      <c r="H1162" s="2" t="n">
        <v>1</v>
      </c>
      <c r="I1162" s="2" t="n">
        <v>0</v>
      </c>
      <c r="J1162" s="2" t="n">
        <v>65</v>
      </c>
      <c r="K1162" s="2" t="n">
        <v>74</v>
      </c>
      <c r="L1162" s="11" t="b">
        <f aca="false">TRUE()</f>
        <v>1</v>
      </c>
      <c r="M1162" s="2" t="s">
        <v>406</v>
      </c>
      <c r="N1162" s="2" t="n">
        <f aca="false">IF(E1162&gt;0,F1162/E1162,"")</f>
        <v>0.5</v>
      </c>
      <c r="O1162" s="2" t="n">
        <f aca="false">IF(AND(E1162&gt;0,L1162),J1162/E1162,"")</f>
        <v>6.5</v>
      </c>
    </row>
    <row r="1163" customFormat="false" ht="15" hidden="false" customHeight="false" outlineLevel="0" collapsed="false">
      <c r="A1163" s="2" t="n">
        <v>2024</v>
      </c>
      <c r="B1163" s="2" t="s">
        <v>272</v>
      </c>
      <c r="C1163" s="2" t="s">
        <v>405</v>
      </c>
      <c r="D1163" s="2" t="s">
        <v>115</v>
      </c>
      <c r="E1163" s="2" t="n">
        <v>2</v>
      </c>
      <c r="F1163" s="2" t="n">
        <v>0</v>
      </c>
      <c r="G1163" s="2" t="n">
        <v>0</v>
      </c>
      <c r="H1163" s="2" t="n">
        <v>0</v>
      </c>
      <c r="I1163" s="2" t="n">
        <v>1</v>
      </c>
      <c r="J1163" s="2" t="n">
        <v>6</v>
      </c>
      <c r="K1163" s="2" t="n">
        <v>6</v>
      </c>
      <c r="L1163" s="11" t="b">
        <f aca="false">TRUE()</f>
        <v>1</v>
      </c>
      <c r="M1163" s="2" t="s">
        <v>410</v>
      </c>
      <c r="N1163" s="2" t="n">
        <f aca="false">IF(E1163&gt;0,F1163/E1163,"")</f>
        <v>0</v>
      </c>
      <c r="O1163" s="2" t="n">
        <f aca="false">IF(AND(E1163&gt;0,L1163),J1163/E1163,"")</f>
        <v>3</v>
      </c>
    </row>
    <row r="1164" customFormat="false" ht="15" hidden="false" customHeight="false" outlineLevel="0" collapsed="false">
      <c r="A1164" s="2" t="n">
        <v>2024</v>
      </c>
      <c r="B1164" s="2" t="s">
        <v>85</v>
      </c>
      <c r="C1164" s="2" t="s">
        <v>622</v>
      </c>
      <c r="D1164" s="2" t="s">
        <v>29</v>
      </c>
      <c r="E1164" s="2" t="n">
        <v>10</v>
      </c>
      <c r="F1164" s="2" t="n">
        <v>36</v>
      </c>
      <c r="G1164" s="2" t="n">
        <v>21</v>
      </c>
      <c r="H1164" s="2" t="n">
        <v>7</v>
      </c>
      <c r="I1164" s="2" t="n">
        <v>3</v>
      </c>
      <c r="J1164" s="2" t="n">
        <v>98</v>
      </c>
      <c r="K1164" s="2" t="n">
        <v>138</v>
      </c>
      <c r="L1164" s="11" t="b">
        <f aca="false">TRUE()</f>
        <v>1</v>
      </c>
      <c r="M1164" s="2" t="s">
        <v>406</v>
      </c>
      <c r="N1164" s="2" t="n">
        <f aca="false">IF(E1164&gt;0,F1164/E1164,"")</f>
        <v>3.6</v>
      </c>
      <c r="O1164" s="2" t="n">
        <f aca="false">IF(AND(E1164&gt;0,L1164),J1164/E1164,"")</f>
        <v>9.8</v>
      </c>
    </row>
    <row r="1165" customFormat="false" ht="15" hidden="false" customHeight="false" outlineLevel="0" collapsed="false">
      <c r="A1165" s="2" t="n">
        <v>2024</v>
      </c>
      <c r="B1165" s="2" t="s">
        <v>28</v>
      </c>
      <c r="C1165" s="2" t="s">
        <v>408</v>
      </c>
      <c r="D1165" s="2" t="s">
        <v>24</v>
      </c>
      <c r="E1165" s="2" t="n">
        <v>10</v>
      </c>
      <c r="F1165" s="2" t="n">
        <v>71</v>
      </c>
      <c r="G1165" s="2" t="n">
        <v>49</v>
      </c>
      <c r="H1165" s="2" t="n">
        <v>25</v>
      </c>
      <c r="I1165" s="2" t="n">
        <v>7</v>
      </c>
      <c r="J1165" s="2" t="n">
        <v>188</v>
      </c>
      <c r="K1165" s="2" t="n">
        <v>279</v>
      </c>
      <c r="L1165" s="11" t="b">
        <f aca="false">TRUE()</f>
        <v>1</v>
      </c>
      <c r="M1165" s="2" t="s">
        <v>406</v>
      </c>
      <c r="N1165" s="2" t="n">
        <f aca="false">IF(E1165&gt;0,F1165/E1165,"")</f>
        <v>7.1</v>
      </c>
      <c r="O1165" s="2" t="n">
        <f aca="false">IF(AND(E1165&gt;0,L1165),J1165/E1165,"")</f>
        <v>18.8</v>
      </c>
    </row>
    <row r="1166" customFormat="false" ht="15" hidden="false" customHeight="false" outlineLevel="0" collapsed="false">
      <c r="A1166" s="2" t="n">
        <v>2024</v>
      </c>
      <c r="B1166" s="2" t="s">
        <v>626</v>
      </c>
      <c r="C1166" s="2" t="s">
        <v>408</v>
      </c>
      <c r="D1166" s="2" t="s">
        <v>83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11" t="b">
        <f aca="false">TRUE()</f>
        <v>1</v>
      </c>
      <c r="M1166" s="2" t="s">
        <v>410</v>
      </c>
      <c r="N1166" s="2" t="str">
        <f aca="false">IF(E1166&gt;0,F1166/E1166,"")</f>
        <v/>
      </c>
      <c r="O1166" s="2" t="str">
        <f aca="false">IF(AND(E1166&gt;0,L1166),J1166/E1166,"")</f>
        <v/>
      </c>
    </row>
    <row r="1167" customFormat="false" ht="15" hidden="false" customHeight="false" outlineLevel="0" collapsed="false">
      <c r="A1167" s="2" t="n">
        <v>2024</v>
      </c>
      <c r="B1167" s="2" t="s">
        <v>554</v>
      </c>
      <c r="C1167" s="2" t="s">
        <v>622</v>
      </c>
      <c r="D1167" s="2" t="s">
        <v>413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11" t="b">
        <f aca="false">TRUE()</f>
        <v>1</v>
      </c>
      <c r="M1167" s="2" t="s">
        <v>410</v>
      </c>
      <c r="N1167" s="2" t="str">
        <f aca="false">IF(E1167&gt;0,F1167/E1167,"")</f>
        <v/>
      </c>
      <c r="O1167" s="2" t="str">
        <f aca="false">IF(AND(E1167&gt;0,L1167),J1167/E1167,"")</f>
        <v/>
      </c>
    </row>
    <row r="1168" customFormat="false" ht="15" hidden="false" customHeight="false" outlineLevel="0" collapsed="false">
      <c r="A1168" s="2" t="n">
        <v>2024</v>
      </c>
      <c r="B1168" s="2" t="s">
        <v>283</v>
      </c>
      <c r="C1168" s="2" t="s">
        <v>405</v>
      </c>
      <c r="D1168" s="2" t="s">
        <v>117</v>
      </c>
      <c r="E1168" s="2" t="n">
        <v>7</v>
      </c>
      <c r="F1168" s="2" t="n">
        <v>1</v>
      </c>
      <c r="G1168" s="2" t="n">
        <v>1</v>
      </c>
      <c r="H1168" s="2" t="n">
        <v>0</v>
      </c>
      <c r="I1168" s="2" t="n">
        <v>0</v>
      </c>
      <c r="J1168" s="2" t="n">
        <v>22</v>
      </c>
      <c r="K1168" s="2" t="n">
        <v>25</v>
      </c>
      <c r="L1168" s="11" t="b">
        <f aca="false">TRUE()</f>
        <v>1</v>
      </c>
      <c r="M1168" s="2" t="s">
        <v>406</v>
      </c>
      <c r="N1168" s="2" t="n">
        <f aca="false">IF(E1168&gt;0,F1168/E1168,"")</f>
        <v>0.142857142857143</v>
      </c>
      <c r="O1168" s="2" t="n">
        <f aca="false">IF(AND(E1168&gt;0,L1168),J1168/E1168,"")</f>
        <v>3.14285714285714</v>
      </c>
    </row>
    <row r="1169" customFormat="false" ht="15" hidden="false" customHeight="false" outlineLevel="0" collapsed="false">
      <c r="A1169" s="2" t="n">
        <v>2024</v>
      </c>
      <c r="B1169" s="2" t="s">
        <v>30</v>
      </c>
      <c r="C1169" s="2" t="s">
        <v>405</v>
      </c>
      <c r="D1169" s="2" t="s">
        <v>24</v>
      </c>
      <c r="E1169" s="2" t="n">
        <v>10</v>
      </c>
      <c r="F1169" s="2" t="n">
        <v>59</v>
      </c>
      <c r="G1169" s="2" t="n">
        <v>30</v>
      </c>
      <c r="H1169" s="2" t="n">
        <v>13</v>
      </c>
      <c r="I1169" s="2" t="n">
        <v>12</v>
      </c>
      <c r="J1169" s="2" t="n">
        <v>257</v>
      </c>
      <c r="K1169" s="2" t="n">
        <v>339</v>
      </c>
      <c r="L1169" s="11" t="b">
        <f aca="false">TRUE()</f>
        <v>1</v>
      </c>
      <c r="M1169" s="2" t="s">
        <v>406</v>
      </c>
      <c r="N1169" s="2" t="n">
        <f aca="false">IF(E1169&gt;0,F1169/E1169,"")</f>
        <v>5.9</v>
      </c>
      <c r="O1169" s="2" t="n">
        <f aca="false">IF(AND(E1169&gt;0,L1169),J1169/E1169,"")</f>
        <v>25.7</v>
      </c>
    </row>
    <row r="1170" customFormat="false" ht="15" hidden="false" customHeight="false" outlineLevel="0" collapsed="false">
      <c r="A1170" s="2" t="n">
        <v>2024</v>
      </c>
      <c r="B1170" s="2" t="s">
        <v>110</v>
      </c>
      <c r="C1170" s="2" t="s">
        <v>420</v>
      </c>
      <c r="D1170" s="2" t="s">
        <v>83</v>
      </c>
      <c r="E1170" s="2" t="n">
        <v>10</v>
      </c>
      <c r="F1170" s="2" t="n">
        <v>18</v>
      </c>
      <c r="G1170" s="2" t="n">
        <v>11</v>
      </c>
      <c r="H1170" s="2" t="n">
        <v>5</v>
      </c>
      <c r="I1170" s="2" t="n">
        <v>1</v>
      </c>
      <c r="J1170" s="2" t="n">
        <v>57</v>
      </c>
      <c r="K1170" s="2" t="n">
        <v>76</v>
      </c>
      <c r="L1170" s="11" t="b">
        <f aca="false">TRUE()</f>
        <v>1</v>
      </c>
      <c r="M1170" s="2" t="s">
        <v>406</v>
      </c>
      <c r="N1170" s="2" t="n">
        <f aca="false">IF(E1170&gt;0,F1170/E1170,"")</f>
        <v>1.8</v>
      </c>
      <c r="O1170" s="2" t="n">
        <f aca="false">IF(AND(E1170&gt;0,L1170),J1170/E1170,"")</f>
        <v>5.7</v>
      </c>
    </row>
    <row r="1171" customFormat="false" ht="15" hidden="false" customHeight="false" outlineLevel="0" collapsed="false">
      <c r="A1171" s="2" t="n">
        <v>2024</v>
      </c>
      <c r="B1171" s="2" t="s">
        <v>366</v>
      </c>
      <c r="C1171" s="2" t="s">
        <v>412</v>
      </c>
      <c r="D1171" s="2" t="s">
        <v>115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11" t="b">
        <f aca="false">TRUE()</f>
        <v>1</v>
      </c>
      <c r="M1171" s="2" t="s">
        <v>410</v>
      </c>
      <c r="N1171" s="2" t="str">
        <f aca="false">IF(E1171&gt;0,F1171/E1171,"")</f>
        <v/>
      </c>
      <c r="O1171" s="2" t="str">
        <f aca="false">IF(AND(E1171&gt;0,L1171),J1171/E1171,"")</f>
        <v/>
      </c>
    </row>
    <row r="1172" customFormat="false" ht="15" hidden="false" customHeight="false" outlineLevel="0" collapsed="false">
      <c r="A1172" s="2" t="n">
        <v>2024</v>
      </c>
      <c r="B1172" s="2" t="s">
        <v>300</v>
      </c>
      <c r="C1172" s="2" t="s">
        <v>622</v>
      </c>
      <c r="D1172" s="2" t="s">
        <v>29</v>
      </c>
      <c r="E1172" s="2" t="n">
        <v>2</v>
      </c>
      <c r="F1172" s="2" t="n">
        <v>12</v>
      </c>
      <c r="G1172" s="2" t="n">
        <v>6</v>
      </c>
      <c r="H1172" s="2" t="n">
        <v>2</v>
      </c>
      <c r="I1172" s="2" t="n">
        <v>0</v>
      </c>
      <c r="J1172" s="2" t="n">
        <v>13</v>
      </c>
      <c r="K1172" s="2" t="n">
        <v>26</v>
      </c>
      <c r="L1172" s="11" t="b">
        <f aca="false">TRUE()</f>
        <v>1</v>
      </c>
      <c r="M1172" s="2" t="s">
        <v>410</v>
      </c>
      <c r="N1172" s="2" t="n">
        <f aca="false">IF(E1172&gt;0,F1172/E1172,"")</f>
        <v>6</v>
      </c>
      <c r="O1172" s="2" t="n">
        <f aca="false">IF(AND(E1172&gt;0,L1172),J1172/E1172,"")</f>
        <v>6.5</v>
      </c>
    </row>
    <row r="1173" customFormat="false" ht="15" hidden="false" customHeight="false" outlineLevel="0" collapsed="false">
      <c r="A1173" s="2" t="n">
        <v>2024</v>
      </c>
      <c r="B1173" s="2" t="s">
        <v>442</v>
      </c>
      <c r="C1173" s="2" t="s">
        <v>545</v>
      </c>
      <c r="D1173" s="2" t="s">
        <v>409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11" t="b">
        <f aca="false">TRUE()</f>
        <v>1</v>
      </c>
      <c r="M1173" s="2" t="s">
        <v>410</v>
      </c>
      <c r="N1173" s="2" t="str">
        <f aca="false">IF(E1173&gt;0,F1173/E1173,"")</f>
        <v/>
      </c>
      <c r="O1173" s="2" t="str">
        <f aca="false">IF(AND(E1173&gt;0,L1173),J1173/E1173,"")</f>
        <v/>
      </c>
    </row>
    <row r="1174" customFormat="false" ht="15" hidden="false" customHeight="false" outlineLevel="0" collapsed="false">
      <c r="A1174" s="2" t="n">
        <v>2024</v>
      </c>
      <c r="B1174" s="2" t="s">
        <v>144</v>
      </c>
      <c r="C1174" s="2" t="s">
        <v>622</v>
      </c>
      <c r="D1174" s="2" t="s">
        <v>117</v>
      </c>
      <c r="E1174" s="2" t="n">
        <v>10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74</v>
      </c>
      <c r="K1174" s="2" t="n">
        <v>78</v>
      </c>
      <c r="L1174" s="11" t="b">
        <f aca="false">TRUE()</f>
        <v>1</v>
      </c>
      <c r="M1174" s="2" t="s">
        <v>406</v>
      </c>
      <c r="N1174" s="2" t="n">
        <f aca="false">IF(E1174&gt;0,F1174/E1174,"")</f>
        <v>0</v>
      </c>
      <c r="O1174" s="2" t="n">
        <f aca="false">IF(AND(E1174&gt;0,L1174),J1174/E1174,"")</f>
        <v>7.4</v>
      </c>
    </row>
    <row r="1175" customFormat="false" ht="15" hidden="false" customHeight="false" outlineLevel="0" collapsed="false">
      <c r="A1175" s="2" t="n">
        <v>2024</v>
      </c>
      <c r="B1175" s="2" t="s">
        <v>215</v>
      </c>
      <c r="C1175" s="2" t="s">
        <v>420</v>
      </c>
      <c r="D1175" s="2" t="s">
        <v>83</v>
      </c>
      <c r="E1175" s="2" t="n">
        <v>1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4</v>
      </c>
      <c r="K1175" s="2" t="n">
        <v>4</v>
      </c>
      <c r="L1175" s="11" t="b">
        <f aca="false">TRUE()</f>
        <v>1</v>
      </c>
      <c r="M1175" s="2" t="s">
        <v>410</v>
      </c>
      <c r="N1175" s="2" t="n">
        <f aca="false">IF(E1175&gt;0,F1175/E1175,"")</f>
        <v>0</v>
      </c>
      <c r="O1175" s="2" t="n">
        <f aca="false">IF(AND(E1175&gt;0,L1175),J1175/E1175,"")</f>
        <v>4</v>
      </c>
    </row>
    <row r="1176" customFormat="false" ht="15" hidden="false" customHeight="false" outlineLevel="0" collapsed="false">
      <c r="A1176" s="2" t="n">
        <v>2024</v>
      </c>
      <c r="B1176" s="2" t="s">
        <v>190</v>
      </c>
      <c r="C1176" s="2" t="s">
        <v>518</v>
      </c>
      <c r="D1176" s="2" t="s">
        <v>117</v>
      </c>
      <c r="E1176" s="2" t="n">
        <v>10</v>
      </c>
      <c r="F1176" s="2" t="n">
        <v>2</v>
      </c>
      <c r="G1176" s="2" t="n">
        <v>2</v>
      </c>
      <c r="H1176" s="2" t="n">
        <v>0</v>
      </c>
      <c r="I1176" s="2" t="n">
        <v>0</v>
      </c>
      <c r="J1176" s="2" t="n">
        <v>55</v>
      </c>
      <c r="K1176" s="2" t="n">
        <v>59</v>
      </c>
      <c r="L1176" s="11" t="b">
        <f aca="false">TRUE()</f>
        <v>1</v>
      </c>
      <c r="M1176" s="2" t="s">
        <v>406</v>
      </c>
      <c r="N1176" s="2" t="n">
        <f aca="false">IF(E1176&gt;0,F1176/E1176,"")</f>
        <v>0.2</v>
      </c>
      <c r="O1176" s="2" t="n">
        <f aca="false">IF(AND(E1176&gt;0,L1176),J1176/E1176,"")</f>
        <v>5.5</v>
      </c>
    </row>
    <row r="1177" customFormat="false" ht="15" hidden="false" customHeight="false" outlineLevel="0" collapsed="false">
      <c r="A1177" s="2" t="n">
        <v>2024</v>
      </c>
      <c r="B1177" s="2" t="s">
        <v>164</v>
      </c>
      <c r="C1177" s="2" t="s">
        <v>545</v>
      </c>
      <c r="D1177" s="2" t="s">
        <v>83</v>
      </c>
      <c r="E1177" s="2" t="n">
        <v>10</v>
      </c>
      <c r="F1177" s="2" t="n">
        <v>1</v>
      </c>
      <c r="G1177" s="2" t="n">
        <v>1</v>
      </c>
      <c r="H1177" s="2" t="n">
        <v>0</v>
      </c>
      <c r="I1177" s="2" t="n">
        <v>1</v>
      </c>
      <c r="J1177" s="2" t="n">
        <v>30</v>
      </c>
      <c r="K1177" s="2" t="n">
        <v>33</v>
      </c>
      <c r="L1177" s="11" t="b">
        <f aca="false">TRUE()</f>
        <v>1</v>
      </c>
      <c r="M1177" s="2" t="s">
        <v>406</v>
      </c>
      <c r="N1177" s="2" t="n">
        <f aca="false">IF(E1177&gt;0,F1177/E1177,"")</f>
        <v>0.1</v>
      </c>
      <c r="O1177" s="2" t="n">
        <f aca="false">IF(AND(E1177&gt;0,L1177),J1177/E1177,"")</f>
        <v>3</v>
      </c>
    </row>
    <row r="1178" customFormat="false" ht="15" hidden="false" customHeight="false" outlineLevel="0" collapsed="false">
      <c r="A1178" s="2" t="n">
        <v>2024</v>
      </c>
      <c r="B1178" s="2" t="s">
        <v>186</v>
      </c>
      <c r="C1178" s="2" t="s">
        <v>405</v>
      </c>
      <c r="D1178" s="2" t="s">
        <v>115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11" t="b">
        <f aca="false">TRUE()</f>
        <v>1</v>
      </c>
      <c r="M1178" s="2" t="s">
        <v>410</v>
      </c>
      <c r="N1178" s="2" t="str">
        <f aca="false">IF(E1178&gt;0,F1178/E1178,"")</f>
        <v/>
      </c>
      <c r="O1178" s="2" t="str">
        <f aca="false">IF(AND(E1178&gt;0,L1178),J1178/E1178,"")</f>
        <v/>
      </c>
    </row>
    <row r="1179" customFormat="false" ht="15" hidden="false" customHeight="false" outlineLevel="0" collapsed="false">
      <c r="A1179" s="2" t="n">
        <v>2024</v>
      </c>
      <c r="B1179" s="2" t="s">
        <v>44</v>
      </c>
      <c r="C1179" s="2" t="s">
        <v>405</v>
      </c>
      <c r="D1179" s="2" t="s">
        <v>24</v>
      </c>
      <c r="E1179" s="2" t="n">
        <v>8</v>
      </c>
      <c r="F1179" s="2" t="n">
        <v>37</v>
      </c>
      <c r="G1179" s="2" t="n">
        <v>22</v>
      </c>
      <c r="H1179" s="2" t="n">
        <v>8</v>
      </c>
      <c r="I1179" s="2" t="n">
        <v>4</v>
      </c>
      <c r="J1179" s="2" t="n">
        <v>188</v>
      </c>
      <c r="K1179" s="2" t="n">
        <v>238</v>
      </c>
      <c r="L1179" s="11" t="b">
        <f aca="false">TRUE()</f>
        <v>1</v>
      </c>
      <c r="M1179" s="2" t="s">
        <v>406</v>
      </c>
      <c r="N1179" s="2" t="n">
        <f aca="false">IF(E1179&gt;0,F1179/E1179,"")</f>
        <v>4.625</v>
      </c>
      <c r="O1179" s="2" t="n">
        <f aca="false">IF(AND(E1179&gt;0,L1179),J1179/E1179,"")</f>
        <v>23.5</v>
      </c>
    </row>
    <row r="1180" customFormat="false" ht="15" hidden="false" customHeight="false" outlineLevel="0" collapsed="false">
      <c r="A1180" s="2" t="n">
        <v>2024</v>
      </c>
      <c r="B1180" s="2" t="s">
        <v>255</v>
      </c>
      <c r="C1180" s="2" t="s">
        <v>622</v>
      </c>
      <c r="D1180" s="2" t="s">
        <v>115</v>
      </c>
      <c r="E1180" s="2" t="n">
        <v>9</v>
      </c>
      <c r="F1180" s="2" t="n">
        <v>1</v>
      </c>
      <c r="G1180" s="2" t="n">
        <v>0</v>
      </c>
      <c r="H1180" s="2" t="n">
        <v>0</v>
      </c>
      <c r="I1180" s="2" t="n">
        <v>0</v>
      </c>
      <c r="J1180" s="2" t="n">
        <v>27</v>
      </c>
      <c r="K1180" s="2" t="n">
        <v>29</v>
      </c>
      <c r="L1180" s="11" t="b">
        <f aca="false">TRUE()</f>
        <v>1</v>
      </c>
      <c r="M1180" s="2" t="s">
        <v>406</v>
      </c>
      <c r="N1180" s="2" t="n">
        <f aca="false">IF(E1180&gt;0,F1180/E1180,"")</f>
        <v>0.111111111111111</v>
      </c>
      <c r="O1180" s="2" t="n">
        <f aca="false">IF(AND(E1180&gt;0,L1180),J1180/E1180,"")</f>
        <v>3</v>
      </c>
    </row>
    <row r="1181" customFormat="false" ht="15" hidden="false" customHeight="false" outlineLevel="0" collapsed="false">
      <c r="A1181" s="2" t="n">
        <v>2024</v>
      </c>
      <c r="B1181" s="2" t="s">
        <v>88</v>
      </c>
      <c r="C1181" s="2" t="s">
        <v>622</v>
      </c>
      <c r="D1181" s="2" t="s">
        <v>29</v>
      </c>
      <c r="E1181" s="2" t="n">
        <v>10</v>
      </c>
      <c r="F1181" s="2" t="n">
        <v>45</v>
      </c>
      <c r="G1181" s="2" t="n">
        <v>29</v>
      </c>
      <c r="H1181" s="2" t="n">
        <v>9</v>
      </c>
      <c r="I1181" s="2" t="n">
        <v>6</v>
      </c>
      <c r="J1181" s="2" t="n">
        <v>144</v>
      </c>
      <c r="K1181" s="2" t="n">
        <v>201</v>
      </c>
      <c r="L1181" s="11" t="b">
        <f aca="false">TRUE()</f>
        <v>1</v>
      </c>
      <c r="M1181" s="2" t="s">
        <v>406</v>
      </c>
      <c r="N1181" s="2" t="n">
        <f aca="false">IF(E1181&gt;0,F1181/E1181,"")</f>
        <v>4.5</v>
      </c>
      <c r="O1181" s="2" t="n">
        <f aca="false">IF(AND(E1181&gt;0,L1181),J1181/E1181,"")</f>
        <v>14.4</v>
      </c>
    </row>
    <row r="1182" customFormat="false" ht="15" hidden="false" customHeight="false" outlineLevel="0" collapsed="false">
      <c r="A1182" s="2" t="n">
        <v>2024</v>
      </c>
      <c r="B1182" s="2" t="s">
        <v>40</v>
      </c>
      <c r="C1182" s="2" t="s">
        <v>518</v>
      </c>
      <c r="D1182" s="2" t="s">
        <v>29</v>
      </c>
      <c r="E1182" s="2" t="n">
        <v>7</v>
      </c>
      <c r="F1182" s="2" t="n">
        <v>46</v>
      </c>
      <c r="G1182" s="2" t="n">
        <v>26</v>
      </c>
      <c r="H1182" s="2" t="n">
        <v>9</v>
      </c>
      <c r="I1182" s="2" t="n">
        <v>3</v>
      </c>
      <c r="J1182" s="2" t="n">
        <v>95</v>
      </c>
      <c r="K1182" s="2" t="n">
        <v>156</v>
      </c>
      <c r="L1182" s="11" t="b">
        <f aca="false">TRUE()</f>
        <v>1</v>
      </c>
      <c r="M1182" s="2" t="s">
        <v>406</v>
      </c>
      <c r="N1182" s="2" t="n">
        <f aca="false">IF(E1182&gt;0,F1182/E1182,"")</f>
        <v>6.57142857142857</v>
      </c>
      <c r="O1182" s="2" t="n">
        <f aca="false">IF(AND(E1182&gt;0,L1182),J1182/E1182,"")</f>
        <v>13.5714285714286</v>
      </c>
    </row>
    <row r="1183" customFormat="false" ht="15" hidden="false" customHeight="false" outlineLevel="0" collapsed="false">
      <c r="A1183" s="2" t="n">
        <v>2024</v>
      </c>
      <c r="B1183" s="2" t="s">
        <v>224</v>
      </c>
      <c r="C1183" s="2" t="s">
        <v>408</v>
      </c>
      <c r="D1183" s="2" t="s">
        <v>83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11" t="b">
        <f aca="false">TRUE()</f>
        <v>1</v>
      </c>
      <c r="M1183" s="2" t="s">
        <v>410</v>
      </c>
      <c r="N1183" s="2" t="str">
        <f aca="false">IF(E1183&gt;0,F1183/E1183,"")</f>
        <v/>
      </c>
      <c r="O1183" s="2" t="str">
        <f aca="false">IF(AND(E1183&gt;0,L1183),J1183/E1183,"")</f>
        <v/>
      </c>
    </row>
    <row r="1184" customFormat="false" ht="15" hidden="false" customHeight="false" outlineLevel="0" collapsed="false">
      <c r="A1184" s="2" t="n">
        <v>2024</v>
      </c>
      <c r="B1184" s="2" t="s">
        <v>188</v>
      </c>
      <c r="C1184" s="2" t="s">
        <v>622</v>
      </c>
      <c r="D1184" s="2" t="s">
        <v>83</v>
      </c>
      <c r="E1184" s="2" t="n">
        <v>10</v>
      </c>
      <c r="F1184" s="2" t="n">
        <v>0</v>
      </c>
      <c r="G1184" s="2" t="n">
        <v>0</v>
      </c>
      <c r="H1184" s="2" t="n">
        <v>0</v>
      </c>
      <c r="I1184" s="2" t="n">
        <v>2</v>
      </c>
      <c r="J1184" s="2" t="n">
        <v>44</v>
      </c>
      <c r="K1184" s="2" t="n">
        <v>46</v>
      </c>
      <c r="L1184" s="11" t="b">
        <f aca="false">TRUE()</f>
        <v>1</v>
      </c>
      <c r="M1184" s="2" t="s">
        <v>406</v>
      </c>
      <c r="N1184" s="2" t="n">
        <f aca="false">IF(E1184&gt;0,F1184/E1184,"")</f>
        <v>0</v>
      </c>
      <c r="O1184" s="2" t="n">
        <f aca="false">IF(AND(E1184&gt;0,L1184),J1184/E1184,"")</f>
        <v>4.4</v>
      </c>
    </row>
    <row r="1185" customFormat="false" ht="15" hidden="false" customHeight="false" outlineLevel="0" collapsed="false">
      <c r="A1185" s="2" t="n">
        <v>2024</v>
      </c>
      <c r="B1185" s="2" t="s">
        <v>227</v>
      </c>
      <c r="C1185" s="2" t="s">
        <v>518</v>
      </c>
      <c r="D1185" s="2" t="s">
        <v>83</v>
      </c>
      <c r="E1185" s="2" t="n">
        <v>5</v>
      </c>
      <c r="F1185" s="2" t="n">
        <v>4</v>
      </c>
      <c r="G1185" s="2" t="n">
        <v>3</v>
      </c>
      <c r="H1185" s="2" t="n">
        <v>1</v>
      </c>
      <c r="I1185" s="2" t="n">
        <v>0</v>
      </c>
      <c r="J1185" s="2" t="n">
        <v>27</v>
      </c>
      <c r="K1185" s="2" t="n">
        <v>33</v>
      </c>
      <c r="L1185" s="11" t="b">
        <f aca="false">TRUE()</f>
        <v>1</v>
      </c>
      <c r="M1185" s="2" t="s">
        <v>406</v>
      </c>
      <c r="N1185" s="2" t="n">
        <f aca="false">IF(E1185&gt;0,F1185/E1185,"")</f>
        <v>0.8</v>
      </c>
      <c r="O1185" s="2" t="n">
        <f aca="false">IF(AND(E1185&gt;0,L1185),J1185/E1185,"")</f>
        <v>5.4</v>
      </c>
    </row>
    <row r="1186" customFormat="false" ht="15" hidden="false" customHeight="false" outlineLevel="0" collapsed="false">
      <c r="A1186" s="2" t="n">
        <v>2024</v>
      </c>
      <c r="B1186" s="2" t="s">
        <v>66</v>
      </c>
      <c r="C1186" s="2" t="s">
        <v>414</v>
      </c>
      <c r="D1186" s="2" t="s">
        <v>29</v>
      </c>
      <c r="E1186" s="2" t="n">
        <v>9</v>
      </c>
      <c r="F1186" s="2" t="n">
        <v>23</v>
      </c>
      <c r="G1186" s="2" t="n">
        <v>18</v>
      </c>
      <c r="H1186" s="2" t="n">
        <v>8</v>
      </c>
      <c r="I1186" s="2" t="n">
        <v>1</v>
      </c>
      <c r="J1186" s="2" t="n">
        <v>86</v>
      </c>
      <c r="K1186" s="2" t="n">
        <v>116</v>
      </c>
      <c r="L1186" s="11" t="b">
        <f aca="false">TRUE()</f>
        <v>1</v>
      </c>
      <c r="M1186" s="2" t="s">
        <v>406</v>
      </c>
      <c r="N1186" s="2" t="n">
        <f aca="false">IF(E1186&gt;0,F1186/E1186,"")</f>
        <v>2.55555555555556</v>
      </c>
      <c r="O1186" s="2" t="n">
        <f aca="false">IF(AND(E1186&gt;0,L1186),J1186/E1186,"")</f>
        <v>9.55555555555556</v>
      </c>
    </row>
    <row r="1187" customFormat="false" ht="15" hidden="false" customHeight="false" outlineLevel="0" collapsed="false">
      <c r="A1187" s="2" t="n">
        <v>2024</v>
      </c>
      <c r="B1187" s="2" t="s">
        <v>73</v>
      </c>
      <c r="C1187" s="2" t="s">
        <v>420</v>
      </c>
      <c r="D1187" s="2" t="s">
        <v>24</v>
      </c>
      <c r="E1187" s="2" t="n">
        <v>9</v>
      </c>
      <c r="F1187" s="2" t="n">
        <v>31</v>
      </c>
      <c r="G1187" s="2" t="n">
        <v>24</v>
      </c>
      <c r="H1187" s="2" t="n">
        <v>10</v>
      </c>
      <c r="I1187" s="2" t="n">
        <v>5</v>
      </c>
      <c r="J1187" s="2" t="n">
        <v>186</v>
      </c>
      <c r="K1187" s="2" t="n">
        <v>230</v>
      </c>
      <c r="L1187" s="11" t="b">
        <f aca="false">TRUE()</f>
        <v>1</v>
      </c>
      <c r="M1187" s="2" t="s">
        <v>406</v>
      </c>
      <c r="N1187" s="2" t="n">
        <f aca="false">IF(E1187&gt;0,F1187/E1187,"")</f>
        <v>3.44444444444444</v>
      </c>
      <c r="O1187" s="2" t="n">
        <f aca="false">IF(AND(E1187&gt;0,L1187),J1187/E1187,"")</f>
        <v>20.6666666666667</v>
      </c>
    </row>
    <row r="1188" customFormat="false" ht="15" hidden="false" customHeight="false" outlineLevel="0" collapsed="false">
      <c r="A1188" s="2" t="n">
        <v>2024</v>
      </c>
      <c r="B1188" s="2" t="s">
        <v>266</v>
      </c>
      <c r="C1188" s="2" t="s">
        <v>420</v>
      </c>
      <c r="D1188" s="2" t="s">
        <v>83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11" t="b">
        <f aca="false">TRUE()</f>
        <v>1</v>
      </c>
      <c r="M1188" s="2" t="s">
        <v>410</v>
      </c>
      <c r="N1188" s="2" t="str">
        <f aca="false">IF(E1188&gt;0,F1188/E1188,"")</f>
        <v/>
      </c>
      <c r="O1188" s="2" t="str">
        <f aca="false">IF(AND(E1188&gt;0,L1188),J1188/E1188,"")</f>
        <v/>
      </c>
    </row>
    <row r="1189" customFormat="false" ht="15" hidden="false" customHeight="false" outlineLevel="0" collapsed="false">
      <c r="A1189" s="2" t="n">
        <v>2024</v>
      </c>
      <c r="B1189" s="2" t="s">
        <v>352</v>
      </c>
      <c r="C1189" s="2" t="s">
        <v>622</v>
      </c>
      <c r="D1189" s="2" t="s">
        <v>115</v>
      </c>
      <c r="E1189" s="2" t="n">
        <v>3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6</v>
      </c>
      <c r="K1189" s="2" t="n">
        <v>6</v>
      </c>
      <c r="L1189" s="11" t="b">
        <f aca="false">TRUE()</f>
        <v>1</v>
      </c>
      <c r="M1189" s="2" t="s">
        <v>406</v>
      </c>
      <c r="N1189" s="2" t="n">
        <f aca="false">IF(E1189&gt;0,F1189/E1189,"")</f>
        <v>0</v>
      </c>
      <c r="O1189" s="2" t="n">
        <f aca="false">IF(AND(E1189&gt;0,L1189),J1189/E1189,"")</f>
        <v>2</v>
      </c>
    </row>
    <row r="1190" customFormat="false" ht="15" hidden="false" customHeight="false" outlineLevel="0" collapsed="false">
      <c r="A1190" s="2" t="n">
        <v>2024</v>
      </c>
      <c r="B1190" s="2" t="s">
        <v>263</v>
      </c>
      <c r="C1190" s="2" t="s">
        <v>518</v>
      </c>
      <c r="D1190" s="2" t="s">
        <v>83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11" t="b">
        <f aca="false">TRUE()</f>
        <v>1</v>
      </c>
      <c r="M1190" s="2" t="s">
        <v>410</v>
      </c>
      <c r="N1190" s="2" t="str">
        <f aca="false">IF(E1190&gt;0,F1190/E1190,"")</f>
        <v/>
      </c>
      <c r="O1190" s="2" t="str">
        <f aca="false">IF(AND(E1190&gt;0,L1190),J1190/E1190,"")</f>
        <v/>
      </c>
    </row>
    <row r="1191" customFormat="false" ht="15" hidden="false" customHeight="false" outlineLevel="0" collapsed="false">
      <c r="A1191" s="2" t="n">
        <v>2024</v>
      </c>
      <c r="B1191" s="2" t="s">
        <v>23</v>
      </c>
      <c r="C1191" s="2" t="s">
        <v>545</v>
      </c>
      <c r="D1191" s="2" t="s">
        <v>24</v>
      </c>
      <c r="E1191" s="2" t="n">
        <v>10</v>
      </c>
      <c r="F1191" s="2" t="n">
        <v>77</v>
      </c>
      <c r="G1191" s="2" t="n">
        <v>53</v>
      </c>
      <c r="H1191" s="2" t="n">
        <v>25</v>
      </c>
      <c r="I1191" s="2" t="n">
        <v>4</v>
      </c>
      <c r="J1191" s="2" t="n">
        <v>287</v>
      </c>
      <c r="K1191" s="2" t="n">
        <v>381</v>
      </c>
      <c r="L1191" s="11" t="b">
        <f aca="false">TRUE()</f>
        <v>1</v>
      </c>
      <c r="M1191" s="2" t="s">
        <v>406</v>
      </c>
      <c r="N1191" s="2" t="n">
        <f aca="false">IF(E1191&gt;0,F1191/E1191,"")</f>
        <v>7.7</v>
      </c>
      <c r="O1191" s="2" t="n">
        <f aca="false">IF(AND(E1191&gt;0,L1191),J1191/E1191,"")</f>
        <v>28.7</v>
      </c>
    </row>
    <row r="1192" customFormat="false" ht="15" hidden="false" customHeight="false" outlineLevel="0" collapsed="false">
      <c r="A1192" s="2" t="n">
        <v>2024</v>
      </c>
      <c r="B1192" s="2" t="s">
        <v>153</v>
      </c>
      <c r="C1192" s="2" t="s">
        <v>408</v>
      </c>
      <c r="D1192" s="2" t="s">
        <v>117</v>
      </c>
      <c r="E1192" s="2" t="n">
        <v>7</v>
      </c>
      <c r="F1192" s="2" t="n">
        <v>2</v>
      </c>
      <c r="G1192" s="2" t="n">
        <v>0</v>
      </c>
      <c r="H1192" s="2" t="n">
        <v>0</v>
      </c>
      <c r="I1192" s="2" t="n">
        <v>0</v>
      </c>
      <c r="J1192" s="2" t="n">
        <v>37</v>
      </c>
      <c r="K1192" s="2" t="n">
        <v>43</v>
      </c>
      <c r="L1192" s="11" t="b">
        <f aca="false">TRUE()</f>
        <v>1</v>
      </c>
      <c r="M1192" s="2" t="s">
        <v>406</v>
      </c>
      <c r="N1192" s="2" t="n">
        <f aca="false">IF(E1192&gt;0,F1192/E1192,"")</f>
        <v>0.285714285714286</v>
      </c>
      <c r="O1192" s="2" t="n">
        <f aca="false">IF(AND(E1192&gt;0,L1192),J1192/E1192,"")</f>
        <v>5.28571428571429</v>
      </c>
    </row>
    <row r="1193" customFormat="false" ht="15" hidden="false" customHeight="false" outlineLevel="0" collapsed="false">
      <c r="A1193" s="2" t="n">
        <v>2024</v>
      </c>
      <c r="B1193" s="2" t="s">
        <v>249</v>
      </c>
      <c r="C1193" s="2" t="s">
        <v>518</v>
      </c>
      <c r="D1193" s="2" t="s">
        <v>117</v>
      </c>
      <c r="E1193" s="2" t="n">
        <v>7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42</v>
      </c>
      <c r="K1193" s="2" t="n">
        <v>43</v>
      </c>
      <c r="L1193" s="11" t="b">
        <f aca="false">TRUE()</f>
        <v>1</v>
      </c>
      <c r="M1193" s="2" t="s">
        <v>406</v>
      </c>
      <c r="N1193" s="2" t="n">
        <f aca="false">IF(E1193&gt;0,F1193/E1193,"")</f>
        <v>0</v>
      </c>
      <c r="O1193" s="2" t="n">
        <f aca="false">IF(AND(E1193&gt;0,L1193),J1193/E1193,"")</f>
        <v>6</v>
      </c>
    </row>
    <row r="1194" customFormat="false" ht="15" hidden="false" customHeight="false" outlineLevel="0" collapsed="false">
      <c r="A1194" s="2" t="n">
        <v>2024</v>
      </c>
      <c r="B1194" s="2" t="s">
        <v>627</v>
      </c>
      <c r="C1194" s="2" t="s">
        <v>405</v>
      </c>
      <c r="D1194" s="2" t="s">
        <v>409</v>
      </c>
      <c r="E1194" s="2" t="n">
        <v>2</v>
      </c>
      <c r="F1194" s="2" t="n">
        <v>1</v>
      </c>
      <c r="G1194" s="2" t="n">
        <v>1</v>
      </c>
      <c r="H1194" s="2" t="n">
        <v>0</v>
      </c>
      <c r="I1194" s="2" t="n">
        <v>0</v>
      </c>
      <c r="J1194" s="2" t="n">
        <v>7</v>
      </c>
      <c r="K1194" s="2" t="n">
        <v>8</v>
      </c>
      <c r="L1194" s="11" t="b">
        <f aca="false">TRUE()</f>
        <v>1</v>
      </c>
      <c r="M1194" s="2" t="s">
        <v>410</v>
      </c>
      <c r="N1194" s="2" t="n">
        <f aca="false">IF(E1194&gt;0,F1194/E1194,"")</f>
        <v>0.5</v>
      </c>
      <c r="O1194" s="2" t="n">
        <f aca="false">IF(AND(E1194&gt;0,L1194),J1194/E1194,"")</f>
        <v>3.5</v>
      </c>
    </row>
    <row r="1195" customFormat="false" ht="15" hidden="false" customHeight="false" outlineLevel="0" collapsed="false">
      <c r="A1195" s="2" t="n">
        <v>2024</v>
      </c>
      <c r="B1195" s="2" t="s">
        <v>558</v>
      </c>
      <c r="C1195" s="2" t="s">
        <v>405</v>
      </c>
      <c r="D1195" s="2" t="s">
        <v>413</v>
      </c>
      <c r="E1195" s="2" t="n">
        <v>10</v>
      </c>
      <c r="F1195" s="2" t="n">
        <v>13</v>
      </c>
      <c r="G1195" s="2" t="n">
        <v>8</v>
      </c>
      <c r="H1195" s="2" t="n">
        <v>4</v>
      </c>
      <c r="I1195" s="2" t="n">
        <v>0</v>
      </c>
      <c r="J1195" s="2" t="n">
        <v>73</v>
      </c>
      <c r="K1195" s="2" t="n">
        <v>88</v>
      </c>
      <c r="L1195" s="11" t="b">
        <f aca="false">TRUE()</f>
        <v>1</v>
      </c>
      <c r="M1195" s="2" t="s">
        <v>410</v>
      </c>
      <c r="N1195" s="2" t="n">
        <f aca="false">IF(E1195&gt;0,F1195/E1195,"")</f>
        <v>1.3</v>
      </c>
      <c r="O1195" s="2" t="n">
        <f aca="false">IF(AND(E1195&gt;0,L1195),J1195/E1195,"")</f>
        <v>7.3</v>
      </c>
    </row>
    <row r="1196" customFormat="false" ht="15" hidden="false" customHeight="false" outlineLevel="0" collapsed="false">
      <c r="A1196" s="2" t="n">
        <v>2024</v>
      </c>
      <c r="B1196" s="2" t="s">
        <v>232</v>
      </c>
      <c r="C1196" s="2" t="s">
        <v>414</v>
      </c>
      <c r="D1196" s="2" t="s">
        <v>83</v>
      </c>
      <c r="E1196" s="2" t="n">
        <v>6</v>
      </c>
      <c r="F1196" s="2" t="n">
        <v>6</v>
      </c>
      <c r="G1196" s="2" t="n">
        <v>4</v>
      </c>
      <c r="H1196" s="2" t="n">
        <v>1</v>
      </c>
      <c r="I1196" s="2" t="n">
        <v>0</v>
      </c>
      <c r="J1196" s="2" t="n">
        <v>36</v>
      </c>
      <c r="K1196" s="2" t="n">
        <v>43</v>
      </c>
      <c r="L1196" s="11" t="b">
        <f aca="false">TRUE()</f>
        <v>1</v>
      </c>
      <c r="M1196" s="2" t="s">
        <v>406</v>
      </c>
      <c r="N1196" s="2" t="n">
        <f aca="false">IF(E1196&gt;0,F1196/E1196,"")</f>
        <v>1</v>
      </c>
      <c r="O1196" s="2" t="n">
        <f aca="false">IF(AND(E1196&gt;0,L1196),J1196/E1196,"")</f>
        <v>6</v>
      </c>
    </row>
    <row r="1197" customFormat="false" ht="15" hidden="false" customHeight="false" outlineLevel="0" collapsed="false">
      <c r="A1197" s="2" t="n">
        <v>2024</v>
      </c>
      <c r="B1197" s="2" t="s">
        <v>78</v>
      </c>
      <c r="C1197" s="2" t="s">
        <v>420</v>
      </c>
      <c r="D1197" s="2" t="s">
        <v>29</v>
      </c>
      <c r="E1197" s="2" t="n">
        <v>10</v>
      </c>
      <c r="F1197" s="2" t="n">
        <v>32</v>
      </c>
      <c r="G1197" s="2" t="n">
        <v>19</v>
      </c>
      <c r="H1197" s="2" t="n">
        <v>9</v>
      </c>
      <c r="I1197" s="2" t="n">
        <v>2</v>
      </c>
      <c r="J1197" s="2" t="n">
        <v>106</v>
      </c>
      <c r="K1197" s="2" t="n">
        <v>147</v>
      </c>
      <c r="L1197" s="11" t="b">
        <f aca="false">TRUE()</f>
        <v>1</v>
      </c>
      <c r="M1197" s="2" t="s">
        <v>406</v>
      </c>
      <c r="N1197" s="2" t="n">
        <f aca="false">IF(E1197&gt;0,F1197/E1197,"")</f>
        <v>3.2</v>
      </c>
      <c r="O1197" s="2" t="n">
        <f aca="false">IF(AND(E1197&gt;0,L1197),J1197/E1197,"")</f>
        <v>10.6</v>
      </c>
    </row>
    <row r="1198" customFormat="false" ht="15" hidden="false" customHeight="false" outlineLevel="0" collapsed="false">
      <c r="A1198" s="2" t="n">
        <v>2024</v>
      </c>
      <c r="B1198" s="2" t="s">
        <v>235</v>
      </c>
      <c r="C1198" s="2" t="s">
        <v>412</v>
      </c>
      <c r="D1198" s="2" t="s">
        <v>29</v>
      </c>
      <c r="E1198" s="2" t="n">
        <v>6</v>
      </c>
      <c r="F1198" s="2" t="n">
        <v>16</v>
      </c>
      <c r="G1198" s="2" t="n">
        <v>12</v>
      </c>
      <c r="H1198" s="2" t="n">
        <v>2</v>
      </c>
      <c r="I1198" s="2" t="n">
        <v>3</v>
      </c>
      <c r="J1198" s="2" t="n">
        <v>83</v>
      </c>
      <c r="K1198" s="2" t="n">
        <v>100</v>
      </c>
      <c r="L1198" s="11" t="b">
        <f aca="false">TRUE()</f>
        <v>1</v>
      </c>
      <c r="M1198" s="2" t="s">
        <v>406</v>
      </c>
      <c r="N1198" s="2" t="n">
        <f aca="false">IF(E1198&gt;0,F1198/E1198,"")</f>
        <v>2.66666666666667</v>
      </c>
      <c r="O1198" s="2" t="n">
        <f aca="false">IF(AND(E1198&gt;0,L1198),J1198/E1198,"")</f>
        <v>13.8333333333333</v>
      </c>
    </row>
    <row r="1199" customFormat="false" ht="15" hidden="false" customHeight="false" outlineLevel="0" collapsed="false">
      <c r="A1199" s="2" t="n">
        <v>2024</v>
      </c>
      <c r="B1199" s="2" t="s">
        <v>221</v>
      </c>
      <c r="C1199" s="2" t="s">
        <v>408</v>
      </c>
      <c r="D1199" s="2" t="s">
        <v>117</v>
      </c>
      <c r="E1199" s="2" t="n">
        <v>10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43</v>
      </c>
      <c r="K1199" s="2" t="n">
        <v>45</v>
      </c>
      <c r="L1199" s="11" t="b">
        <f aca="false">TRUE()</f>
        <v>1</v>
      </c>
      <c r="M1199" s="2" t="s">
        <v>406</v>
      </c>
      <c r="N1199" s="2" t="n">
        <f aca="false">IF(E1199&gt;0,F1199/E1199,"")</f>
        <v>0</v>
      </c>
      <c r="O1199" s="2" t="n">
        <f aca="false">IF(AND(E1199&gt;0,L1199),J1199/E1199,"")</f>
        <v>4.3</v>
      </c>
    </row>
    <row r="1200" customFormat="false" ht="15" hidden="false" customHeight="false" outlineLevel="0" collapsed="false">
      <c r="A1200" s="2" t="n">
        <v>2024</v>
      </c>
      <c r="B1200" s="2" t="s">
        <v>392</v>
      </c>
      <c r="C1200" s="2" t="s">
        <v>405</v>
      </c>
      <c r="D1200" s="2" t="s">
        <v>83</v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2</v>
      </c>
      <c r="K1200" s="2" t="n">
        <v>2</v>
      </c>
      <c r="L1200" s="11" t="b">
        <f aca="false">TRUE()</f>
        <v>1</v>
      </c>
      <c r="M1200" s="2" t="s">
        <v>410</v>
      </c>
      <c r="N1200" s="2" t="n">
        <f aca="false">IF(E1200&gt;0,F1200/E1200,"")</f>
        <v>0</v>
      </c>
      <c r="O1200" s="2" t="n">
        <f aca="false">IF(AND(E1200&gt;0,L1200),J1200/E1200,"")</f>
        <v>2</v>
      </c>
    </row>
    <row r="1201" customFormat="false" ht="15" hidden="false" customHeight="false" outlineLevel="0" collapsed="false">
      <c r="A1201" s="2" t="n">
        <v>2024</v>
      </c>
      <c r="B1201" s="2" t="s">
        <v>74</v>
      </c>
      <c r="C1201" s="2" t="s">
        <v>412</v>
      </c>
      <c r="D1201" s="2" t="s">
        <v>29</v>
      </c>
      <c r="E1201" s="2" t="n">
        <v>10</v>
      </c>
      <c r="F1201" s="2" t="n">
        <v>36</v>
      </c>
      <c r="G1201" s="2" t="n">
        <v>24</v>
      </c>
      <c r="H1201" s="2" t="n">
        <v>10</v>
      </c>
      <c r="I1201" s="2" t="n">
        <v>6</v>
      </c>
      <c r="J1201" s="2" t="n">
        <v>121</v>
      </c>
      <c r="K1201" s="2" t="n">
        <v>174</v>
      </c>
      <c r="L1201" s="11" t="b">
        <f aca="false">TRUE()</f>
        <v>1</v>
      </c>
      <c r="M1201" s="2" t="s">
        <v>406</v>
      </c>
      <c r="N1201" s="2" t="n">
        <f aca="false">IF(E1201&gt;0,F1201/E1201,"")</f>
        <v>3.6</v>
      </c>
      <c r="O1201" s="2" t="n">
        <f aca="false">IF(AND(E1201&gt;0,L1201),J1201/E1201,"")</f>
        <v>12.1</v>
      </c>
    </row>
    <row r="1202" customFormat="false" ht="15" hidden="false" customHeight="false" outlineLevel="0" collapsed="false">
      <c r="A1202" s="2" t="n">
        <v>2024</v>
      </c>
      <c r="B1202" s="2" t="s">
        <v>320</v>
      </c>
      <c r="C1202" s="2" t="s">
        <v>405</v>
      </c>
      <c r="D1202" s="2" t="s">
        <v>117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11" t="b">
        <f aca="false">TRUE()</f>
        <v>1</v>
      </c>
      <c r="M1202" s="2" t="s">
        <v>410</v>
      </c>
      <c r="N1202" s="2" t="str">
        <f aca="false">IF(E1202&gt;0,F1202/E1202,"")</f>
        <v/>
      </c>
      <c r="O1202" s="2" t="str">
        <f aca="false">IF(AND(E1202&gt;0,L1202),J1202/E1202,"")</f>
        <v/>
      </c>
    </row>
    <row r="1203" customFormat="false" ht="15" hidden="false" customHeight="false" outlineLevel="0" collapsed="false">
      <c r="A1203" s="2" t="n">
        <v>2024</v>
      </c>
      <c r="B1203" s="2" t="s">
        <v>560</v>
      </c>
      <c r="C1203" s="2" t="s">
        <v>420</v>
      </c>
      <c r="D1203" s="2" t="s">
        <v>409</v>
      </c>
      <c r="E1203" s="2" t="n">
        <v>5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50</v>
      </c>
      <c r="K1203" s="2" t="n">
        <v>53</v>
      </c>
      <c r="L1203" s="11" t="b">
        <f aca="false">TRUE()</f>
        <v>1</v>
      </c>
      <c r="M1203" s="2" t="s">
        <v>410</v>
      </c>
      <c r="N1203" s="2" t="n">
        <f aca="false">IF(E1203&gt;0,F1203/E1203,"")</f>
        <v>0</v>
      </c>
      <c r="O1203" s="2" t="n">
        <f aca="false">IF(AND(E1203&gt;0,L1203),J1203/E1203,"")</f>
        <v>10</v>
      </c>
    </row>
    <row r="1204" customFormat="false" ht="15" hidden="false" customHeight="false" outlineLevel="0" collapsed="false">
      <c r="A1204" s="2" t="n">
        <v>2024</v>
      </c>
      <c r="B1204" s="2" t="s">
        <v>69</v>
      </c>
      <c r="C1204" s="2" t="s">
        <v>545</v>
      </c>
      <c r="D1204" s="2" t="s">
        <v>24</v>
      </c>
      <c r="E1204" s="2" t="n">
        <v>6</v>
      </c>
      <c r="F1204" s="2" t="n">
        <v>29</v>
      </c>
      <c r="G1204" s="2" t="n">
        <v>14</v>
      </c>
      <c r="H1204" s="2" t="n">
        <v>5</v>
      </c>
      <c r="I1204" s="2" t="n">
        <v>3</v>
      </c>
      <c r="J1204" s="2" t="n">
        <v>103</v>
      </c>
      <c r="K1204" s="2" t="n">
        <v>141</v>
      </c>
      <c r="L1204" s="11" t="b">
        <f aca="false">TRUE()</f>
        <v>1</v>
      </c>
      <c r="M1204" s="2" t="s">
        <v>406</v>
      </c>
      <c r="N1204" s="2" t="n">
        <f aca="false">IF(E1204&gt;0,F1204/E1204,"")</f>
        <v>4.83333333333333</v>
      </c>
      <c r="O1204" s="2" t="n">
        <f aca="false">IF(AND(E1204&gt;0,L1204),J1204/E1204,"")</f>
        <v>17.1666666666667</v>
      </c>
    </row>
    <row r="1205" customFormat="false" ht="15" hidden="false" customHeight="false" outlineLevel="0" collapsed="false">
      <c r="A1205" s="2" t="n">
        <v>2024</v>
      </c>
      <c r="B1205" s="2" t="s">
        <v>53</v>
      </c>
      <c r="C1205" s="2" t="s">
        <v>545</v>
      </c>
      <c r="D1205" s="2" t="s">
        <v>24</v>
      </c>
      <c r="E1205" s="2" t="n">
        <v>6</v>
      </c>
      <c r="F1205" s="2" t="n">
        <v>30</v>
      </c>
      <c r="G1205" s="2" t="n">
        <v>19</v>
      </c>
      <c r="H1205" s="2" t="n">
        <v>8</v>
      </c>
      <c r="I1205" s="2" t="n">
        <v>4</v>
      </c>
      <c r="J1205" s="2" t="n">
        <v>100</v>
      </c>
      <c r="K1205" s="2" t="n">
        <v>138</v>
      </c>
      <c r="L1205" s="11" t="b">
        <f aca="false">TRUE()</f>
        <v>1</v>
      </c>
      <c r="M1205" s="2" t="s">
        <v>406</v>
      </c>
      <c r="N1205" s="2" t="n">
        <f aca="false">IF(E1205&gt;0,F1205/E1205,"")</f>
        <v>5</v>
      </c>
      <c r="O1205" s="2" t="n">
        <f aca="false">IF(AND(E1205&gt;0,L1205),J1205/E1205,"")</f>
        <v>16.6666666666667</v>
      </c>
    </row>
    <row r="1206" customFormat="false" ht="15" hidden="false" customHeight="false" outlineLevel="0" collapsed="false">
      <c r="A1206" s="2" t="n">
        <v>2024</v>
      </c>
      <c r="B1206" s="2" t="s">
        <v>39</v>
      </c>
      <c r="C1206" s="2" t="s">
        <v>518</v>
      </c>
      <c r="D1206" s="2" t="s">
        <v>29</v>
      </c>
      <c r="E1206" s="2" t="n">
        <v>9</v>
      </c>
      <c r="F1206" s="2" t="n">
        <v>56</v>
      </c>
      <c r="G1206" s="2" t="n">
        <v>36</v>
      </c>
      <c r="H1206" s="2" t="n">
        <v>11</v>
      </c>
      <c r="I1206" s="2" t="n">
        <v>3</v>
      </c>
      <c r="J1206" s="2" t="n">
        <v>141</v>
      </c>
      <c r="K1206" s="2" t="n">
        <v>203</v>
      </c>
      <c r="L1206" s="11" t="b">
        <f aca="false">TRUE()</f>
        <v>1</v>
      </c>
      <c r="M1206" s="2" t="s">
        <v>406</v>
      </c>
      <c r="N1206" s="2" t="n">
        <f aca="false">IF(E1206&gt;0,F1206/E1206,"")</f>
        <v>6.22222222222222</v>
      </c>
      <c r="O1206" s="2" t="n">
        <f aca="false">IF(AND(E1206&gt;0,L1206),J1206/E1206,"")</f>
        <v>15.6666666666667</v>
      </c>
    </row>
    <row r="1207" customFormat="false" ht="15" hidden="false" customHeight="false" outlineLevel="0" collapsed="false">
      <c r="A1207" s="2" t="n">
        <v>2024</v>
      </c>
      <c r="B1207" s="2" t="s">
        <v>451</v>
      </c>
      <c r="C1207" s="2" t="s">
        <v>405</v>
      </c>
      <c r="D1207" s="2" t="s">
        <v>409</v>
      </c>
      <c r="E1207" s="2" t="n">
        <v>10</v>
      </c>
      <c r="F1207" s="2" t="n">
        <v>1</v>
      </c>
      <c r="G1207" s="2" t="n">
        <v>0</v>
      </c>
      <c r="H1207" s="2" t="n">
        <v>0</v>
      </c>
      <c r="I1207" s="2" t="n">
        <v>0</v>
      </c>
      <c r="J1207" s="2" t="n">
        <v>144</v>
      </c>
      <c r="K1207" s="2" t="n">
        <v>148</v>
      </c>
      <c r="L1207" s="11" t="b">
        <f aca="false">TRUE()</f>
        <v>1</v>
      </c>
      <c r="M1207" s="2" t="s">
        <v>410</v>
      </c>
      <c r="N1207" s="2" t="n">
        <f aca="false">IF(E1207&gt;0,F1207/E1207,"")</f>
        <v>0.1</v>
      </c>
      <c r="O1207" s="2" t="n">
        <f aca="false">IF(AND(E1207&gt;0,L1207),J1207/E1207,"")</f>
        <v>14.4</v>
      </c>
    </row>
    <row r="1208" customFormat="false" ht="15" hidden="false" customHeight="false" outlineLevel="0" collapsed="false">
      <c r="A1208" s="2" t="n">
        <v>2024</v>
      </c>
      <c r="B1208" s="2" t="s">
        <v>325</v>
      </c>
      <c r="C1208" s="2" t="s">
        <v>414</v>
      </c>
      <c r="D1208" s="2" t="s">
        <v>115</v>
      </c>
      <c r="E1208" s="2" t="n">
        <v>2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4</v>
      </c>
      <c r="K1208" s="2" t="n">
        <v>6</v>
      </c>
      <c r="L1208" s="11" t="b">
        <f aca="false">TRUE()</f>
        <v>1</v>
      </c>
      <c r="M1208" s="2" t="s">
        <v>410</v>
      </c>
      <c r="N1208" s="2" t="n">
        <f aca="false">IF(E1208&gt;0,F1208/E1208,"")</f>
        <v>0</v>
      </c>
      <c r="O1208" s="2" t="n">
        <f aca="false">IF(AND(E1208&gt;0,L1208),J1208/E1208,"")</f>
        <v>2</v>
      </c>
    </row>
    <row r="1209" customFormat="false" ht="15" hidden="false" customHeight="false" outlineLevel="0" collapsed="false">
      <c r="A1209" s="2" t="n">
        <v>2024</v>
      </c>
      <c r="B1209" s="2" t="s">
        <v>319</v>
      </c>
      <c r="C1209" s="2" t="s">
        <v>405</v>
      </c>
      <c r="D1209" s="2" t="s">
        <v>115</v>
      </c>
      <c r="E1209" s="2" t="n">
        <v>2</v>
      </c>
      <c r="F1209" s="2" t="n">
        <v>1</v>
      </c>
      <c r="G1209" s="2" t="n">
        <v>1</v>
      </c>
      <c r="H1209" s="2" t="n">
        <v>0</v>
      </c>
      <c r="I1209" s="2" t="n">
        <v>0</v>
      </c>
      <c r="J1209" s="2" t="n">
        <v>7</v>
      </c>
      <c r="K1209" s="2" t="n">
        <v>8</v>
      </c>
      <c r="L1209" s="11" t="b">
        <f aca="false">TRUE()</f>
        <v>1</v>
      </c>
      <c r="M1209" s="2" t="s">
        <v>410</v>
      </c>
      <c r="N1209" s="2" t="n">
        <f aca="false">IF(E1209&gt;0,F1209/E1209,"")</f>
        <v>0.5</v>
      </c>
      <c r="O1209" s="2" t="n">
        <f aca="false">IF(AND(E1209&gt;0,L1209),J1209/E1209,"")</f>
        <v>3.5</v>
      </c>
    </row>
    <row r="1210" customFormat="false" ht="15" hidden="false" customHeight="false" outlineLevel="0" collapsed="false">
      <c r="A1210" s="2" t="n">
        <v>2024</v>
      </c>
      <c r="B1210" s="2" t="s">
        <v>137</v>
      </c>
      <c r="C1210" s="2" t="s">
        <v>543</v>
      </c>
      <c r="D1210" s="2" t="s">
        <v>29</v>
      </c>
      <c r="E1210" s="2" t="n">
        <v>6</v>
      </c>
      <c r="F1210" s="2" t="n">
        <v>16</v>
      </c>
      <c r="G1210" s="2" t="n">
        <v>14</v>
      </c>
      <c r="H1210" s="2" t="n">
        <v>2</v>
      </c>
      <c r="I1210" s="2" t="n">
        <v>0</v>
      </c>
      <c r="J1210" s="2" t="n">
        <v>72</v>
      </c>
      <c r="K1210" s="2" t="n">
        <v>88</v>
      </c>
      <c r="L1210" s="11" t="b">
        <f aca="false">TRUE()</f>
        <v>1</v>
      </c>
      <c r="M1210" s="2" t="s">
        <v>406</v>
      </c>
      <c r="N1210" s="2" t="n">
        <f aca="false">IF(E1210&gt;0,F1210/E1210,"")</f>
        <v>2.66666666666667</v>
      </c>
      <c r="O1210" s="2" t="n">
        <f aca="false">IF(AND(E1210&gt;0,L1210),J1210/E1210,"")</f>
        <v>12</v>
      </c>
    </row>
    <row r="1211" customFormat="false" ht="15" hidden="false" customHeight="false" outlineLevel="0" collapsed="false">
      <c r="A1211" s="2" t="n">
        <v>2024</v>
      </c>
      <c r="B1211" s="2" t="s">
        <v>169</v>
      </c>
      <c r="C1211" s="2" t="s">
        <v>545</v>
      </c>
      <c r="D1211" s="2" t="s">
        <v>117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11" t="b">
        <f aca="false">TRUE()</f>
        <v>1</v>
      </c>
      <c r="M1211" s="2" t="s">
        <v>410</v>
      </c>
      <c r="N1211" s="2" t="str">
        <f aca="false">IF(E1211&gt;0,F1211/E1211,"")</f>
        <v/>
      </c>
      <c r="O1211" s="2" t="str">
        <f aca="false">IF(AND(E1211&gt;0,L1211),J1211/E1211,"")</f>
        <v/>
      </c>
    </row>
    <row r="1212" customFormat="false" ht="15" hidden="false" customHeight="false" outlineLevel="0" collapsed="false">
      <c r="A1212" s="2" t="n">
        <v>2024</v>
      </c>
      <c r="B1212" s="2" t="s">
        <v>132</v>
      </c>
      <c r="C1212" s="2" t="s">
        <v>405</v>
      </c>
      <c r="D1212" s="2" t="s">
        <v>29</v>
      </c>
      <c r="E1212" s="2" t="n">
        <v>7</v>
      </c>
      <c r="F1212" s="2" t="n">
        <v>19</v>
      </c>
      <c r="G1212" s="2" t="n">
        <v>17</v>
      </c>
      <c r="H1212" s="2" t="n">
        <v>5</v>
      </c>
      <c r="I1212" s="2" t="n">
        <v>4</v>
      </c>
      <c r="J1212" s="2" t="n">
        <v>81</v>
      </c>
      <c r="K1212" s="2" t="n">
        <v>106</v>
      </c>
      <c r="L1212" s="11" t="b">
        <f aca="false">TRUE()</f>
        <v>1</v>
      </c>
      <c r="M1212" s="2" t="s">
        <v>406</v>
      </c>
      <c r="N1212" s="2" t="n">
        <f aca="false">IF(E1212&gt;0,F1212/E1212,"")</f>
        <v>2.71428571428571</v>
      </c>
      <c r="O1212" s="2" t="n">
        <f aca="false">IF(AND(E1212&gt;0,L1212),J1212/E1212,"")</f>
        <v>11.5714285714286</v>
      </c>
    </row>
    <row r="1213" customFormat="false" ht="15" hidden="false" customHeight="false" outlineLevel="0" collapsed="false">
      <c r="A1213" s="2" t="n">
        <v>2024</v>
      </c>
      <c r="B1213" s="2" t="s">
        <v>593</v>
      </c>
      <c r="C1213" s="2" t="s">
        <v>545</v>
      </c>
      <c r="D1213" s="2" t="s">
        <v>409</v>
      </c>
      <c r="E1213" s="2" t="n">
        <v>10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163</v>
      </c>
      <c r="K1213" s="2" t="n">
        <v>165</v>
      </c>
      <c r="L1213" s="11" t="b">
        <f aca="false">TRUE()</f>
        <v>1</v>
      </c>
      <c r="M1213" s="2" t="s">
        <v>410</v>
      </c>
      <c r="N1213" s="2" t="n">
        <f aca="false">IF(E1213&gt;0,F1213/E1213,"")</f>
        <v>0</v>
      </c>
      <c r="O1213" s="2" t="n">
        <f aca="false">IF(AND(E1213&gt;0,L1213),J1213/E1213,"")</f>
        <v>16.3</v>
      </c>
    </row>
    <row r="1214" customFormat="false" ht="15" hidden="false" customHeight="false" outlineLevel="0" collapsed="false">
      <c r="A1214" s="2" t="n">
        <v>2024</v>
      </c>
      <c r="B1214" s="2" t="s">
        <v>82</v>
      </c>
      <c r="C1214" s="2" t="s">
        <v>545</v>
      </c>
      <c r="D1214" s="2" t="s">
        <v>29</v>
      </c>
      <c r="E1214" s="2" t="n">
        <v>10</v>
      </c>
      <c r="F1214" s="2" t="n">
        <v>31</v>
      </c>
      <c r="G1214" s="2" t="n">
        <v>22</v>
      </c>
      <c r="H1214" s="2" t="n">
        <v>12</v>
      </c>
      <c r="I1214" s="2" t="n">
        <v>2</v>
      </c>
      <c r="J1214" s="2" t="n">
        <v>94</v>
      </c>
      <c r="K1214" s="2" t="n">
        <v>131</v>
      </c>
      <c r="L1214" s="11" t="b">
        <f aca="false">TRUE()</f>
        <v>1</v>
      </c>
      <c r="M1214" s="2" t="s">
        <v>406</v>
      </c>
      <c r="N1214" s="2" t="n">
        <f aca="false">IF(E1214&gt;0,F1214/E1214,"")</f>
        <v>3.1</v>
      </c>
      <c r="O1214" s="2" t="n">
        <f aca="false">IF(AND(E1214&gt;0,L1214),J1214/E1214,"")</f>
        <v>9.4</v>
      </c>
    </row>
    <row r="1215" customFormat="false" ht="15" hidden="false" customHeight="false" outlineLevel="0" collapsed="false">
      <c r="A1215" s="2" t="n">
        <v>2024</v>
      </c>
      <c r="B1215" s="2" t="s">
        <v>72</v>
      </c>
      <c r="C1215" s="2" t="s">
        <v>420</v>
      </c>
      <c r="D1215" s="2" t="s">
        <v>29</v>
      </c>
      <c r="E1215" s="2" t="n">
        <v>10</v>
      </c>
      <c r="F1215" s="2" t="n">
        <v>44</v>
      </c>
      <c r="G1215" s="2" t="n">
        <v>26</v>
      </c>
      <c r="H1215" s="2" t="n">
        <v>11</v>
      </c>
      <c r="I1215" s="2" t="n">
        <v>3</v>
      </c>
      <c r="J1215" s="2" t="n">
        <v>154</v>
      </c>
      <c r="K1215" s="2" t="n">
        <v>212</v>
      </c>
      <c r="L1215" s="11" t="b">
        <f aca="false">TRUE()</f>
        <v>1</v>
      </c>
      <c r="M1215" s="2" t="s">
        <v>406</v>
      </c>
      <c r="N1215" s="2" t="n">
        <f aca="false">IF(E1215&gt;0,F1215/E1215,"")</f>
        <v>4.4</v>
      </c>
      <c r="O1215" s="2" t="n">
        <f aca="false">IF(AND(E1215&gt;0,L1215),J1215/E1215,"")</f>
        <v>15.4</v>
      </c>
    </row>
    <row r="1216" customFormat="false" ht="15" hidden="false" customHeight="false" outlineLevel="0" collapsed="false">
      <c r="A1216" s="2" t="n">
        <v>2024</v>
      </c>
      <c r="B1216" s="2" t="s">
        <v>628</v>
      </c>
      <c r="C1216" s="2" t="s">
        <v>622</v>
      </c>
      <c r="D1216" s="2" t="s">
        <v>409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11" t="b">
        <f aca="false">TRUE()</f>
        <v>1</v>
      </c>
      <c r="M1216" s="2" t="s">
        <v>410</v>
      </c>
      <c r="N1216" s="2" t="str">
        <f aca="false">IF(E1216&gt;0,F1216/E1216,"")</f>
        <v/>
      </c>
      <c r="O1216" s="2" t="str">
        <f aca="false">IF(AND(E1216&gt;0,L1216),J1216/E1216,"")</f>
        <v/>
      </c>
    </row>
    <row r="1217" customFormat="false" ht="15" hidden="false" customHeight="false" outlineLevel="0" collapsed="false">
      <c r="A1217" s="2" t="n">
        <v>2024</v>
      </c>
      <c r="B1217" s="2" t="s">
        <v>252</v>
      </c>
      <c r="C1217" s="2" t="s">
        <v>414</v>
      </c>
      <c r="D1217" s="2" t="s">
        <v>29</v>
      </c>
      <c r="E1217" s="2" t="n">
        <v>6</v>
      </c>
      <c r="F1217" s="2" t="n">
        <v>15</v>
      </c>
      <c r="G1217" s="2" t="n">
        <v>11</v>
      </c>
      <c r="H1217" s="2" t="n">
        <v>4</v>
      </c>
      <c r="I1217" s="2" t="n">
        <v>1</v>
      </c>
      <c r="J1217" s="2" t="n">
        <v>62</v>
      </c>
      <c r="K1217" s="2" t="n">
        <v>78</v>
      </c>
      <c r="L1217" s="11" t="b">
        <f aca="false">TRUE()</f>
        <v>1</v>
      </c>
      <c r="M1217" s="2" t="s">
        <v>406</v>
      </c>
      <c r="N1217" s="2" t="n">
        <f aca="false">IF(E1217&gt;0,F1217/E1217,"")</f>
        <v>2.5</v>
      </c>
      <c r="O1217" s="2" t="n">
        <f aca="false">IF(AND(E1217&gt;0,L1217),J1217/E1217,"")</f>
        <v>10.3333333333333</v>
      </c>
    </row>
    <row r="1218" customFormat="false" ht="15" hidden="false" customHeight="false" outlineLevel="0" collapsed="false">
      <c r="A1218" s="2" t="n">
        <v>2024</v>
      </c>
      <c r="B1218" s="2" t="s">
        <v>610</v>
      </c>
      <c r="C1218" s="2" t="s">
        <v>414</v>
      </c>
      <c r="D1218" s="2" t="s">
        <v>409</v>
      </c>
      <c r="E1218" s="2" t="n">
        <v>10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149</v>
      </c>
      <c r="K1218" s="2" t="n">
        <v>155</v>
      </c>
      <c r="L1218" s="11" t="b">
        <f aca="false">TRUE()</f>
        <v>1</v>
      </c>
      <c r="M1218" s="2" t="s">
        <v>410</v>
      </c>
      <c r="N1218" s="2" t="n">
        <f aca="false">IF(E1218&gt;0,F1218/E1218,"")</f>
        <v>0</v>
      </c>
      <c r="O1218" s="2" t="n">
        <f aca="false">IF(AND(E1218&gt;0,L1218),J1218/E1218,"")</f>
        <v>14.9</v>
      </c>
    </row>
    <row r="1219" customFormat="false" ht="15" hidden="false" customHeight="false" outlineLevel="0" collapsed="false">
      <c r="A1219" s="2" t="n">
        <v>2024</v>
      </c>
      <c r="B1219" s="2" t="s">
        <v>122</v>
      </c>
      <c r="C1219" s="2" t="s">
        <v>420</v>
      </c>
      <c r="D1219" s="2" t="s">
        <v>24</v>
      </c>
      <c r="E1219" s="2" t="n">
        <v>7</v>
      </c>
      <c r="F1219" s="2" t="n">
        <v>24</v>
      </c>
      <c r="G1219" s="2" t="n">
        <v>16</v>
      </c>
      <c r="H1219" s="2" t="n">
        <v>8</v>
      </c>
      <c r="I1219" s="2" t="n">
        <v>3</v>
      </c>
      <c r="J1219" s="2" t="n">
        <v>117</v>
      </c>
      <c r="K1219" s="2" t="n">
        <v>150</v>
      </c>
      <c r="L1219" s="11" t="b">
        <f aca="false">TRUE()</f>
        <v>1</v>
      </c>
      <c r="M1219" s="2" t="s">
        <v>406</v>
      </c>
      <c r="N1219" s="2" t="n">
        <f aca="false">IF(E1219&gt;0,F1219/E1219,"")</f>
        <v>3.42857142857143</v>
      </c>
      <c r="O1219" s="2" t="n">
        <f aca="false">IF(AND(E1219&gt;0,L1219),J1219/E1219,"")</f>
        <v>16.7142857142857</v>
      </c>
    </row>
    <row r="1220" customFormat="false" ht="15" hidden="false" customHeight="false" outlineLevel="0" collapsed="false">
      <c r="A1220" s="2" t="n">
        <v>2024</v>
      </c>
      <c r="B1220" s="2" t="s">
        <v>611</v>
      </c>
      <c r="C1220" s="2" t="s">
        <v>414</v>
      </c>
      <c r="D1220" s="2" t="s">
        <v>413</v>
      </c>
      <c r="E1220" s="2" t="n">
        <v>1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4</v>
      </c>
      <c r="K1220" s="2" t="n">
        <v>4</v>
      </c>
      <c r="L1220" s="11" t="b">
        <f aca="false">TRUE()</f>
        <v>1</v>
      </c>
      <c r="M1220" s="2" t="s">
        <v>410</v>
      </c>
      <c r="N1220" s="2" t="n">
        <f aca="false">IF(E1220&gt;0,F1220/E1220,"")</f>
        <v>0</v>
      </c>
      <c r="O1220" s="2" t="n">
        <f aca="false">IF(AND(E1220&gt;0,L1220),J1220/E1220,"")</f>
        <v>4</v>
      </c>
    </row>
    <row r="1221" customFormat="false" ht="15" hidden="false" customHeight="false" outlineLevel="0" collapsed="false">
      <c r="A1221" s="2" t="n">
        <v>2024</v>
      </c>
      <c r="B1221" s="2" t="s">
        <v>68</v>
      </c>
      <c r="C1221" s="2" t="s">
        <v>622</v>
      </c>
      <c r="D1221" s="2" t="s">
        <v>24</v>
      </c>
      <c r="E1221" s="2" t="n">
        <v>6</v>
      </c>
      <c r="F1221" s="2" t="n">
        <v>25</v>
      </c>
      <c r="G1221" s="2" t="n">
        <v>20</v>
      </c>
      <c r="H1221" s="2" t="n">
        <v>11</v>
      </c>
      <c r="I1221" s="2" t="n">
        <v>2</v>
      </c>
      <c r="J1221" s="2" t="n">
        <v>124</v>
      </c>
      <c r="K1221" s="2" t="n">
        <v>161</v>
      </c>
      <c r="L1221" s="11" t="b">
        <f aca="false">TRUE()</f>
        <v>1</v>
      </c>
      <c r="M1221" s="2" t="s">
        <v>406</v>
      </c>
      <c r="N1221" s="2" t="n">
        <f aca="false">IF(E1221&gt;0,F1221/E1221,"")</f>
        <v>4.16666666666667</v>
      </c>
      <c r="O1221" s="2" t="n">
        <f aca="false">IF(AND(E1221&gt;0,L1221),J1221/E1221,"")</f>
        <v>20.6666666666667</v>
      </c>
    </row>
    <row r="1222" customFormat="false" ht="15" hidden="false" customHeight="false" outlineLevel="0" collapsed="false">
      <c r="A1222" s="2" t="n">
        <v>2024</v>
      </c>
      <c r="B1222" s="2" t="s">
        <v>216</v>
      </c>
      <c r="C1222" s="2" t="s">
        <v>414</v>
      </c>
      <c r="D1222" s="2" t="s">
        <v>29</v>
      </c>
      <c r="E1222" s="2" t="n">
        <v>3</v>
      </c>
      <c r="F1222" s="2" t="n">
        <v>13</v>
      </c>
      <c r="G1222" s="2" t="n">
        <v>7</v>
      </c>
      <c r="H1222" s="2" t="n">
        <v>1</v>
      </c>
      <c r="I1222" s="2" t="n">
        <v>0</v>
      </c>
      <c r="J1222" s="2" t="n">
        <v>38</v>
      </c>
      <c r="K1222" s="2" t="n">
        <v>56</v>
      </c>
      <c r="L1222" s="11" t="b">
        <f aca="false">TRUE()</f>
        <v>1</v>
      </c>
      <c r="M1222" s="2" t="s">
        <v>406</v>
      </c>
      <c r="N1222" s="2" t="n">
        <f aca="false">IF(E1222&gt;0,F1222/E1222,"")</f>
        <v>4.33333333333333</v>
      </c>
      <c r="O1222" s="2" t="n">
        <f aca="false">IF(AND(E1222&gt;0,L1222),J1222/E1222,"")</f>
        <v>12.6666666666667</v>
      </c>
    </row>
    <row r="1223" customFormat="false" ht="15" hidden="false" customHeight="false" outlineLevel="0" collapsed="false">
      <c r="A1223" s="2" t="n">
        <v>2024</v>
      </c>
      <c r="B1223" s="2" t="s">
        <v>48</v>
      </c>
      <c r="C1223" s="2" t="s">
        <v>408</v>
      </c>
      <c r="D1223" s="2" t="s">
        <v>29</v>
      </c>
      <c r="E1223" s="2" t="n">
        <v>10</v>
      </c>
      <c r="F1223" s="2" t="n">
        <v>42</v>
      </c>
      <c r="G1223" s="2" t="n">
        <v>28</v>
      </c>
      <c r="H1223" s="2" t="n">
        <v>21</v>
      </c>
      <c r="I1223" s="2" t="n">
        <v>0</v>
      </c>
      <c r="J1223" s="2" t="n">
        <v>119</v>
      </c>
      <c r="K1223" s="2" t="n">
        <v>169</v>
      </c>
      <c r="L1223" s="11" t="b">
        <f aca="false">TRUE()</f>
        <v>1</v>
      </c>
      <c r="M1223" s="2" t="s">
        <v>406</v>
      </c>
      <c r="N1223" s="2" t="n">
        <f aca="false">IF(E1223&gt;0,F1223/E1223,"")</f>
        <v>4.2</v>
      </c>
      <c r="O1223" s="2" t="n">
        <f aca="false">IF(AND(E1223&gt;0,L1223),J1223/E1223,"")</f>
        <v>11.9</v>
      </c>
    </row>
    <row r="1224" customFormat="false" ht="15" hidden="false" customHeight="false" outlineLevel="0" collapsed="false">
      <c r="A1224" s="2" t="n">
        <v>2024</v>
      </c>
      <c r="B1224" s="2" t="s">
        <v>562</v>
      </c>
      <c r="C1224" s="2" t="s">
        <v>405</v>
      </c>
      <c r="D1224" s="2" t="s">
        <v>24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11" t="b">
        <f aca="false">TRUE()</f>
        <v>1</v>
      </c>
      <c r="M1224" s="2" t="s">
        <v>410</v>
      </c>
      <c r="N1224" s="2" t="str">
        <f aca="false">IF(E1224&gt;0,F1224/E1224,"")</f>
        <v/>
      </c>
      <c r="O1224" s="2" t="str">
        <f aca="false">IF(AND(E1224&gt;0,L1224),J1224/E1224,"")</f>
        <v/>
      </c>
    </row>
    <row r="1225" customFormat="false" ht="15" hidden="false" customHeight="false" outlineLevel="0" collapsed="false">
      <c r="A1225" s="2" t="n">
        <v>2024</v>
      </c>
      <c r="B1225" s="2" t="s">
        <v>123</v>
      </c>
      <c r="C1225" s="2" t="s">
        <v>412</v>
      </c>
      <c r="D1225" s="2" t="s">
        <v>83</v>
      </c>
      <c r="E1225" s="2" t="n">
        <v>10</v>
      </c>
      <c r="F1225" s="2" t="n">
        <v>8</v>
      </c>
      <c r="G1225" s="2" t="n">
        <v>5</v>
      </c>
      <c r="H1225" s="2" t="n">
        <v>2</v>
      </c>
      <c r="I1225" s="2" t="n">
        <v>0</v>
      </c>
      <c r="J1225" s="2" t="n">
        <v>65</v>
      </c>
      <c r="K1225" s="2" t="n">
        <v>73</v>
      </c>
      <c r="L1225" s="11" t="b">
        <f aca="false">TRUE()</f>
        <v>1</v>
      </c>
      <c r="M1225" s="2" t="s">
        <v>406</v>
      </c>
      <c r="N1225" s="2" t="n">
        <f aca="false">IF(E1225&gt;0,F1225/E1225,"")</f>
        <v>0.8</v>
      </c>
      <c r="O1225" s="2" t="n">
        <f aca="false">IF(AND(E1225&gt;0,L1225),J1225/E1225,"")</f>
        <v>6.5</v>
      </c>
    </row>
    <row r="1226" customFormat="false" ht="15" hidden="false" customHeight="false" outlineLevel="0" collapsed="false">
      <c r="A1226" s="2" t="n">
        <v>2024</v>
      </c>
      <c r="B1226" s="2" t="s">
        <v>150</v>
      </c>
      <c r="C1226" s="2" t="s">
        <v>420</v>
      </c>
      <c r="D1226" s="2" t="s">
        <v>83</v>
      </c>
      <c r="E1226" s="2" t="n">
        <v>9</v>
      </c>
      <c r="F1226" s="2" t="n">
        <v>19</v>
      </c>
      <c r="G1226" s="2" t="n">
        <v>12</v>
      </c>
      <c r="H1226" s="2" t="n">
        <v>6</v>
      </c>
      <c r="I1226" s="2" t="n">
        <v>1</v>
      </c>
      <c r="J1226" s="2" t="n">
        <v>62</v>
      </c>
      <c r="K1226" s="2" t="n">
        <v>85</v>
      </c>
      <c r="L1226" s="11" t="b">
        <f aca="false">TRUE()</f>
        <v>1</v>
      </c>
      <c r="M1226" s="2" t="s">
        <v>406</v>
      </c>
      <c r="N1226" s="2" t="n">
        <f aca="false">IF(E1226&gt;0,F1226/E1226,"")</f>
        <v>2.11111111111111</v>
      </c>
      <c r="O1226" s="2" t="n">
        <f aca="false">IF(AND(E1226&gt;0,L1226),J1226/E1226,"")</f>
        <v>6.88888888888889</v>
      </c>
    </row>
    <row r="1227" customFormat="false" ht="15" hidden="false" customHeight="false" outlineLevel="0" collapsed="false">
      <c r="A1227" s="2" t="n">
        <v>2024</v>
      </c>
      <c r="B1227" s="2" t="s">
        <v>160</v>
      </c>
      <c r="C1227" s="2" t="s">
        <v>408</v>
      </c>
      <c r="D1227" s="2" t="s">
        <v>83</v>
      </c>
      <c r="E1227" s="2" t="n">
        <v>10</v>
      </c>
      <c r="F1227" s="2" t="n">
        <v>3</v>
      </c>
      <c r="G1227" s="2" t="n">
        <v>3</v>
      </c>
      <c r="H1227" s="2" t="n">
        <v>0</v>
      </c>
      <c r="I1227" s="2" t="n">
        <v>0</v>
      </c>
      <c r="J1227" s="2" t="n">
        <v>62</v>
      </c>
      <c r="K1227" s="2" t="n">
        <v>66</v>
      </c>
      <c r="L1227" s="11" t="b">
        <f aca="false">TRUE()</f>
        <v>1</v>
      </c>
      <c r="M1227" s="2" t="s">
        <v>406</v>
      </c>
      <c r="N1227" s="2" t="n">
        <f aca="false">IF(E1227&gt;0,F1227/E1227,"")</f>
        <v>0.3</v>
      </c>
      <c r="O1227" s="2" t="n">
        <f aca="false">IF(AND(E1227&gt;0,L1227),J1227/E1227,"")</f>
        <v>6.2</v>
      </c>
    </row>
    <row r="1228" customFormat="false" ht="15" hidden="false" customHeight="false" outlineLevel="0" collapsed="false">
      <c r="A1228" s="2" t="n">
        <v>2024</v>
      </c>
      <c r="B1228" s="2" t="s">
        <v>128</v>
      </c>
      <c r="C1228" s="2" t="s">
        <v>412</v>
      </c>
      <c r="D1228" s="2" t="s">
        <v>117</v>
      </c>
      <c r="E1228" s="2" t="n">
        <v>10</v>
      </c>
      <c r="F1228" s="2" t="n">
        <v>2</v>
      </c>
      <c r="G1228" s="2" t="n">
        <v>1</v>
      </c>
      <c r="H1228" s="2" t="n">
        <v>0</v>
      </c>
      <c r="I1228" s="2" t="n">
        <v>2</v>
      </c>
      <c r="J1228" s="2" t="n">
        <v>77</v>
      </c>
      <c r="K1228" s="2" t="n">
        <v>84</v>
      </c>
      <c r="L1228" s="11" t="b">
        <f aca="false">TRUE()</f>
        <v>1</v>
      </c>
      <c r="M1228" s="2" t="s">
        <v>406</v>
      </c>
      <c r="N1228" s="2" t="n">
        <f aca="false">IF(E1228&gt;0,F1228/E1228,"")</f>
        <v>0.2</v>
      </c>
      <c r="O1228" s="2" t="n">
        <f aca="false">IF(AND(E1228&gt;0,L1228),J1228/E1228,"")</f>
        <v>7.7</v>
      </c>
    </row>
    <row r="1229" customFormat="false" ht="15" hidden="false" customHeight="false" outlineLevel="0" collapsed="false">
      <c r="A1229" s="2" t="n">
        <v>2024</v>
      </c>
      <c r="B1229" s="2" t="s">
        <v>41</v>
      </c>
      <c r="C1229" s="2" t="s">
        <v>414</v>
      </c>
      <c r="D1229" s="2" t="s">
        <v>24</v>
      </c>
      <c r="E1229" s="2" t="n">
        <v>10</v>
      </c>
      <c r="F1229" s="2" t="n">
        <v>74</v>
      </c>
      <c r="G1229" s="2" t="n">
        <v>45</v>
      </c>
      <c r="H1229" s="2" t="n">
        <v>19</v>
      </c>
      <c r="I1229" s="2" t="n">
        <v>18</v>
      </c>
      <c r="J1229" s="2" t="n">
        <v>235</v>
      </c>
      <c r="K1229" s="2" t="n">
        <v>326</v>
      </c>
      <c r="L1229" s="11" t="b">
        <f aca="false">TRUE()</f>
        <v>1</v>
      </c>
      <c r="M1229" s="2" t="s">
        <v>406</v>
      </c>
      <c r="N1229" s="2" t="n">
        <f aca="false">IF(E1229&gt;0,F1229/E1229,"")</f>
        <v>7.4</v>
      </c>
      <c r="O1229" s="2" t="n">
        <f aca="false">IF(AND(E1229&gt;0,L1229),J1229/E1229,"")</f>
        <v>23.5</v>
      </c>
    </row>
    <row r="1230" customFormat="false" ht="15" hidden="false" customHeight="false" outlineLevel="0" collapsed="false">
      <c r="A1230" s="2" t="n">
        <v>2024</v>
      </c>
      <c r="B1230" s="2" t="s">
        <v>116</v>
      </c>
      <c r="C1230" s="2" t="s">
        <v>622</v>
      </c>
      <c r="D1230" s="2" t="s">
        <v>117</v>
      </c>
      <c r="E1230" s="2" t="n">
        <v>10</v>
      </c>
      <c r="F1230" s="2" t="n">
        <v>6</v>
      </c>
      <c r="G1230" s="2" t="n">
        <v>2</v>
      </c>
      <c r="H1230" s="2" t="n">
        <v>0</v>
      </c>
      <c r="I1230" s="2" t="n">
        <v>1</v>
      </c>
      <c r="J1230" s="2" t="n">
        <v>63</v>
      </c>
      <c r="K1230" s="2" t="n">
        <v>73</v>
      </c>
      <c r="L1230" s="11" t="b">
        <f aca="false">TRUE()</f>
        <v>1</v>
      </c>
      <c r="M1230" s="2" t="s">
        <v>406</v>
      </c>
      <c r="N1230" s="2" t="n">
        <f aca="false">IF(E1230&gt;0,F1230/E1230,"")</f>
        <v>0.6</v>
      </c>
      <c r="O1230" s="2" t="n">
        <f aca="false">IF(AND(E1230&gt;0,L1230),J1230/E1230,"")</f>
        <v>6.3</v>
      </c>
    </row>
    <row r="1231" customFormat="false" ht="15" hidden="false" customHeight="false" outlineLevel="0" collapsed="false">
      <c r="A1231" s="2" t="n">
        <v>2024</v>
      </c>
      <c r="B1231" s="2" t="s">
        <v>64</v>
      </c>
      <c r="C1231" s="2" t="s">
        <v>545</v>
      </c>
      <c r="D1231" s="2" t="s">
        <v>24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11" t="b">
        <f aca="false">TRUE()</f>
        <v>1</v>
      </c>
      <c r="M1231" s="2" t="s">
        <v>410</v>
      </c>
      <c r="N1231" s="2" t="str">
        <f aca="false">IF(E1231&gt;0,F1231/E1231,"")</f>
        <v/>
      </c>
      <c r="O1231" s="2" t="str">
        <f aca="false">IF(AND(E1231&gt;0,L1231),J1231/E1231,"")</f>
        <v/>
      </c>
    </row>
    <row r="1232" customFormat="false" ht="15" hidden="false" customHeight="false" outlineLevel="0" collapsed="false">
      <c r="A1232" s="2" t="n">
        <v>2024</v>
      </c>
      <c r="B1232" s="2" t="s">
        <v>230</v>
      </c>
      <c r="C1232" s="2" t="s">
        <v>420</v>
      </c>
      <c r="D1232" s="2" t="s">
        <v>24</v>
      </c>
      <c r="E1232" s="2" t="n">
        <v>3</v>
      </c>
      <c r="F1232" s="2" t="n">
        <v>12</v>
      </c>
      <c r="G1232" s="2" t="n">
        <v>6</v>
      </c>
      <c r="H1232" s="2" t="n">
        <v>1</v>
      </c>
      <c r="I1232" s="2" t="n">
        <v>0</v>
      </c>
      <c r="J1232" s="2" t="n">
        <v>19</v>
      </c>
      <c r="K1232" s="2" t="n">
        <v>36</v>
      </c>
      <c r="L1232" s="11" t="b">
        <f aca="false">TRUE()</f>
        <v>1</v>
      </c>
      <c r="M1232" s="2" t="s">
        <v>406</v>
      </c>
      <c r="N1232" s="2" t="n">
        <f aca="false">IF(E1232&gt;0,F1232/E1232,"")</f>
        <v>4</v>
      </c>
      <c r="O1232" s="2" t="n">
        <f aca="false">IF(AND(E1232&gt;0,L1232),J1232/E1232,"")</f>
        <v>6.33333333333333</v>
      </c>
    </row>
    <row r="1233" customFormat="false" ht="15" hidden="false" customHeight="false" outlineLevel="0" collapsed="false">
      <c r="A1233" s="2" t="n">
        <v>2024</v>
      </c>
      <c r="B1233" s="2" t="s">
        <v>281</v>
      </c>
      <c r="C1233" s="2" t="s">
        <v>414</v>
      </c>
      <c r="D1233" s="2" t="s">
        <v>115</v>
      </c>
      <c r="E1233" s="2" t="n">
        <v>6</v>
      </c>
      <c r="F1233" s="2" t="n">
        <v>1</v>
      </c>
      <c r="G1233" s="2" t="n">
        <v>0</v>
      </c>
      <c r="H1233" s="2" t="n">
        <v>0</v>
      </c>
      <c r="I1233" s="2" t="n">
        <v>0</v>
      </c>
      <c r="J1233" s="2" t="n">
        <v>19</v>
      </c>
      <c r="K1233" s="2" t="n">
        <v>22</v>
      </c>
      <c r="L1233" s="11" t="b">
        <f aca="false">TRUE()</f>
        <v>1</v>
      </c>
      <c r="M1233" s="2" t="s">
        <v>406</v>
      </c>
      <c r="N1233" s="2" t="n">
        <f aca="false">IF(E1233&gt;0,F1233/E1233,"")</f>
        <v>0.166666666666667</v>
      </c>
      <c r="O1233" s="2" t="n">
        <f aca="false">IF(AND(E1233&gt;0,L1233),J1233/E1233,"")</f>
        <v>3.16666666666667</v>
      </c>
    </row>
    <row r="1234" customFormat="false" ht="15" hidden="false" customHeight="false" outlineLevel="0" collapsed="false">
      <c r="A1234" s="2" t="n">
        <v>2024</v>
      </c>
      <c r="B1234" s="2" t="s">
        <v>27</v>
      </c>
      <c r="C1234" s="2" t="s">
        <v>518</v>
      </c>
      <c r="D1234" s="2" t="s">
        <v>24</v>
      </c>
      <c r="E1234" s="2" t="n">
        <v>10</v>
      </c>
      <c r="F1234" s="2" t="n">
        <v>78</v>
      </c>
      <c r="G1234" s="2" t="n">
        <v>48</v>
      </c>
      <c r="H1234" s="2" t="n">
        <v>22</v>
      </c>
      <c r="I1234" s="2" t="n">
        <v>12</v>
      </c>
      <c r="J1234" s="2" t="n">
        <v>233</v>
      </c>
      <c r="K1234" s="2" t="n">
        <v>333</v>
      </c>
      <c r="L1234" s="11" t="b">
        <f aca="false">TRUE()</f>
        <v>1</v>
      </c>
      <c r="M1234" s="2" t="s">
        <v>406</v>
      </c>
      <c r="N1234" s="2" t="n">
        <f aca="false">IF(E1234&gt;0,F1234/E1234,"")</f>
        <v>7.8</v>
      </c>
      <c r="O1234" s="2" t="n">
        <f aca="false">IF(AND(E1234&gt;0,L1234),J1234/E1234,"")</f>
        <v>23.3</v>
      </c>
    </row>
    <row r="1235" customFormat="false" ht="15" hidden="false" customHeight="false" outlineLevel="0" collapsed="false">
      <c r="A1235" s="2" t="n">
        <v>2024</v>
      </c>
      <c r="B1235" s="2" t="s">
        <v>119</v>
      </c>
      <c r="C1235" s="2" t="s">
        <v>518</v>
      </c>
      <c r="D1235" s="2" t="s">
        <v>29</v>
      </c>
      <c r="E1235" s="2" t="n">
        <v>2</v>
      </c>
      <c r="F1235" s="2" t="n">
        <v>3</v>
      </c>
      <c r="G1235" s="2" t="n">
        <v>1</v>
      </c>
      <c r="H1235" s="2" t="n">
        <v>0</v>
      </c>
      <c r="I1235" s="2" t="n">
        <v>0</v>
      </c>
      <c r="J1235" s="2" t="n">
        <v>13</v>
      </c>
      <c r="K1235" s="2" t="n">
        <v>16</v>
      </c>
      <c r="L1235" s="11" t="b">
        <f aca="false">TRUE()</f>
        <v>1</v>
      </c>
      <c r="M1235" s="2" t="s">
        <v>410</v>
      </c>
      <c r="N1235" s="2" t="n">
        <f aca="false">IF(E1235&gt;0,F1235/E1235,"")</f>
        <v>1.5</v>
      </c>
      <c r="O1235" s="2" t="n">
        <f aca="false">IF(AND(E1235&gt;0,L1235),J1235/E1235,"")</f>
        <v>6.5</v>
      </c>
    </row>
    <row r="1236" customFormat="false" ht="15" hidden="false" customHeight="false" outlineLevel="0" collapsed="false">
      <c r="A1236" s="2" t="n">
        <v>2024</v>
      </c>
      <c r="B1236" s="2" t="s">
        <v>595</v>
      </c>
      <c r="C1236" s="2" t="s">
        <v>622</v>
      </c>
      <c r="D1236" s="2" t="s">
        <v>409</v>
      </c>
      <c r="E1236" s="2" t="n">
        <v>9</v>
      </c>
      <c r="F1236" s="2" t="n">
        <v>1</v>
      </c>
      <c r="G1236" s="2" t="n">
        <v>1</v>
      </c>
      <c r="H1236" s="2" t="n">
        <v>0</v>
      </c>
      <c r="I1236" s="2" t="n">
        <v>0</v>
      </c>
      <c r="J1236" s="2" t="n">
        <v>121</v>
      </c>
      <c r="K1236" s="2" t="n">
        <v>125</v>
      </c>
      <c r="L1236" s="11" t="b">
        <f aca="false">TRUE()</f>
        <v>1</v>
      </c>
      <c r="M1236" s="2" t="s">
        <v>410</v>
      </c>
      <c r="N1236" s="2" t="n">
        <f aca="false">IF(E1236&gt;0,F1236/E1236,"")</f>
        <v>0.111111111111111</v>
      </c>
      <c r="O1236" s="2" t="n">
        <f aca="false">IF(AND(E1236&gt;0,L1236),J1236/E1236,"")</f>
        <v>13.4444444444444</v>
      </c>
    </row>
    <row r="1237" customFormat="false" ht="15" hidden="false" customHeight="false" outlineLevel="0" collapsed="false">
      <c r="A1237" s="2" t="n">
        <v>2024</v>
      </c>
      <c r="B1237" s="2" t="s">
        <v>276</v>
      </c>
      <c r="C1237" s="2" t="s">
        <v>412</v>
      </c>
      <c r="D1237" s="2" t="s">
        <v>29</v>
      </c>
      <c r="E1237" s="2" t="n">
        <v>3</v>
      </c>
      <c r="F1237" s="2" t="n">
        <v>11</v>
      </c>
      <c r="G1237" s="2" t="n">
        <v>9</v>
      </c>
      <c r="H1237" s="2" t="n">
        <v>3</v>
      </c>
      <c r="I1237" s="2" t="n">
        <v>0</v>
      </c>
      <c r="J1237" s="2" t="n">
        <v>45</v>
      </c>
      <c r="K1237" s="2" t="n">
        <v>59</v>
      </c>
      <c r="L1237" s="11" t="b">
        <f aca="false">TRUE()</f>
        <v>1</v>
      </c>
      <c r="M1237" s="2" t="s">
        <v>406</v>
      </c>
      <c r="N1237" s="2" t="n">
        <f aca="false">IF(E1237&gt;0,F1237/E1237,"")</f>
        <v>3.66666666666667</v>
      </c>
      <c r="O1237" s="2" t="n">
        <f aca="false">IF(AND(E1237&gt;0,L1237),J1237/E1237,"")</f>
        <v>15</v>
      </c>
    </row>
    <row r="1238" customFormat="false" ht="15" hidden="false" customHeight="false" outlineLevel="0" collapsed="false">
      <c r="A1238" s="2" t="n">
        <v>2024</v>
      </c>
      <c r="B1238" s="2" t="s">
        <v>629</v>
      </c>
      <c r="C1238" s="2" t="s">
        <v>412</v>
      </c>
      <c r="D1238" s="2" t="s">
        <v>24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11" t="b">
        <f aca="false">TRUE()</f>
        <v>1</v>
      </c>
      <c r="M1238" s="2" t="s">
        <v>410</v>
      </c>
      <c r="N1238" s="2" t="str">
        <f aca="false">IF(E1238&gt;0,F1238/E1238,"")</f>
        <v/>
      </c>
      <c r="O1238" s="2" t="str">
        <f aca="false">IF(AND(E1238&gt;0,L1238),J1238/E1238,"")</f>
        <v/>
      </c>
    </row>
    <row r="1239" customFormat="false" ht="15" hidden="false" customHeight="false" outlineLevel="0" collapsed="false">
      <c r="A1239" s="2" t="n">
        <v>2024</v>
      </c>
      <c r="B1239" s="2" t="s">
        <v>372</v>
      </c>
      <c r="C1239" s="2" t="s">
        <v>420</v>
      </c>
      <c r="D1239" s="2" t="s">
        <v>115</v>
      </c>
      <c r="E1239" s="2" t="n">
        <v>3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9</v>
      </c>
      <c r="K1239" s="2" t="n">
        <v>9</v>
      </c>
      <c r="L1239" s="11" t="b">
        <f aca="false">TRUE()</f>
        <v>1</v>
      </c>
      <c r="M1239" s="2" t="s">
        <v>406</v>
      </c>
      <c r="N1239" s="2" t="n">
        <f aca="false">IF(E1239&gt;0,F1239/E1239,"")</f>
        <v>0</v>
      </c>
      <c r="O1239" s="2" t="n">
        <f aca="false">IF(AND(E1239&gt;0,L1239),J1239/E1239,"")</f>
        <v>3</v>
      </c>
    </row>
    <row r="1240" customFormat="false" ht="15" hidden="false" customHeight="false" outlineLevel="0" collapsed="false">
      <c r="A1240" s="2" t="n">
        <v>2024</v>
      </c>
      <c r="B1240" s="2" t="s">
        <v>381</v>
      </c>
      <c r="C1240" s="2" t="s">
        <v>518</v>
      </c>
      <c r="D1240" s="2" t="s">
        <v>117</v>
      </c>
      <c r="E1240" s="2" t="n">
        <v>1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2</v>
      </c>
      <c r="K1240" s="2" t="n">
        <v>2</v>
      </c>
      <c r="L1240" s="11" t="b">
        <f aca="false">TRUE()</f>
        <v>1</v>
      </c>
      <c r="M1240" s="2" t="s">
        <v>410</v>
      </c>
      <c r="N1240" s="2" t="n">
        <f aca="false">IF(E1240&gt;0,F1240/E1240,"")</f>
        <v>0</v>
      </c>
      <c r="O1240" s="2" t="n">
        <f aca="false">IF(AND(E1240&gt;0,L1240),J1240/E1240,"")</f>
        <v>2</v>
      </c>
    </row>
    <row r="1241" customFormat="false" ht="15" hidden="false" customHeight="false" outlineLevel="0" collapsed="false">
      <c r="A1241" s="2" t="n">
        <v>2024</v>
      </c>
      <c r="B1241" s="2" t="s">
        <v>203</v>
      </c>
      <c r="C1241" s="2" t="s">
        <v>405</v>
      </c>
      <c r="D1241" s="2" t="s">
        <v>83</v>
      </c>
      <c r="E1241" s="2" t="n">
        <v>10</v>
      </c>
      <c r="F1241" s="2" t="n">
        <v>8</v>
      </c>
      <c r="G1241" s="2" t="n">
        <v>5</v>
      </c>
      <c r="H1241" s="2" t="n">
        <v>2</v>
      </c>
      <c r="I1241" s="2" t="n">
        <v>0</v>
      </c>
      <c r="J1241" s="2" t="n">
        <v>62</v>
      </c>
      <c r="K1241" s="2" t="n">
        <v>73</v>
      </c>
      <c r="L1241" s="11" t="b">
        <f aca="false">TRUE()</f>
        <v>1</v>
      </c>
      <c r="M1241" s="2" t="s">
        <v>406</v>
      </c>
      <c r="N1241" s="2" t="n">
        <f aca="false">IF(E1241&gt;0,F1241/E1241,"")</f>
        <v>0.8</v>
      </c>
      <c r="O1241" s="2" t="n">
        <f aca="false">IF(AND(E1241&gt;0,L1241),J1241/E1241,"")</f>
        <v>6.2</v>
      </c>
    </row>
    <row r="1242" customFormat="false" ht="15" hidden="false" customHeight="false" outlineLevel="0" collapsed="false">
      <c r="A1242" s="2" t="n">
        <v>2024</v>
      </c>
      <c r="B1242" s="2" t="s">
        <v>202</v>
      </c>
      <c r="C1242" s="2" t="s">
        <v>622</v>
      </c>
      <c r="D1242" s="2" t="s">
        <v>83</v>
      </c>
      <c r="E1242" s="2" t="n">
        <v>2</v>
      </c>
      <c r="F1242" s="2" t="n">
        <v>2</v>
      </c>
      <c r="G1242" s="2" t="n">
        <v>0</v>
      </c>
      <c r="H1242" s="2" t="n">
        <v>0</v>
      </c>
      <c r="I1242" s="2" t="n">
        <v>1</v>
      </c>
      <c r="J1242" s="2" t="n">
        <v>14</v>
      </c>
      <c r="K1242" s="2" t="n">
        <v>17</v>
      </c>
      <c r="L1242" s="11" t="b">
        <f aca="false">TRUE()</f>
        <v>1</v>
      </c>
      <c r="M1242" s="2" t="s">
        <v>410</v>
      </c>
      <c r="N1242" s="2" t="n">
        <f aca="false">IF(E1242&gt;0,F1242/E1242,"")</f>
        <v>1</v>
      </c>
      <c r="O1242" s="2" t="n">
        <f aca="false">IF(AND(E1242&gt;0,L1242),J1242/E1242,"")</f>
        <v>7</v>
      </c>
    </row>
    <row r="1243" customFormat="false" ht="15" hidden="false" customHeight="false" outlineLevel="0" collapsed="false">
      <c r="A1243" s="2" t="n">
        <v>2024</v>
      </c>
      <c r="B1243" s="2" t="s">
        <v>364</v>
      </c>
      <c r="C1243" s="2" t="s">
        <v>405</v>
      </c>
      <c r="D1243" s="2" t="s">
        <v>83</v>
      </c>
      <c r="E1243" s="2" t="n">
        <v>4</v>
      </c>
      <c r="F1243" s="2" t="n">
        <v>2</v>
      </c>
      <c r="G1243" s="2" t="n">
        <v>1</v>
      </c>
      <c r="H1243" s="2" t="n">
        <v>0</v>
      </c>
      <c r="I1243" s="2" t="n">
        <v>0</v>
      </c>
      <c r="J1243" s="2" t="n">
        <v>7</v>
      </c>
      <c r="K1243" s="2" t="n">
        <v>9</v>
      </c>
      <c r="L1243" s="11" t="b">
        <f aca="false">TRUE()</f>
        <v>1</v>
      </c>
      <c r="M1243" s="2" t="s">
        <v>406</v>
      </c>
      <c r="N1243" s="2" t="n">
        <f aca="false">IF(E1243&gt;0,F1243/E1243,"")</f>
        <v>0.5</v>
      </c>
      <c r="O1243" s="2" t="n">
        <f aca="false">IF(AND(E1243&gt;0,L1243),J1243/E1243,"")</f>
        <v>1.75</v>
      </c>
    </row>
    <row r="1244" customFormat="false" ht="15" hidden="false" customHeight="false" outlineLevel="0" collapsed="false">
      <c r="A1244" s="2" t="n">
        <v>2024</v>
      </c>
      <c r="B1244" s="2" t="s">
        <v>92</v>
      </c>
      <c r="C1244" s="2" t="s">
        <v>420</v>
      </c>
      <c r="D1244" s="2" t="s">
        <v>29</v>
      </c>
      <c r="E1244" s="2" t="n">
        <v>10</v>
      </c>
      <c r="F1244" s="2" t="n">
        <v>30</v>
      </c>
      <c r="G1244" s="2" t="n">
        <v>15</v>
      </c>
      <c r="H1244" s="2" t="n">
        <v>6</v>
      </c>
      <c r="I1244" s="2" t="n">
        <v>4</v>
      </c>
      <c r="J1244" s="2" t="n">
        <v>105</v>
      </c>
      <c r="K1244" s="2" t="n">
        <v>147</v>
      </c>
      <c r="L1244" s="11" t="b">
        <f aca="false">TRUE()</f>
        <v>1</v>
      </c>
      <c r="M1244" s="2" t="s">
        <v>406</v>
      </c>
      <c r="N1244" s="2" t="n">
        <f aca="false">IF(E1244&gt;0,F1244/E1244,"")</f>
        <v>3</v>
      </c>
      <c r="O1244" s="2" t="n">
        <f aca="false">IF(AND(E1244&gt;0,L1244),J1244/E1244,"")</f>
        <v>10.5</v>
      </c>
    </row>
    <row r="1245" customFormat="false" ht="15" hidden="false" customHeight="false" outlineLevel="0" collapsed="false">
      <c r="A1245" s="2" t="n">
        <v>2024</v>
      </c>
      <c r="B1245" s="2" t="s">
        <v>38</v>
      </c>
      <c r="C1245" s="2" t="s">
        <v>412</v>
      </c>
      <c r="D1245" s="2" t="s">
        <v>29</v>
      </c>
      <c r="E1245" s="2" t="n">
        <v>3</v>
      </c>
      <c r="F1245" s="2" t="n">
        <v>10</v>
      </c>
      <c r="G1245" s="2" t="n">
        <v>7</v>
      </c>
      <c r="H1245" s="2" t="n">
        <v>4</v>
      </c>
      <c r="I1245" s="2" t="n">
        <v>2</v>
      </c>
      <c r="J1245" s="2" t="n">
        <v>30</v>
      </c>
      <c r="K1245" s="2" t="n">
        <v>42</v>
      </c>
      <c r="L1245" s="11" t="b">
        <f aca="false">TRUE()</f>
        <v>1</v>
      </c>
      <c r="M1245" s="2" t="s">
        <v>406</v>
      </c>
      <c r="N1245" s="2" t="n">
        <f aca="false">IF(E1245&gt;0,F1245/E1245,"")</f>
        <v>3.33333333333333</v>
      </c>
      <c r="O1245" s="2" t="n">
        <f aca="false">IF(AND(E1245&gt;0,L1245),J1245/E1245,"")</f>
        <v>10</v>
      </c>
    </row>
    <row r="1246" customFormat="false" ht="15" hidden="false" customHeight="false" outlineLevel="0" collapsed="false">
      <c r="A1246" s="2" t="n">
        <v>2024</v>
      </c>
      <c r="B1246" s="2" t="s">
        <v>109</v>
      </c>
      <c r="C1246" s="2" t="s">
        <v>405</v>
      </c>
      <c r="D1246" s="2" t="s">
        <v>29</v>
      </c>
      <c r="E1246" s="2" t="n">
        <v>8</v>
      </c>
      <c r="F1246" s="2" t="n">
        <v>17</v>
      </c>
      <c r="G1246" s="2" t="n">
        <v>11</v>
      </c>
      <c r="H1246" s="2" t="n">
        <v>2</v>
      </c>
      <c r="I1246" s="2" t="n">
        <v>2</v>
      </c>
      <c r="J1246" s="2" t="n">
        <v>68</v>
      </c>
      <c r="K1246" s="2" t="n">
        <v>92</v>
      </c>
      <c r="L1246" s="11" t="b">
        <f aca="false">TRUE()</f>
        <v>1</v>
      </c>
      <c r="M1246" s="2" t="s">
        <v>406</v>
      </c>
      <c r="N1246" s="2" t="n">
        <f aca="false">IF(E1246&gt;0,F1246/E1246,"")</f>
        <v>2.125</v>
      </c>
      <c r="O1246" s="2" t="n">
        <f aca="false">IF(AND(E1246&gt;0,L1246),J1246/E1246,"")</f>
        <v>8.5</v>
      </c>
    </row>
    <row r="1247" customFormat="false" ht="15" hidden="false" customHeight="false" outlineLevel="0" collapsed="false">
      <c r="A1247" s="2" t="n">
        <v>2024</v>
      </c>
      <c r="B1247" s="2" t="s">
        <v>67</v>
      </c>
      <c r="C1247" s="2" t="s">
        <v>408</v>
      </c>
      <c r="D1247" s="2" t="s">
        <v>24</v>
      </c>
      <c r="E1247" s="2" t="n">
        <v>7</v>
      </c>
      <c r="F1247" s="2" t="n">
        <v>29</v>
      </c>
      <c r="G1247" s="2" t="n">
        <v>13</v>
      </c>
      <c r="H1247" s="2" t="n">
        <v>5</v>
      </c>
      <c r="I1247" s="2" t="n">
        <v>4</v>
      </c>
      <c r="J1247" s="2" t="n">
        <v>127</v>
      </c>
      <c r="K1247" s="2" t="n">
        <v>165</v>
      </c>
      <c r="L1247" s="11" t="b">
        <f aca="false">TRUE()</f>
        <v>1</v>
      </c>
      <c r="M1247" s="2" t="s">
        <v>406</v>
      </c>
      <c r="N1247" s="2" t="n">
        <f aca="false">IF(E1247&gt;0,F1247/E1247,"")</f>
        <v>4.14285714285714</v>
      </c>
      <c r="O1247" s="2" t="n">
        <f aca="false">IF(AND(E1247&gt;0,L1247),J1247/E1247,"")</f>
        <v>18.1428571428571</v>
      </c>
    </row>
    <row r="1248" customFormat="false" ht="15" hidden="false" customHeight="false" outlineLevel="0" collapsed="false">
      <c r="A1248" s="2" t="n">
        <v>2024</v>
      </c>
      <c r="B1248" s="2" t="s">
        <v>630</v>
      </c>
      <c r="C1248" s="2" t="s">
        <v>408</v>
      </c>
      <c r="D1248" s="2" t="s">
        <v>29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11" t="b">
        <f aca="false">TRUE()</f>
        <v>1</v>
      </c>
      <c r="M1248" s="2" t="s">
        <v>410</v>
      </c>
      <c r="N1248" s="2" t="str">
        <f aca="false">IF(E1248&gt;0,F1248/E1248,"")</f>
        <v/>
      </c>
      <c r="O1248" s="2" t="str">
        <f aca="false">IF(AND(E1248&gt;0,L1248),J1248/E1248,"")</f>
        <v/>
      </c>
    </row>
    <row r="1249" customFormat="false" ht="15" hidden="false" customHeight="false" outlineLevel="0" collapsed="false">
      <c r="A1249" s="2" t="n">
        <v>2024</v>
      </c>
      <c r="B1249" s="2" t="s">
        <v>96</v>
      </c>
      <c r="C1249" s="2" t="s">
        <v>408</v>
      </c>
      <c r="D1249" s="2" t="s">
        <v>24</v>
      </c>
      <c r="E1249" s="2" t="n">
        <v>6</v>
      </c>
      <c r="F1249" s="2" t="n">
        <v>12</v>
      </c>
      <c r="G1249" s="2" t="n">
        <v>12</v>
      </c>
      <c r="H1249" s="2" t="n">
        <v>4</v>
      </c>
      <c r="I1249" s="2" t="n">
        <v>10</v>
      </c>
      <c r="J1249" s="2" t="n">
        <v>58</v>
      </c>
      <c r="K1249" s="2" t="n">
        <v>78</v>
      </c>
      <c r="L1249" s="11" t="b">
        <f aca="false">TRUE()</f>
        <v>1</v>
      </c>
      <c r="M1249" s="2" t="s">
        <v>406</v>
      </c>
      <c r="N1249" s="2" t="n">
        <f aca="false">IF(E1249&gt;0,F1249/E1249,"")</f>
        <v>2</v>
      </c>
      <c r="O1249" s="2" t="n">
        <f aca="false">IF(AND(E1249&gt;0,L1249),J1249/E1249,"")</f>
        <v>9.66666666666667</v>
      </c>
    </row>
    <row r="1250" customFormat="false" ht="15" hidden="false" customHeight="false" outlineLevel="0" collapsed="false">
      <c r="A1250" s="2" t="n">
        <v>2024</v>
      </c>
      <c r="B1250" s="2" t="s">
        <v>143</v>
      </c>
      <c r="C1250" s="2" t="s">
        <v>414</v>
      </c>
      <c r="D1250" s="2" t="s">
        <v>117</v>
      </c>
      <c r="E1250" s="2" t="n">
        <v>10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76</v>
      </c>
      <c r="K1250" s="2" t="n">
        <v>76</v>
      </c>
      <c r="L1250" s="11" t="b">
        <f aca="false">TRUE()</f>
        <v>1</v>
      </c>
      <c r="M1250" s="2" t="s">
        <v>406</v>
      </c>
      <c r="N1250" s="2" t="n">
        <f aca="false">IF(E1250&gt;0,F1250/E1250,"")</f>
        <v>0</v>
      </c>
      <c r="O1250" s="2" t="n">
        <f aca="false">IF(AND(E1250&gt;0,L1250),J1250/E1250,"")</f>
        <v>7.6</v>
      </c>
    </row>
    <row r="1251" customFormat="false" ht="15" hidden="false" customHeight="false" outlineLevel="0" collapsed="false">
      <c r="A1251" s="2" t="n">
        <v>2024</v>
      </c>
      <c r="B1251" s="2" t="s">
        <v>214</v>
      </c>
      <c r="C1251" s="2" t="s">
        <v>622</v>
      </c>
      <c r="D1251" s="2" t="s">
        <v>24</v>
      </c>
      <c r="E1251" s="2" t="n">
        <v>2</v>
      </c>
      <c r="F1251" s="2" t="n">
        <v>11</v>
      </c>
      <c r="G1251" s="2" t="n">
        <v>7</v>
      </c>
      <c r="H1251" s="2" t="n">
        <v>3</v>
      </c>
      <c r="I1251" s="2" t="n">
        <v>1</v>
      </c>
      <c r="J1251" s="2" t="n">
        <v>58</v>
      </c>
      <c r="K1251" s="2" t="n">
        <v>71</v>
      </c>
      <c r="L1251" s="11" t="b">
        <f aca="false">TRUE()</f>
        <v>1</v>
      </c>
      <c r="M1251" s="2" t="s">
        <v>410</v>
      </c>
      <c r="N1251" s="2" t="n">
        <f aca="false">IF(E1251&gt;0,F1251/E1251,"")</f>
        <v>5.5</v>
      </c>
      <c r="O1251" s="2" t="n">
        <f aca="false">IF(AND(E1251&gt;0,L1251),J1251/E1251,"")</f>
        <v>29</v>
      </c>
    </row>
    <row r="1252" customFormat="false" ht="15" hidden="false" customHeight="false" outlineLevel="0" collapsed="false">
      <c r="A1252" s="2" t="n">
        <v>2024</v>
      </c>
      <c r="B1252" s="2" t="s">
        <v>467</v>
      </c>
      <c r="C1252" s="2" t="s">
        <v>414</v>
      </c>
      <c r="D1252" s="2" t="s">
        <v>413</v>
      </c>
      <c r="E1252" s="2" t="n">
        <v>9</v>
      </c>
      <c r="F1252" s="2" t="n">
        <v>8</v>
      </c>
      <c r="G1252" s="2" t="n">
        <v>7</v>
      </c>
      <c r="H1252" s="2" t="n">
        <v>5</v>
      </c>
      <c r="I1252" s="2" t="n">
        <v>0</v>
      </c>
      <c r="J1252" s="2" t="n">
        <v>98</v>
      </c>
      <c r="K1252" s="2" t="n">
        <v>117</v>
      </c>
      <c r="L1252" s="11" t="b">
        <f aca="false">TRUE()</f>
        <v>1</v>
      </c>
      <c r="M1252" s="2" t="s">
        <v>410</v>
      </c>
      <c r="N1252" s="2" t="n">
        <f aca="false">IF(E1252&gt;0,F1252/E1252,"")</f>
        <v>0.888888888888889</v>
      </c>
      <c r="O1252" s="2" t="n">
        <f aca="false">IF(AND(E1252&gt;0,L1252),J1252/E1252,"")</f>
        <v>10.8888888888889</v>
      </c>
    </row>
    <row r="1253" customFormat="false" ht="15" hidden="false" customHeight="false" outlineLevel="0" collapsed="false">
      <c r="A1253" s="2" t="n">
        <v>2024</v>
      </c>
      <c r="B1253" s="2" t="s">
        <v>146</v>
      </c>
      <c r="C1253" s="2" t="s">
        <v>420</v>
      </c>
      <c r="D1253" s="2" t="s">
        <v>117</v>
      </c>
      <c r="E1253" s="2" t="n">
        <v>10</v>
      </c>
      <c r="F1253" s="2" t="n">
        <v>4</v>
      </c>
      <c r="G1253" s="2" t="n">
        <v>2</v>
      </c>
      <c r="H1253" s="2" t="n">
        <v>0</v>
      </c>
      <c r="I1253" s="2" t="n">
        <v>0</v>
      </c>
      <c r="J1253" s="2" t="n">
        <v>38</v>
      </c>
      <c r="K1253" s="2" t="n">
        <v>43</v>
      </c>
      <c r="L1253" s="11" t="b">
        <f aca="false">TRUE()</f>
        <v>1</v>
      </c>
      <c r="M1253" s="2" t="s">
        <v>406</v>
      </c>
      <c r="N1253" s="2" t="n">
        <f aca="false">IF(E1253&gt;0,F1253/E1253,"")</f>
        <v>0.4</v>
      </c>
      <c r="O1253" s="2" t="n">
        <f aca="false">IF(AND(E1253&gt;0,L1253),J1253/E1253,"")</f>
        <v>3.8</v>
      </c>
    </row>
    <row r="1254" customFormat="false" ht="15" hidden="false" customHeight="false" outlineLevel="0" collapsed="false">
      <c r="A1254" s="2" t="n">
        <v>2024</v>
      </c>
      <c r="B1254" s="2" t="s">
        <v>79</v>
      </c>
      <c r="C1254" s="2" t="s">
        <v>622</v>
      </c>
      <c r="D1254" s="2" t="s">
        <v>24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11" t="b">
        <f aca="false">TRUE()</f>
        <v>1</v>
      </c>
      <c r="M1254" s="2" t="s">
        <v>410</v>
      </c>
      <c r="N1254" s="2" t="str">
        <f aca="false">IF(E1254&gt;0,F1254/E1254,"")</f>
        <v/>
      </c>
      <c r="O1254" s="2" t="str">
        <f aca="false">IF(AND(E1254&gt;0,L1254),J1254/E1254,"")</f>
        <v/>
      </c>
    </row>
    <row r="1255" customFormat="false" ht="15" hidden="false" customHeight="false" outlineLevel="0" collapsed="false">
      <c r="A1255" s="2" t="n">
        <v>2024</v>
      </c>
      <c r="B1255" s="2" t="s">
        <v>37</v>
      </c>
      <c r="C1255" s="2" t="s">
        <v>545</v>
      </c>
      <c r="D1255" s="2" t="s">
        <v>24</v>
      </c>
      <c r="E1255" s="2" t="n">
        <v>10</v>
      </c>
      <c r="F1255" s="2" t="n">
        <v>41</v>
      </c>
      <c r="G1255" s="2" t="n">
        <v>26</v>
      </c>
      <c r="H1255" s="2" t="n">
        <v>11</v>
      </c>
      <c r="I1255" s="2" t="n">
        <v>28</v>
      </c>
      <c r="J1255" s="2" t="n">
        <v>245</v>
      </c>
      <c r="K1255" s="2" t="n">
        <v>316</v>
      </c>
      <c r="L1255" s="11" t="b">
        <f aca="false">TRUE()</f>
        <v>1</v>
      </c>
      <c r="M1255" s="2" t="s">
        <v>406</v>
      </c>
      <c r="N1255" s="2" t="n">
        <f aca="false">IF(E1255&gt;0,F1255/E1255,"")</f>
        <v>4.1</v>
      </c>
      <c r="O1255" s="2" t="n">
        <f aca="false">IF(AND(E1255&gt;0,L1255),J1255/E1255,"")</f>
        <v>24.5</v>
      </c>
    </row>
    <row r="1256" customFormat="false" ht="15" hidden="false" customHeight="false" outlineLevel="0" collapsed="false">
      <c r="A1256" s="2" t="n">
        <v>2024</v>
      </c>
      <c r="B1256" s="2" t="s">
        <v>33</v>
      </c>
      <c r="C1256" s="2" t="s">
        <v>408</v>
      </c>
      <c r="D1256" s="2" t="s">
        <v>24</v>
      </c>
      <c r="E1256" s="2" t="n">
        <v>10</v>
      </c>
      <c r="F1256" s="2" t="n">
        <v>75</v>
      </c>
      <c r="G1256" s="2" t="n">
        <v>44</v>
      </c>
      <c r="H1256" s="2" t="n">
        <v>20</v>
      </c>
      <c r="I1256" s="2" t="n">
        <v>3</v>
      </c>
      <c r="J1256" s="2" t="n">
        <v>160</v>
      </c>
      <c r="K1256" s="2" t="n">
        <v>251</v>
      </c>
      <c r="L1256" s="11" t="b">
        <f aca="false">TRUE()</f>
        <v>1</v>
      </c>
      <c r="M1256" s="2" t="s">
        <v>406</v>
      </c>
      <c r="N1256" s="2" t="n">
        <f aca="false">IF(E1256&gt;0,F1256/E1256,"")</f>
        <v>7.5</v>
      </c>
      <c r="O1256" s="2" t="n">
        <f aca="false">IF(AND(E1256&gt;0,L1256),J1256/E1256,"")</f>
        <v>16</v>
      </c>
    </row>
    <row r="1257" customFormat="false" ht="15" hidden="false" customHeight="false" outlineLevel="0" collapsed="false">
      <c r="A1257" s="2" t="n">
        <v>2024</v>
      </c>
      <c r="B1257" s="2" t="s">
        <v>35</v>
      </c>
      <c r="C1257" s="2" t="s">
        <v>622</v>
      </c>
      <c r="D1257" s="2" t="s">
        <v>24</v>
      </c>
      <c r="E1257" s="2" t="n">
        <v>10</v>
      </c>
      <c r="F1257" s="2" t="n">
        <v>82</v>
      </c>
      <c r="G1257" s="2" t="n">
        <v>48</v>
      </c>
      <c r="H1257" s="2" t="n">
        <v>19</v>
      </c>
      <c r="I1257" s="2" t="n">
        <v>8</v>
      </c>
      <c r="J1257" s="2" t="n">
        <v>210</v>
      </c>
      <c r="K1257" s="2" t="n">
        <v>302</v>
      </c>
      <c r="L1257" s="11" t="b">
        <f aca="false">TRUE()</f>
        <v>1</v>
      </c>
      <c r="M1257" s="2" t="s">
        <v>406</v>
      </c>
      <c r="N1257" s="2" t="n">
        <f aca="false">IF(E1257&gt;0,F1257/E1257,"")</f>
        <v>8.2</v>
      </c>
      <c r="O1257" s="2" t="n">
        <f aca="false">IF(AND(E1257&gt;0,L1257),J1257/E1257,"")</f>
        <v>21</v>
      </c>
    </row>
    <row r="1258" customFormat="false" ht="15" hidden="false" customHeight="false" outlineLevel="0" collapsed="false">
      <c r="A1258" s="2" t="n">
        <v>2024</v>
      </c>
      <c r="B1258" s="2" t="s">
        <v>393</v>
      </c>
      <c r="C1258" s="2" t="s">
        <v>622</v>
      </c>
      <c r="D1258" s="2" t="s">
        <v>115</v>
      </c>
      <c r="E1258" s="2" t="n">
        <v>1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1</v>
      </c>
      <c r="K1258" s="2" t="n">
        <v>1</v>
      </c>
      <c r="L1258" s="11" t="b">
        <f aca="false">TRUE()</f>
        <v>1</v>
      </c>
      <c r="M1258" s="2" t="s">
        <v>410</v>
      </c>
      <c r="N1258" s="2" t="n">
        <f aca="false">IF(E1258&gt;0,F1258/E1258,"")</f>
        <v>0</v>
      </c>
      <c r="O1258" s="2" t="n">
        <f aca="false">IF(AND(E1258&gt;0,L1258),J1258/E1258,"")</f>
        <v>1</v>
      </c>
    </row>
    <row r="1259" customFormat="false" ht="15" hidden="false" customHeight="false" outlineLevel="0" collapsed="false">
      <c r="A1259" s="2" t="n">
        <v>2024</v>
      </c>
      <c r="B1259" s="2" t="s">
        <v>631</v>
      </c>
      <c r="C1259" s="2" t="s">
        <v>518</v>
      </c>
      <c r="D1259" s="2" t="s">
        <v>24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11" t="b">
        <f aca="false">TRUE()</f>
        <v>1</v>
      </c>
      <c r="M1259" s="2" t="s">
        <v>410</v>
      </c>
      <c r="N1259" s="2" t="str">
        <f aca="false">IF(E1259&gt;0,F1259/E1259,"")</f>
        <v/>
      </c>
      <c r="O1259" s="2" t="str">
        <f aca="false">IF(AND(E1259&gt;0,L1259),J1259/E1259,"")</f>
        <v/>
      </c>
    </row>
    <row r="1260" customFormat="false" ht="15" hidden="false" customHeight="false" outlineLevel="0" collapsed="false">
      <c r="A1260" s="2" t="n">
        <v>2024</v>
      </c>
      <c r="B1260" s="2" t="s">
        <v>26</v>
      </c>
      <c r="C1260" s="2" t="s">
        <v>405</v>
      </c>
      <c r="D1260" s="2" t="s">
        <v>24</v>
      </c>
      <c r="E1260" s="2" t="n">
        <v>10</v>
      </c>
      <c r="F1260" s="2" t="n">
        <v>74</v>
      </c>
      <c r="G1260" s="2" t="n">
        <v>40</v>
      </c>
      <c r="H1260" s="2" t="n">
        <v>15</v>
      </c>
      <c r="I1260" s="2" t="n">
        <v>15</v>
      </c>
      <c r="J1260" s="2" t="n">
        <v>318</v>
      </c>
      <c r="K1260" s="2" t="n">
        <v>417</v>
      </c>
      <c r="L1260" s="11" t="b">
        <f aca="false">TRUE()</f>
        <v>1</v>
      </c>
      <c r="M1260" s="2" t="s">
        <v>406</v>
      </c>
      <c r="N1260" s="2" t="n">
        <f aca="false">IF(E1260&gt;0,F1260/E1260,"")</f>
        <v>7.4</v>
      </c>
      <c r="O1260" s="2" t="n">
        <f aca="false">IF(AND(E1260&gt;0,L1260),J1260/E1260,"")</f>
        <v>31.8</v>
      </c>
    </row>
    <row r="1261" customFormat="false" ht="15" hidden="false" customHeight="false" outlineLevel="0" collapsed="false">
      <c r="A1261" s="2" t="n">
        <v>2024</v>
      </c>
      <c r="B1261" s="2" t="s">
        <v>383</v>
      </c>
      <c r="C1261" s="2" t="s">
        <v>545</v>
      </c>
      <c r="D1261" s="2" t="s">
        <v>83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11" t="b">
        <f aca="false">TRUE()</f>
        <v>1</v>
      </c>
      <c r="M1261" s="2" t="s">
        <v>410</v>
      </c>
      <c r="N1261" s="2" t="str">
        <f aca="false">IF(E1261&gt;0,F1261/E1261,"")</f>
        <v/>
      </c>
      <c r="O1261" s="2" t="str">
        <f aca="false">IF(AND(E1261&gt;0,L1261),J1261/E1261,"")</f>
        <v/>
      </c>
    </row>
    <row r="1262" customFormat="false" ht="15" hidden="false" customHeight="false" outlineLevel="0" collapsed="false">
      <c r="A1262" s="2" t="n">
        <v>2024</v>
      </c>
      <c r="B1262" s="2" t="s">
        <v>174</v>
      </c>
      <c r="C1262" s="2" t="s">
        <v>408</v>
      </c>
      <c r="D1262" s="2" t="s">
        <v>83</v>
      </c>
      <c r="E1262" s="2" t="n">
        <v>10</v>
      </c>
      <c r="F1262" s="2" t="n">
        <v>3</v>
      </c>
      <c r="G1262" s="2" t="n">
        <v>1</v>
      </c>
      <c r="H1262" s="2" t="n">
        <v>1</v>
      </c>
      <c r="I1262" s="2" t="n">
        <v>1</v>
      </c>
      <c r="J1262" s="2" t="n">
        <v>58</v>
      </c>
      <c r="K1262" s="2" t="n">
        <v>62</v>
      </c>
      <c r="L1262" s="11" t="b">
        <f aca="false">TRUE()</f>
        <v>1</v>
      </c>
      <c r="M1262" s="2" t="s">
        <v>406</v>
      </c>
      <c r="N1262" s="2" t="n">
        <f aca="false">IF(E1262&gt;0,F1262/E1262,"")</f>
        <v>0.3</v>
      </c>
      <c r="O1262" s="2" t="n">
        <f aca="false">IF(AND(E1262&gt;0,L1262),J1262/E1262,"")</f>
        <v>5.8</v>
      </c>
    </row>
    <row r="1263" customFormat="false" ht="15" hidden="false" customHeight="false" outlineLevel="0" collapsed="false">
      <c r="A1263" s="2" t="n">
        <v>2024</v>
      </c>
      <c r="B1263" s="2" t="s">
        <v>86</v>
      </c>
      <c r="C1263" s="2" t="s">
        <v>420</v>
      </c>
      <c r="D1263" s="2" t="s">
        <v>29</v>
      </c>
      <c r="E1263" s="2" t="n">
        <v>6</v>
      </c>
      <c r="F1263" s="2" t="n">
        <v>17</v>
      </c>
      <c r="G1263" s="2" t="n">
        <v>11</v>
      </c>
      <c r="H1263" s="2" t="n">
        <v>5</v>
      </c>
      <c r="I1263" s="2" t="n">
        <v>0</v>
      </c>
      <c r="J1263" s="2" t="n">
        <v>74</v>
      </c>
      <c r="K1263" s="2" t="n">
        <v>95</v>
      </c>
      <c r="L1263" s="11" t="b">
        <f aca="false">TRUE()</f>
        <v>1</v>
      </c>
      <c r="M1263" s="2" t="s">
        <v>406</v>
      </c>
      <c r="N1263" s="2" t="n">
        <f aca="false">IF(E1263&gt;0,F1263/E1263,"")</f>
        <v>2.83333333333333</v>
      </c>
      <c r="O1263" s="2" t="n">
        <f aca="false">IF(AND(E1263&gt;0,L1263),J1263/E1263,"")</f>
        <v>12.3333333333333</v>
      </c>
    </row>
    <row r="1264" customFormat="false" ht="15" hidden="false" customHeight="false" outlineLevel="0" collapsed="false">
      <c r="A1264" s="2" t="n">
        <v>2024</v>
      </c>
      <c r="B1264" s="2" t="s">
        <v>357</v>
      </c>
      <c r="C1264" s="2" t="s">
        <v>405</v>
      </c>
      <c r="D1264" s="2" t="s">
        <v>24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11" t="b">
        <f aca="false">TRUE()</f>
        <v>1</v>
      </c>
      <c r="M1264" s="2" t="s">
        <v>410</v>
      </c>
      <c r="N1264" s="2" t="str">
        <f aca="false">IF(E1264&gt;0,F1264/E1264,"")</f>
        <v/>
      </c>
      <c r="O1264" s="2" t="str">
        <f aca="false">IF(AND(E1264&gt;0,L1264),J1264/E1264,"")</f>
        <v/>
      </c>
    </row>
    <row r="1265" customFormat="false" ht="15" hidden="false" customHeight="false" outlineLevel="0" collapsed="false">
      <c r="A1265" s="2" t="n">
        <v>2024</v>
      </c>
      <c r="B1265" s="2" t="s">
        <v>139</v>
      </c>
      <c r="C1265" s="2" t="s">
        <v>622</v>
      </c>
      <c r="D1265" s="2" t="s">
        <v>115</v>
      </c>
      <c r="E1265" s="2" t="n">
        <v>10</v>
      </c>
      <c r="F1265" s="2" t="n">
        <v>12</v>
      </c>
      <c r="G1265" s="2" t="n">
        <v>10</v>
      </c>
      <c r="H1265" s="2" t="n">
        <v>1</v>
      </c>
      <c r="I1265" s="2" t="n">
        <v>1</v>
      </c>
      <c r="J1265" s="2" t="n">
        <v>66</v>
      </c>
      <c r="K1265" s="2" t="n">
        <v>83</v>
      </c>
      <c r="L1265" s="11" t="b">
        <f aca="false">TRUE()</f>
        <v>1</v>
      </c>
      <c r="M1265" s="2" t="s">
        <v>406</v>
      </c>
      <c r="N1265" s="2" t="n">
        <f aca="false">IF(E1265&gt;0,F1265/E1265,"")</f>
        <v>1.2</v>
      </c>
      <c r="O1265" s="2" t="n">
        <f aca="false">IF(AND(E1265&gt;0,L1265),J1265/E1265,"")</f>
        <v>6.6</v>
      </c>
    </row>
    <row r="1266" customFormat="false" ht="15" hidden="false" customHeight="false" outlineLevel="0" collapsed="false">
      <c r="A1266" s="2" t="n">
        <v>2024</v>
      </c>
      <c r="B1266" s="2" t="s">
        <v>77</v>
      </c>
      <c r="C1266" s="2" t="s">
        <v>414</v>
      </c>
      <c r="D1266" s="2" t="s">
        <v>29</v>
      </c>
      <c r="E1266" s="2" t="n">
        <v>7</v>
      </c>
      <c r="F1266" s="2" t="n">
        <v>27</v>
      </c>
      <c r="G1266" s="2" t="n">
        <v>19</v>
      </c>
      <c r="H1266" s="2" t="n">
        <v>10</v>
      </c>
      <c r="I1266" s="2" t="n">
        <v>3</v>
      </c>
      <c r="J1266" s="2" t="n">
        <v>100</v>
      </c>
      <c r="K1266" s="2" t="n">
        <v>139</v>
      </c>
      <c r="L1266" s="11" t="b">
        <f aca="false">TRUE()</f>
        <v>1</v>
      </c>
      <c r="M1266" s="2" t="s">
        <v>406</v>
      </c>
      <c r="N1266" s="2" t="n">
        <f aca="false">IF(E1266&gt;0,F1266/E1266,"")</f>
        <v>3.85714285714286</v>
      </c>
      <c r="O1266" s="2" t="n">
        <f aca="false">IF(AND(E1266&gt;0,L1266),J1266/E1266,"")</f>
        <v>14.2857142857143</v>
      </c>
    </row>
    <row r="1267" customFormat="false" ht="15" hidden="false" customHeight="false" outlineLevel="0" collapsed="false">
      <c r="A1267" s="2" t="n">
        <v>2024</v>
      </c>
      <c r="B1267" s="2" t="s">
        <v>310</v>
      </c>
      <c r="C1267" s="2" t="s">
        <v>420</v>
      </c>
      <c r="D1267" s="2" t="s">
        <v>117</v>
      </c>
      <c r="E1267" s="2" t="n">
        <v>3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13</v>
      </c>
      <c r="K1267" s="2" t="n">
        <v>14</v>
      </c>
      <c r="L1267" s="11" t="b">
        <f aca="false">TRUE()</f>
        <v>1</v>
      </c>
      <c r="M1267" s="2" t="s">
        <v>406</v>
      </c>
      <c r="N1267" s="2" t="n">
        <f aca="false">IF(E1267&gt;0,F1267/E1267,"")</f>
        <v>0</v>
      </c>
      <c r="O1267" s="2" t="n">
        <f aca="false">IF(AND(E1267&gt;0,L1267),J1267/E1267,"")</f>
        <v>4.33333333333333</v>
      </c>
    </row>
    <row r="1268" customFormat="false" ht="15" hidden="false" customHeight="false" outlineLevel="0" collapsed="false">
      <c r="A1268" s="2" t="n">
        <v>2024</v>
      </c>
      <c r="B1268" s="2" t="s">
        <v>163</v>
      </c>
      <c r="C1268" s="2" t="s">
        <v>414</v>
      </c>
      <c r="D1268" s="2" t="s">
        <v>83</v>
      </c>
      <c r="E1268" s="2" t="n">
        <v>10</v>
      </c>
      <c r="F1268" s="2" t="n">
        <v>7</v>
      </c>
      <c r="G1268" s="2" t="n">
        <v>5</v>
      </c>
      <c r="H1268" s="2" t="n">
        <v>4</v>
      </c>
      <c r="I1268" s="2" t="n">
        <v>1</v>
      </c>
      <c r="J1268" s="2" t="n">
        <v>78</v>
      </c>
      <c r="K1268" s="2" t="n">
        <v>91</v>
      </c>
      <c r="L1268" s="11" t="b">
        <f aca="false">TRUE()</f>
        <v>1</v>
      </c>
      <c r="M1268" s="2" t="s">
        <v>406</v>
      </c>
      <c r="N1268" s="2" t="n">
        <f aca="false">IF(E1268&gt;0,F1268/E1268,"")</f>
        <v>0.7</v>
      </c>
      <c r="O1268" s="2" t="n">
        <f aca="false">IF(AND(E1268&gt;0,L1268),J1268/E1268,"")</f>
        <v>7.8</v>
      </c>
    </row>
    <row r="1269" customFormat="false" ht="15" hidden="false" customHeight="false" outlineLevel="0" collapsed="false">
      <c r="A1269" s="2" t="n">
        <v>2024</v>
      </c>
      <c r="B1269" s="2" t="s">
        <v>270</v>
      </c>
      <c r="C1269" s="2" t="s">
        <v>545</v>
      </c>
      <c r="D1269" s="2" t="s">
        <v>117</v>
      </c>
      <c r="E1269" s="2" t="n">
        <v>4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13</v>
      </c>
      <c r="K1269" s="2" t="n">
        <v>13</v>
      </c>
      <c r="L1269" s="11" t="b">
        <f aca="false">TRUE()</f>
        <v>1</v>
      </c>
      <c r="M1269" s="2" t="s">
        <v>406</v>
      </c>
      <c r="N1269" s="2" t="n">
        <f aca="false">IF(E1269&gt;0,F1269/E1269,"")</f>
        <v>0</v>
      </c>
      <c r="O1269" s="2" t="n">
        <f aca="false">IF(AND(E1269&gt;0,L1269),J1269/E1269,"")</f>
        <v>3.25</v>
      </c>
    </row>
    <row r="1270" customFormat="false" ht="15" hidden="false" customHeight="false" outlineLevel="0" collapsed="false">
      <c r="A1270" s="2" t="n">
        <v>2024</v>
      </c>
      <c r="B1270" s="2" t="s">
        <v>185</v>
      </c>
      <c r="C1270" s="2" t="s">
        <v>545</v>
      </c>
      <c r="D1270" s="2" t="s">
        <v>115</v>
      </c>
      <c r="E1270" s="2" t="n">
        <v>10</v>
      </c>
      <c r="F1270" s="2" t="n">
        <v>6</v>
      </c>
      <c r="G1270" s="2" t="n">
        <v>4</v>
      </c>
      <c r="H1270" s="2" t="n">
        <v>1</v>
      </c>
      <c r="I1270" s="2" t="n">
        <v>1</v>
      </c>
      <c r="J1270" s="2" t="n">
        <v>40</v>
      </c>
      <c r="K1270" s="2" t="n">
        <v>49</v>
      </c>
      <c r="L1270" s="11" t="b">
        <f aca="false">TRUE()</f>
        <v>1</v>
      </c>
      <c r="M1270" s="2" t="s">
        <v>406</v>
      </c>
      <c r="N1270" s="2" t="n">
        <f aca="false">IF(E1270&gt;0,F1270/E1270,"")</f>
        <v>0.6</v>
      </c>
      <c r="O1270" s="2" t="n">
        <f aca="false">IF(AND(E1270&gt;0,L1270),J1270/E1270,"")</f>
        <v>4</v>
      </c>
    </row>
    <row r="1271" customFormat="false" ht="15" hidden="false" customHeight="false" outlineLevel="0" collapsed="false">
      <c r="A1271" s="2" t="n">
        <v>2024</v>
      </c>
      <c r="B1271" s="2" t="s">
        <v>42</v>
      </c>
      <c r="C1271" s="2" t="s">
        <v>414</v>
      </c>
      <c r="D1271" s="2" t="s">
        <v>24</v>
      </c>
      <c r="E1271" s="2" t="n">
        <v>9</v>
      </c>
      <c r="F1271" s="2" t="n">
        <v>41</v>
      </c>
      <c r="G1271" s="2" t="n">
        <v>26</v>
      </c>
      <c r="H1271" s="2" t="n">
        <v>12</v>
      </c>
      <c r="I1271" s="2" t="n">
        <v>6</v>
      </c>
      <c r="J1271" s="2" t="n">
        <v>154</v>
      </c>
      <c r="K1271" s="2" t="n">
        <v>212</v>
      </c>
      <c r="L1271" s="11" t="b">
        <f aca="false">TRUE()</f>
        <v>1</v>
      </c>
      <c r="M1271" s="2" t="s">
        <v>406</v>
      </c>
      <c r="N1271" s="2" t="n">
        <f aca="false">IF(E1271&gt;0,F1271/E1271,"")</f>
        <v>4.55555555555556</v>
      </c>
      <c r="O1271" s="2" t="n">
        <f aca="false">IF(AND(E1271&gt;0,L1271),J1271/E1271,"")</f>
        <v>17.1111111111111</v>
      </c>
    </row>
    <row r="1272" customFormat="false" ht="15" hidden="false" customHeight="false" outlineLevel="0" collapsed="false">
      <c r="A1272" s="2" t="n">
        <v>2024</v>
      </c>
      <c r="B1272" s="2" t="s">
        <v>130</v>
      </c>
      <c r="C1272" s="2" t="s">
        <v>518</v>
      </c>
      <c r="D1272" s="2" t="s">
        <v>117</v>
      </c>
      <c r="E1272" s="2" t="n">
        <v>10</v>
      </c>
      <c r="F1272" s="2" t="n">
        <v>3</v>
      </c>
      <c r="G1272" s="2" t="n">
        <v>1</v>
      </c>
      <c r="H1272" s="2" t="n">
        <v>1</v>
      </c>
      <c r="I1272" s="2" t="n">
        <v>1</v>
      </c>
      <c r="J1272" s="2" t="n">
        <v>93</v>
      </c>
      <c r="K1272" s="2" t="n">
        <v>100</v>
      </c>
      <c r="L1272" s="11" t="b">
        <f aca="false">TRUE()</f>
        <v>1</v>
      </c>
      <c r="M1272" s="2" t="s">
        <v>406</v>
      </c>
      <c r="N1272" s="2" t="n">
        <f aca="false">IF(E1272&gt;0,F1272/E1272,"")</f>
        <v>0.3</v>
      </c>
      <c r="O1272" s="2" t="n">
        <f aca="false">IF(AND(E1272&gt;0,L1272),J1272/E1272,"")</f>
        <v>9.3</v>
      </c>
    </row>
    <row r="1273" customFormat="false" ht="15" hidden="false" customHeight="false" outlineLevel="0" collapsed="false">
      <c r="A1273" s="2" t="n">
        <v>2024</v>
      </c>
      <c r="B1273" s="2" t="s">
        <v>209</v>
      </c>
      <c r="C1273" s="2" t="s">
        <v>518</v>
      </c>
      <c r="D1273" s="2" t="s">
        <v>115</v>
      </c>
      <c r="E1273" s="2" t="n">
        <v>10</v>
      </c>
      <c r="F1273" s="2" t="n">
        <v>6</v>
      </c>
      <c r="G1273" s="2" t="n">
        <v>6</v>
      </c>
      <c r="H1273" s="2" t="n">
        <v>4</v>
      </c>
      <c r="I1273" s="2" t="n">
        <v>0</v>
      </c>
      <c r="J1273" s="2" t="n">
        <v>31</v>
      </c>
      <c r="K1273" s="2" t="n">
        <v>43</v>
      </c>
      <c r="L1273" s="11" t="b">
        <f aca="false">TRUE()</f>
        <v>1</v>
      </c>
      <c r="M1273" s="2" t="s">
        <v>406</v>
      </c>
      <c r="N1273" s="2" t="n">
        <f aca="false">IF(E1273&gt;0,F1273/E1273,"")</f>
        <v>0.6</v>
      </c>
      <c r="O1273" s="2" t="n">
        <f aca="false">IF(AND(E1273&gt;0,L1273),J1273/E1273,"")</f>
        <v>3.1</v>
      </c>
    </row>
    <row r="1274" customFormat="false" ht="15" hidden="false" customHeight="false" outlineLevel="0" collapsed="false">
      <c r="A1274" s="2" t="n">
        <v>2024</v>
      </c>
      <c r="B1274" s="2" t="s">
        <v>114</v>
      </c>
      <c r="C1274" s="2" t="s">
        <v>420</v>
      </c>
      <c r="D1274" s="2" t="s">
        <v>115</v>
      </c>
      <c r="E1274" s="2" t="n">
        <v>10</v>
      </c>
      <c r="F1274" s="2" t="n">
        <v>4</v>
      </c>
      <c r="G1274" s="2" t="n">
        <v>3</v>
      </c>
      <c r="H1274" s="2" t="n">
        <v>0</v>
      </c>
      <c r="I1274" s="2" t="n">
        <v>0</v>
      </c>
      <c r="J1274" s="2" t="n">
        <v>55</v>
      </c>
      <c r="K1274" s="2" t="n">
        <v>61</v>
      </c>
      <c r="L1274" s="11" t="b">
        <f aca="false">TRUE()</f>
        <v>1</v>
      </c>
      <c r="M1274" s="2" t="s">
        <v>406</v>
      </c>
      <c r="N1274" s="2" t="n">
        <f aca="false">IF(E1274&gt;0,F1274/E1274,"")</f>
        <v>0.4</v>
      </c>
      <c r="O1274" s="2" t="n">
        <f aca="false">IF(AND(E1274&gt;0,L1274),J1274/E1274,"")</f>
        <v>5.5</v>
      </c>
    </row>
    <row r="1275" customFormat="false" ht="15" hidden="false" customHeight="false" outlineLevel="0" collapsed="false">
      <c r="A1275" s="2" t="n">
        <v>2024</v>
      </c>
      <c r="B1275" s="2" t="s">
        <v>147</v>
      </c>
      <c r="C1275" s="2" t="s">
        <v>412</v>
      </c>
      <c r="D1275" s="2" t="s">
        <v>29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11" t="b">
        <f aca="false">TRUE()</f>
        <v>1</v>
      </c>
      <c r="M1275" s="2" t="s">
        <v>410</v>
      </c>
      <c r="N1275" s="2" t="str">
        <f aca="false">IF(E1275&gt;0,F1275/E1275,"")</f>
        <v/>
      </c>
      <c r="O1275" s="2" t="str">
        <f aca="false">IF(AND(E1275&gt;0,L1275),J1275/E1275,"")</f>
        <v/>
      </c>
    </row>
    <row r="1276" customFormat="false" ht="15" hidden="false" customHeight="false" outlineLevel="0" collapsed="false">
      <c r="A1276" s="2" t="n">
        <v>2024</v>
      </c>
      <c r="B1276" s="2" t="s">
        <v>614</v>
      </c>
      <c r="C1276" s="2" t="s">
        <v>420</v>
      </c>
      <c r="D1276" s="2" t="s">
        <v>413</v>
      </c>
      <c r="E1276" s="2" t="n">
        <v>1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4</v>
      </c>
      <c r="K1276" s="2" t="n">
        <v>5</v>
      </c>
      <c r="L1276" s="11" t="b">
        <f aca="false">TRUE()</f>
        <v>1</v>
      </c>
      <c r="M1276" s="2" t="s">
        <v>410</v>
      </c>
      <c r="N1276" s="2" t="n">
        <f aca="false">IF(E1276&gt;0,F1276/E1276,"")</f>
        <v>0</v>
      </c>
      <c r="O1276" s="2" t="n">
        <f aca="false">IF(AND(E1276&gt;0,L1276),J1276/E1276,"")</f>
        <v>4</v>
      </c>
    </row>
    <row r="1277" customFormat="false" ht="15" hidden="false" customHeight="false" outlineLevel="0" collapsed="false">
      <c r="A1277" s="2" t="n">
        <v>2024</v>
      </c>
      <c r="B1277" s="2" t="s">
        <v>165</v>
      </c>
      <c r="C1277" s="2" t="s">
        <v>420</v>
      </c>
      <c r="D1277" s="2" t="s">
        <v>83</v>
      </c>
      <c r="E1277" s="2" t="n">
        <v>10</v>
      </c>
      <c r="F1277" s="2" t="n">
        <v>3</v>
      </c>
      <c r="G1277" s="2" t="n">
        <v>2</v>
      </c>
      <c r="H1277" s="2" t="n">
        <v>1</v>
      </c>
      <c r="I1277" s="2" t="n">
        <v>1</v>
      </c>
      <c r="J1277" s="2" t="n">
        <v>75</v>
      </c>
      <c r="K1277" s="2" t="n">
        <v>82</v>
      </c>
      <c r="L1277" s="11" t="b">
        <f aca="false">TRUE()</f>
        <v>1</v>
      </c>
      <c r="M1277" s="2" t="s">
        <v>406</v>
      </c>
      <c r="N1277" s="2" t="n">
        <f aca="false">IF(E1277&gt;0,F1277/E1277,"")</f>
        <v>0.3</v>
      </c>
      <c r="O1277" s="2" t="n">
        <f aca="false">IF(AND(E1277&gt;0,L1277),J1277/E1277,"")</f>
        <v>7.5</v>
      </c>
    </row>
    <row r="1278" customFormat="false" ht="15" hidden="false" customHeight="false" outlineLevel="0" collapsed="false">
      <c r="A1278" s="2" t="n">
        <v>2024</v>
      </c>
      <c r="B1278" s="2" t="s">
        <v>162</v>
      </c>
      <c r="C1278" s="2" t="s">
        <v>412</v>
      </c>
      <c r="D1278" s="2" t="s">
        <v>117</v>
      </c>
      <c r="E1278" s="2" t="n">
        <v>10</v>
      </c>
      <c r="F1278" s="2" t="n">
        <v>1</v>
      </c>
      <c r="G1278" s="2" t="n">
        <v>1</v>
      </c>
      <c r="H1278" s="2" t="n">
        <v>0</v>
      </c>
      <c r="I1278" s="2" t="n">
        <v>0</v>
      </c>
      <c r="J1278" s="2" t="n">
        <v>41</v>
      </c>
      <c r="K1278" s="2" t="n">
        <v>45</v>
      </c>
      <c r="L1278" s="11" t="b">
        <f aca="false">TRUE()</f>
        <v>1</v>
      </c>
      <c r="M1278" s="2" t="s">
        <v>406</v>
      </c>
      <c r="N1278" s="2" t="n">
        <f aca="false">IF(E1278&gt;0,F1278/E1278,"")</f>
        <v>0.1</v>
      </c>
      <c r="O1278" s="2" t="n">
        <f aca="false">IF(AND(E1278&gt;0,L1278),J1278/E1278,"")</f>
        <v>4.1</v>
      </c>
    </row>
    <row r="1279" customFormat="false" ht="15" hidden="false" customHeight="false" outlineLevel="0" collapsed="false">
      <c r="A1279" s="2" t="n">
        <v>2024</v>
      </c>
      <c r="B1279" s="2" t="s">
        <v>297</v>
      </c>
      <c r="C1279" s="2" t="s">
        <v>412</v>
      </c>
      <c r="D1279" s="2" t="s">
        <v>83</v>
      </c>
      <c r="E1279" s="2" t="n">
        <v>10</v>
      </c>
      <c r="F1279" s="2" t="n">
        <v>5</v>
      </c>
      <c r="G1279" s="2" t="n">
        <v>4</v>
      </c>
      <c r="H1279" s="2" t="n">
        <v>2</v>
      </c>
      <c r="I1279" s="2" t="n">
        <v>0</v>
      </c>
      <c r="J1279" s="2" t="n">
        <v>30</v>
      </c>
      <c r="K1279" s="2" t="n">
        <v>36</v>
      </c>
      <c r="L1279" s="11" t="b">
        <f aca="false">TRUE()</f>
        <v>1</v>
      </c>
      <c r="M1279" s="2" t="s">
        <v>406</v>
      </c>
      <c r="N1279" s="2" t="n">
        <f aca="false">IF(E1279&gt;0,F1279/E1279,"")</f>
        <v>0.5</v>
      </c>
      <c r="O1279" s="2" t="n">
        <f aca="false">IF(AND(E1279&gt;0,L1279),J1279/E1279,"")</f>
        <v>3</v>
      </c>
    </row>
    <row r="1280" customFormat="false" ht="15" hidden="false" customHeight="false" outlineLevel="0" collapsed="false">
      <c r="A1280" s="2" t="n">
        <v>2024</v>
      </c>
      <c r="B1280" s="2" t="s">
        <v>194</v>
      </c>
      <c r="C1280" s="2" t="s">
        <v>518</v>
      </c>
      <c r="D1280" s="2" t="s">
        <v>83</v>
      </c>
      <c r="E1280" s="2" t="n">
        <v>9</v>
      </c>
      <c r="F1280" s="2" t="n">
        <v>3</v>
      </c>
      <c r="G1280" s="2" t="n">
        <v>3</v>
      </c>
      <c r="H1280" s="2" t="n">
        <v>0</v>
      </c>
      <c r="I1280" s="2" t="n">
        <v>2</v>
      </c>
      <c r="J1280" s="2" t="n">
        <v>51</v>
      </c>
      <c r="K1280" s="2" t="n">
        <v>55</v>
      </c>
      <c r="L1280" s="11" t="b">
        <f aca="false">TRUE()</f>
        <v>1</v>
      </c>
      <c r="M1280" s="2" t="s">
        <v>406</v>
      </c>
      <c r="N1280" s="2" t="n">
        <f aca="false">IF(E1280&gt;0,F1280/E1280,"")</f>
        <v>0.333333333333333</v>
      </c>
      <c r="O1280" s="2" t="n">
        <f aca="false">IF(AND(E1280&gt;0,L1280),J1280/E1280,"")</f>
        <v>5.66666666666667</v>
      </c>
    </row>
    <row r="1281" customFormat="false" ht="15" hidden="false" customHeight="false" outlineLevel="0" collapsed="false">
      <c r="A1281" s="2" t="n">
        <v>2024</v>
      </c>
      <c r="B1281" s="2" t="s">
        <v>487</v>
      </c>
      <c r="C1281" s="2" t="s">
        <v>420</v>
      </c>
      <c r="D1281" s="2" t="s">
        <v>409</v>
      </c>
      <c r="E1281" s="2" t="n">
        <v>8</v>
      </c>
      <c r="F1281" s="2" t="n">
        <v>2</v>
      </c>
      <c r="G1281" s="2" t="n">
        <v>1</v>
      </c>
      <c r="H1281" s="2" t="n">
        <v>1</v>
      </c>
      <c r="I1281" s="2" t="n">
        <v>2</v>
      </c>
      <c r="J1281" s="2" t="n">
        <v>104</v>
      </c>
      <c r="K1281" s="2" t="n">
        <v>109</v>
      </c>
      <c r="L1281" s="11" t="b">
        <f aca="false">TRUE()</f>
        <v>1</v>
      </c>
      <c r="M1281" s="2" t="s">
        <v>410</v>
      </c>
      <c r="N1281" s="2" t="n">
        <f aca="false">IF(E1281&gt;0,F1281/E1281,"")</f>
        <v>0.25</v>
      </c>
      <c r="O1281" s="2" t="n">
        <f aca="false">IF(AND(E1281&gt;0,L1281),J1281/E1281,"")</f>
        <v>13</v>
      </c>
    </row>
    <row r="1282" customFormat="false" ht="15" hidden="false" customHeight="false" outlineLevel="0" collapsed="false">
      <c r="A1282" s="2" t="n">
        <v>2024</v>
      </c>
      <c r="B1282" s="2" t="s">
        <v>253</v>
      </c>
      <c r="C1282" s="2" t="s">
        <v>408</v>
      </c>
      <c r="D1282" s="2" t="s">
        <v>115</v>
      </c>
      <c r="E1282" s="2" t="n">
        <v>9</v>
      </c>
      <c r="F1282" s="2" t="n">
        <v>2</v>
      </c>
      <c r="G1282" s="2" t="n">
        <v>1</v>
      </c>
      <c r="H1282" s="2" t="n">
        <v>0</v>
      </c>
      <c r="I1282" s="2" t="n">
        <v>0</v>
      </c>
      <c r="J1282" s="2" t="n">
        <v>29</v>
      </c>
      <c r="K1282" s="2" t="n">
        <v>33</v>
      </c>
      <c r="L1282" s="11" t="b">
        <f aca="false">TRUE()</f>
        <v>1</v>
      </c>
      <c r="M1282" s="2" t="s">
        <v>406</v>
      </c>
      <c r="N1282" s="2" t="n">
        <f aca="false">IF(E1282&gt;0,F1282/E1282,"")</f>
        <v>0.222222222222222</v>
      </c>
      <c r="O1282" s="2" t="n">
        <f aca="false">IF(AND(E1282&gt;0,L1282),J1282/E1282,"")</f>
        <v>3.22222222222222</v>
      </c>
    </row>
    <row r="1283" customFormat="false" ht="15" hidden="false" customHeight="false" outlineLevel="0" collapsed="false">
      <c r="A1283" s="2" t="n">
        <v>2024</v>
      </c>
      <c r="B1283" s="2" t="s">
        <v>350</v>
      </c>
      <c r="C1283" s="2" t="s">
        <v>545</v>
      </c>
      <c r="D1283" s="2" t="s">
        <v>24</v>
      </c>
      <c r="E1283" s="2" t="n">
        <v>1</v>
      </c>
      <c r="F1283" s="2" t="n">
        <v>1</v>
      </c>
      <c r="G1283" s="2" t="n">
        <v>1</v>
      </c>
      <c r="H1283" s="2" t="n">
        <v>0</v>
      </c>
      <c r="I1283" s="2" t="n">
        <v>0</v>
      </c>
      <c r="J1283" s="2" t="n">
        <v>21</v>
      </c>
      <c r="K1283" s="2" t="n">
        <v>24</v>
      </c>
      <c r="L1283" s="11" t="b">
        <f aca="false">TRUE()</f>
        <v>1</v>
      </c>
      <c r="M1283" s="2" t="s">
        <v>410</v>
      </c>
      <c r="N1283" s="2" t="n">
        <f aca="false">IF(E1283&gt;0,F1283/E1283,"")</f>
        <v>1</v>
      </c>
      <c r="O1283" s="2" t="n">
        <f aca="false">IF(AND(E1283&gt;0,L1283),J1283/E1283,"")</f>
        <v>21</v>
      </c>
    </row>
    <row r="1284" customFormat="false" ht="15" hidden="false" customHeight="false" outlineLevel="0" collapsed="false">
      <c r="A1284" s="2" t="n">
        <v>2024</v>
      </c>
      <c r="B1284" s="2" t="s">
        <v>172</v>
      </c>
      <c r="C1284" s="2" t="s">
        <v>408</v>
      </c>
      <c r="D1284" s="2" t="s">
        <v>29</v>
      </c>
      <c r="E1284" s="2" t="n">
        <v>1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6</v>
      </c>
      <c r="K1284" s="2" t="n">
        <v>9</v>
      </c>
      <c r="L1284" s="11" t="b">
        <f aca="false">TRUE()</f>
        <v>1</v>
      </c>
      <c r="M1284" s="2" t="s">
        <v>410</v>
      </c>
      <c r="N1284" s="2" t="n">
        <f aca="false">IF(E1284&gt;0,F1284/E1284,"")</f>
        <v>0</v>
      </c>
      <c r="O1284" s="2" t="n">
        <f aca="false">IF(AND(E1284&gt;0,L1284),J1284/E1284,"")</f>
        <v>6</v>
      </c>
    </row>
    <row r="1285" customFormat="false" ht="15" hidden="false" customHeight="false" outlineLevel="0" collapsed="false">
      <c r="A1285" s="2" t="n">
        <v>2024</v>
      </c>
      <c r="B1285" s="2" t="s">
        <v>219</v>
      </c>
      <c r="C1285" s="2" t="s">
        <v>405</v>
      </c>
      <c r="D1285" s="2" t="s">
        <v>29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11" t="b">
        <f aca="false">TRUE()</f>
        <v>1</v>
      </c>
      <c r="M1285" s="2" t="s">
        <v>410</v>
      </c>
      <c r="N1285" s="2" t="str">
        <f aca="false">IF(E1285&gt;0,F1285/E1285,"")</f>
        <v/>
      </c>
      <c r="O1285" s="2" t="str">
        <f aca="false">IF(AND(E1285&gt;0,L1285),J1285/E1285,"")</f>
        <v/>
      </c>
    </row>
    <row r="1286" customFormat="false" ht="15" hidden="false" customHeight="false" outlineLevel="0" collapsed="false">
      <c r="A1286" s="2" t="n">
        <v>2024</v>
      </c>
      <c r="B1286" s="2" t="s">
        <v>159</v>
      </c>
      <c r="C1286" s="2" t="s">
        <v>420</v>
      </c>
      <c r="D1286" s="2" t="s">
        <v>117</v>
      </c>
      <c r="E1286" s="2" t="n">
        <v>10</v>
      </c>
      <c r="F1286" s="2" t="n">
        <v>2</v>
      </c>
      <c r="G1286" s="2" t="n">
        <v>2</v>
      </c>
      <c r="H1286" s="2" t="n">
        <v>1</v>
      </c>
      <c r="I1286" s="2" t="n">
        <v>0</v>
      </c>
      <c r="J1286" s="2" t="n">
        <v>54</v>
      </c>
      <c r="K1286" s="2" t="n">
        <v>60</v>
      </c>
      <c r="L1286" s="11" t="b">
        <f aca="false">TRUE()</f>
        <v>1</v>
      </c>
      <c r="M1286" s="2" t="s">
        <v>406</v>
      </c>
      <c r="N1286" s="2" t="n">
        <f aca="false">IF(E1286&gt;0,F1286/E1286,"")</f>
        <v>0.2</v>
      </c>
      <c r="O1286" s="2" t="n">
        <f aca="false">IF(AND(E1286&gt;0,L1286),J1286/E1286,"")</f>
        <v>5.4</v>
      </c>
    </row>
    <row r="1287" customFormat="false" ht="15" hidden="false" customHeight="false" outlineLevel="0" collapsed="false">
      <c r="A1287" s="2" t="n">
        <v>2024</v>
      </c>
      <c r="B1287" s="2" t="s">
        <v>616</v>
      </c>
      <c r="C1287" s="2" t="s">
        <v>420</v>
      </c>
      <c r="D1287" s="2" t="s">
        <v>413</v>
      </c>
      <c r="E1287" s="2" t="n">
        <v>9</v>
      </c>
      <c r="F1287" s="2" t="n">
        <v>11</v>
      </c>
      <c r="G1287" s="2" t="n">
        <v>6</v>
      </c>
      <c r="H1287" s="2" t="n">
        <v>1</v>
      </c>
      <c r="I1287" s="2" t="n">
        <v>1</v>
      </c>
      <c r="J1287" s="2" t="n">
        <v>32</v>
      </c>
      <c r="K1287" s="2" t="n">
        <v>51</v>
      </c>
      <c r="L1287" s="11" t="b">
        <f aca="false">TRUE()</f>
        <v>1</v>
      </c>
      <c r="M1287" s="2" t="s">
        <v>410</v>
      </c>
      <c r="N1287" s="2" t="n">
        <f aca="false">IF(E1287&gt;0,F1287/E1287,"")</f>
        <v>1.22222222222222</v>
      </c>
      <c r="O1287" s="2" t="n">
        <f aca="false">IF(AND(E1287&gt;0,L1287),J1287/E1287,"")</f>
        <v>3.55555555555556</v>
      </c>
    </row>
    <row r="1288" customFormat="false" ht="15" hidden="false" customHeight="false" outlineLevel="0" collapsed="false">
      <c r="A1288" s="2" t="n">
        <v>2024</v>
      </c>
      <c r="B1288" s="2" t="s">
        <v>264</v>
      </c>
      <c r="C1288" s="2" t="s">
        <v>518</v>
      </c>
      <c r="D1288" s="2" t="s">
        <v>115</v>
      </c>
      <c r="E1288" s="2" t="n">
        <v>6</v>
      </c>
      <c r="F1288" s="2" t="n">
        <v>3</v>
      </c>
      <c r="G1288" s="2" t="n">
        <v>2</v>
      </c>
      <c r="H1288" s="2" t="n">
        <v>0</v>
      </c>
      <c r="I1288" s="2" t="n">
        <v>0</v>
      </c>
      <c r="J1288" s="2" t="n">
        <v>20</v>
      </c>
      <c r="K1288" s="2" t="n">
        <v>24</v>
      </c>
      <c r="L1288" s="11" t="b">
        <f aca="false">TRUE()</f>
        <v>1</v>
      </c>
      <c r="M1288" s="2" t="s">
        <v>406</v>
      </c>
      <c r="N1288" s="2" t="n">
        <f aca="false">IF(E1288&gt;0,F1288/E1288,"")</f>
        <v>0.5</v>
      </c>
      <c r="O1288" s="2" t="n">
        <f aca="false">IF(AND(E1288&gt;0,L1288),J1288/E1288,"")</f>
        <v>3.33333333333333</v>
      </c>
    </row>
    <row r="1289" customFormat="false" ht="15" hidden="false" customHeight="false" outlineLevel="0" collapsed="false">
      <c r="A1289" s="2" t="n">
        <v>2024</v>
      </c>
      <c r="B1289" s="2" t="s">
        <v>240</v>
      </c>
      <c r="C1289" s="2" t="s">
        <v>622</v>
      </c>
      <c r="D1289" s="2" t="s">
        <v>115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11" t="b">
        <f aca="false">TRUE()</f>
        <v>1</v>
      </c>
      <c r="M1289" s="2" t="s">
        <v>410</v>
      </c>
      <c r="N1289" s="2" t="str">
        <f aca="false">IF(E1289&gt;0,F1289/E1289,"")</f>
        <v/>
      </c>
      <c r="O1289" s="2" t="str">
        <f aca="false">IF(AND(E1289&gt;0,L1289),J1289/E1289,"")</f>
        <v/>
      </c>
    </row>
    <row r="1290" customFormat="false" ht="15" hidden="false" customHeight="false" outlineLevel="0" collapsed="false">
      <c r="A1290" s="2" t="n">
        <v>2024</v>
      </c>
      <c r="B1290" s="2" t="s">
        <v>617</v>
      </c>
      <c r="C1290" s="2" t="s">
        <v>545</v>
      </c>
      <c r="D1290" s="2" t="s">
        <v>117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11" t="b">
        <f aca="false">TRUE()</f>
        <v>1</v>
      </c>
      <c r="M1290" s="2" t="s">
        <v>410</v>
      </c>
      <c r="N1290" s="2" t="str">
        <f aca="false">IF(E1290&gt;0,F1290/E1290,"")</f>
        <v/>
      </c>
      <c r="O1290" s="2" t="str">
        <f aca="false">IF(AND(E1290&gt;0,L1290),J1290/E1290,"")</f>
        <v/>
      </c>
    </row>
    <row r="1291" customFormat="false" ht="15" hidden="false" customHeight="false" outlineLevel="0" collapsed="false">
      <c r="A1291" s="2" t="n">
        <v>2024</v>
      </c>
      <c r="B1291" s="2" t="s">
        <v>171</v>
      </c>
      <c r="C1291" s="2" t="s">
        <v>518</v>
      </c>
      <c r="D1291" s="2" t="s">
        <v>83</v>
      </c>
      <c r="E1291" s="2" t="n">
        <v>9</v>
      </c>
      <c r="F1291" s="2" t="n">
        <v>3</v>
      </c>
      <c r="G1291" s="2" t="n">
        <v>2</v>
      </c>
      <c r="H1291" s="2" t="n">
        <v>1</v>
      </c>
      <c r="I1291" s="2" t="n">
        <v>0</v>
      </c>
      <c r="J1291" s="2" t="n">
        <v>60</v>
      </c>
      <c r="K1291" s="2" t="n">
        <v>66</v>
      </c>
      <c r="L1291" s="11" t="b">
        <f aca="false">TRUE()</f>
        <v>1</v>
      </c>
      <c r="M1291" s="2" t="s">
        <v>406</v>
      </c>
      <c r="N1291" s="2" t="n">
        <f aca="false">IF(E1291&gt;0,F1291/E1291,"")</f>
        <v>0.333333333333333</v>
      </c>
      <c r="O1291" s="2" t="n">
        <f aca="false">IF(AND(E1291&gt;0,L1291),J1291/E1291,"")</f>
        <v>6.66666666666667</v>
      </c>
    </row>
    <row r="1292" customFormat="false" ht="15" hidden="false" customHeight="false" outlineLevel="0" collapsed="false">
      <c r="A1292" s="2" t="n">
        <v>2024</v>
      </c>
      <c r="B1292" s="2" t="s">
        <v>180</v>
      </c>
      <c r="C1292" s="2" t="s">
        <v>518</v>
      </c>
      <c r="D1292" s="2" t="s">
        <v>29</v>
      </c>
      <c r="E1292" s="2" t="n">
        <v>3</v>
      </c>
      <c r="F1292" s="2" t="n">
        <v>4</v>
      </c>
      <c r="G1292" s="2" t="n">
        <v>3</v>
      </c>
      <c r="H1292" s="2" t="n">
        <v>2</v>
      </c>
      <c r="I1292" s="2" t="n">
        <v>0</v>
      </c>
      <c r="J1292" s="2" t="n">
        <v>34</v>
      </c>
      <c r="K1292" s="2" t="n">
        <v>40</v>
      </c>
      <c r="L1292" s="11" t="b">
        <f aca="false">TRUE()</f>
        <v>1</v>
      </c>
      <c r="M1292" s="2" t="s">
        <v>406</v>
      </c>
      <c r="N1292" s="2" t="n">
        <f aca="false">IF(E1292&gt;0,F1292/E1292,"")</f>
        <v>1.33333333333333</v>
      </c>
      <c r="O1292" s="2" t="n">
        <f aca="false">IF(AND(E1292&gt;0,L1292),J1292/E1292,"")</f>
        <v>11.3333333333333</v>
      </c>
    </row>
    <row r="1293" customFormat="false" ht="15" hidden="false" customHeight="false" outlineLevel="0" collapsed="false">
      <c r="A1293" s="2" t="n">
        <v>2024</v>
      </c>
      <c r="B1293" s="2" t="s">
        <v>34</v>
      </c>
      <c r="C1293" s="2" t="s">
        <v>408</v>
      </c>
      <c r="D1293" s="2" t="s">
        <v>29</v>
      </c>
      <c r="E1293" s="2" t="n">
        <v>9</v>
      </c>
      <c r="F1293" s="2" t="n">
        <v>50</v>
      </c>
      <c r="G1293" s="2" t="n">
        <v>28</v>
      </c>
      <c r="H1293" s="2" t="n">
        <v>11</v>
      </c>
      <c r="I1293" s="2" t="n">
        <v>15</v>
      </c>
      <c r="J1293" s="2" t="n">
        <v>192</v>
      </c>
      <c r="K1293" s="2" t="n">
        <v>257</v>
      </c>
      <c r="L1293" s="11" t="b">
        <f aca="false">TRUE()</f>
        <v>1</v>
      </c>
      <c r="M1293" s="2" t="s">
        <v>406</v>
      </c>
      <c r="N1293" s="2" t="n">
        <f aca="false">IF(E1293&gt;0,F1293/E1293,"")</f>
        <v>5.55555555555556</v>
      </c>
      <c r="O1293" s="2" t="n">
        <f aca="false">IF(AND(E1293&gt;0,L1293),J1293/E1293,"")</f>
        <v>21.3333333333333</v>
      </c>
    </row>
    <row r="1294" customFormat="false" ht="15" hidden="false" customHeight="false" outlineLevel="0" collapsed="false">
      <c r="A1294" s="2" t="n">
        <v>2024</v>
      </c>
      <c r="B1294" s="2" t="s">
        <v>576</v>
      </c>
      <c r="C1294" s="2" t="s">
        <v>622</v>
      </c>
      <c r="D1294" s="2" t="s">
        <v>409</v>
      </c>
      <c r="E1294" s="2" t="n">
        <v>2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12</v>
      </c>
      <c r="K1294" s="2" t="n">
        <v>12</v>
      </c>
      <c r="L1294" s="11" t="b">
        <f aca="false">TRUE()</f>
        <v>1</v>
      </c>
      <c r="M1294" s="2" t="s">
        <v>410</v>
      </c>
      <c r="N1294" s="2" t="n">
        <f aca="false">IF(E1294&gt;0,F1294/E1294,"")</f>
        <v>0</v>
      </c>
      <c r="O1294" s="2" t="n">
        <f aca="false">IF(AND(E1294&gt;0,L1294),J1294/E1294,"")</f>
        <v>6</v>
      </c>
    </row>
    <row r="1295" customFormat="false" ht="15" hidden="false" customHeight="false" outlineLevel="0" collapsed="false">
      <c r="A1295" s="2" t="n">
        <v>2024</v>
      </c>
      <c r="B1295" s="2" t="s">
        <v>63</v>
      </c>
      <c r="C1295" s="2" t="s">
        <v>420</v>
      </c>
      <c r="D1295" s="2" t="s">
        <v>24</v>
      </c>
      <c r="E1295" s="2" t="n">
        <v>10</v>
      </c>
      <c r="F1295" s="2" t="n">
        <v>48</v>
      </c>
      <c r="G1295" s="2" t="n">
        <v>27</v>
      </c>
      <c r="H1295" s="2" t="n">
        <v>14</v>
      </c>
      <c r="I1295" s="2" t="n">
        <v>2</v>
      </c>
      <c r="J1295" s="2" t="n">
        <v>176</v>
      </c>
      <c r="K1295" s="2" t="n">
        <v>235</v>
      </c>
      <c r="L1295" s="11" t="b">
        <f aca="false">TRUE()</f>
        <v>1</v>
      </c>
      <c r="M1295" s="2" t="s">
        <v>406</v>
      </c>
      <c r="N1295" s="2" t="n">
        <f aca="false">IF(E1295&gt;0,F1295/E1295,"")</f>
        <v>4.8</v>
      </c>
      <c r="O1295" s="2" t="n">
        <f aca="false">IF(AND(E1295&gt;0,L1295),J1295/E1295,"")</f>
        <v>17.6</v>
      </c>
    </row>
    <row r="1296" customFormat="false" ht="15" hidden="false" customHeight="false" outlineLevel="0" collapsed="false">
      <c r="A1296" s="2" t="n">
        <v>2024</v>
      </c>
      <c r="B1296" s="2" t="s">
        <v>51</v>
      </c>
      <c r="C1296" s="2" t="s">
        <v>412</v>
      </c>
      <c r="D1296" s="2" t="s">
        <v>24</v>
      </c>
      <c r="E1296" s="2" t="n">
        <v>8</v>
      </c>
      <c r="F1296" s="2" t="n">
        <v>35</v>
      </c>
      <c r="G1296" s="2" t="n">
        <v>24</v>
      </c>
      <c r="H1296" s="2" t="n">
        <v>15</v>
      </c>
      <c r="I1296" s="2" t="n">
        <v>11</v>
      </c>
      <c r="J1296" s="2" t="n">
        <v>229</v>
      </c>
      <c r="K1296" s="2" t="n">
        <v>272</v>
      </c>
      <c r="L1296" s="11" t="b">
        <f aca="false">TRUE()</f>
        <v>1</v>
      </c>
      <c r="M1296" s="2" t="s">
        <v>406</v>
      </c>
      <c r="N1296" s="2" t="n">
        <f aca="false">IF(E1296&gt;0,F1296/E1296,"")</f>
        <v>4.375</v>
      </c>
      <c r="O1296" s="2" t="n">
        <f aca="false">IF(AND(E1296&gt;0,L1296),J1296/E1296,"")</f>
        <v>28.625</v>
      </c>
    </row>
    <row r="1297" customFormat="false" ht="15" hidden="false" customHeight="false" outlineLevel="0" collapsed="false">
      <c r="A1297" s="2" t="n">
        <v>2024</v>
      </c>
      <c r="B1297" s="2" t="s">
        <v>618</v>
      </c>
      <c r="C1297" s="2" t="s">
        <v>408</v>
      </c>
      <c r="D1297" s="2" t="s">
        <v>117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11" t="b">
        <f aca="false">TRUE()</f>
        <v>1</v>
      </c>
      <c r="M1297" s="2" t="s">
        <v>410</v>
      </c>
      <c r="N1297" s="2" t="str">
        <f aca="false">IF(E1297&gt;0,F1297/E1297,"")</f>
        <v/>
      </c>
      <c r="O1297" s="2" t="str">
        <f aca="false">IF(AND(E1297&gt;0,L1297),J1297/E1297,"")</f>
        <v/>
      </c>
    </row>
    <row r="1298" customFormat="false" ht="15" hidden="false" customHeight="false" outlineLevel="0" collapsed="false">
      <c r="A1298" s="2" t="n">
        <v>2024</v>
      </c>
      <c r="B1298" s="2" t="s">
        <v>361</v>
      </c>
      <c r="C1298" s="2" t="s">
        <v>405</v>
      </c>
      <c r="D1298" s="2" t="s">
        <v>24</v>
      </c>
      <c r="E1298" s="2" t="n">
        <v>1</v>
      </c>
      <c r="F1298" s="2" t="n">
        <v>1</v>
      </c>
      <c r="G1298" s="2" t="n">
        <v>0</v>
      </c>
      <c r="H1298" s="2" t="n">
        <v>0</v>
      </c>
      <c r="I1298" s="2" t="n">
        <v>0</v>
      </c>
      <c r="J1298" s="2" t="n">
        <v>12</v>
      </c>
      <c r="K1298" s="2" t="n">
        <v>14</v>
      </c>
      <c r="L1298" s="11" t="b">
        <f aca="false">TRUE()</f>
        <v>1</v>
      </c>
      <c r="M1298" s="2" t="s">
        <v>410</v>
      </c>
      <c r="N1298" s="2" t="n">
        <f aca="false">IF(E1298&gt;0,F1298/E1298,"")</f>
        <v>1</v>
      </c>
      <c r="O1298" s="2" t="n">
        <f aca="false">IF(AND(E1298&gt;0,L1298),J1298/E1298,"")</f>
        <v>12</v>
      </c>
    </row>
    <row r="1299" customFormat="false" ht="15" hidden="false" customHeight="false" outlineLevel="0" collapsed="false">
      <c r="A1299" s="2" t="n">
        <v>2024</v>
      </c>
      <c r="B1299" s="2" t="s">
        <v>619</v>
      </c>
      <c r="C1299" s="2" t="s">
        <v>408</v>
      </c>
      <c r="D1299" s="2" t="s">
        <v>413</v>
      </c>
      <c r="E1299" s="2" t="n">
        <v>10</v>
      </c>
      <c r="F1299" s="2" t="n">
        <v>8</v>
      </c>
      <c r="G1299" s="2" t="n">
        <v>2</v>
      </c>
      <c r="H1299" s="2" t="n">
        <v>1</v>
      </c>
      <c r="I1299" s="2" t="n">
        <v>0</v>
      </c>
      <c r="J1299" s="2" t="n">
        <v>59</v>
      </c>
      <c r="K1299" s="2" t="n">
        <v>86</v>
      </c>
      <c r="L1299" s="11" t="b">
        <f aca="false">TRUE()</f>
        <v>1</v>
      </c>
      <c r="M1299" s="2" t="s">
        <v>410</v>
      </c>
      <c r="N1299" s="2" t="n">
        <f aca="false">IF(E1299&gt;0,F1299/E1299,"")</f>
        <v>0.8</v>
      </c>
      <c r="O1299" s="2" t="n">
        <f aca="false">IF(AND(E1299&gt;0,L1299),J1299/E1299,"")</f>
        <v>5.9</v>
      </c>
    </row>
    <row r="1300" customFormat="false" ht="15" hidden="false" customHeight="false" outlineLevel="0" collapsed="false">
      <c r="A1300" s="2" t="n">
        <v>2024</v>
      </c>
      <c r="B1300" s="2" t="s">
        <v>241</v>
      </c>
      <c r="C1300" s="2" t="s">
        <v>622</v>
      </c>
      <c r="D1300" s="2" t="s">
        <v>83</v>
      </c>
      <c r="E1300" s="2" t="n">
        <v>7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21</v>
      </c>
      <c r="K1300" s="2" t="n">
        <v>23</v>
      </c>
      <c r="L1300" s="11" t="b">
        <f aca="false">TRUE()</f>
        <v>1</v>
      </c>
      <c r="M1300" s="2" t="s">
        <v>406</v>
      </c>
      <c r="N1300" s="2" t="n">
        <f aca="false">IF(E1300&gt;0,F1300/E1300,"")</f>
        <v>0</v>
      </c>
      <c r="O1300" s="2" t="n">
        <f aca="false">IF(AND(E1300&gt;0,L1300),J1300/E1300,"")</f>
        <v>3</v>
      </c>
    </row>
    <row r="1301" customFormat="false" ht="15" hidden="false" customHeight="false" outlineLevel="0" collapsed="false">
      <c r="A1301" s="2" t="n">
        <v>2024</v>
      </c>
      <c r="B1301" s="2" t="s">
        <v>70</v>
      </c>
      <c r="C1301" s="2" t="s">
        <v>414</v>
      </c>
      <c r="D1301" s="2" t="s">
        <v>29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11" t="b">
        <f aca="false">TRUE()</f>
        <v>1</v>
      </c>
      <c r="M1301" s="2" t="s">
        <v>410</v>
      </c>
      <c r="N1301" s="2" t="str">
        <f aca="false">IF(E1301&gt;0,F1301/E1301,"")</f>
        <v/>
      </c>
      <c r="O1301" s="2" t="str">
        <f aca="false">IF(AND(E1301&gt;0,L1301),J1301/E1301,"")</f>
        <v/>
      </c>
    </row>
    <row r="1302" customFormat="false" ht="15" hidden="false" customHeight="false" outlineLevel="0" collapsed="false">
      <c r="A1302" s="2" t="n">
        <v>2024</v>
      </c>
      <c r="B1302" s="2" t="s">
        <v>98</v>
      </c>
      <c r="C1302" s="2" t="s">
        <v>420</v>
      </c>
      <c r="D1302" s="2" t="s">
        <v>29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11" t="b">
        <f aca="false">TRUE()</f>
        <v>1</v>
      </c>
      <c r="M1302" s="2" t="s">
        <v>410</v>
      </c>
      <c r="N1302" s="2" t="str">
        <f aca="false">IF(E1302&gt;0,F1302/E1302,"")</f>
        <v/>
      </c>
      <c r="O1302" s="2" t="str">
        <f aca="false">IF(AND(E1302&gt;0,L1302),J1302/E1302,"")</f>
        <v/>
      </c>
    </row>
    <row r="1303" customFormat="false" ht="15" hidden="false" customHeight="false" outlineLevel="0" collapsed="false">
      <c r="A1303" s="2" t="n">
        <v>2024</v>
      </c>
      <c r="B1303" s="2" t="s">
        <v>231</v>
      </c>
      <c r="C1303" s="2" t="s">
        <v>412</v>
      </c>
      <c r="D1303" s="2" t="s">
        <v>115</v>
      </c>
      <c r="E1303" s="2" t="n">
        <v>10</v>
      </c>
      <c r="F1303" s="2" t="n">
        <v>11</v>
      </c>
      <c r="G1303" s="2" t="n">
        <v>8</v>
      </c>
      <c r="H1303" s="2" t="n">
        <v>2</v>
      </c>
      <c r="I1303" s="2" t="n">
        <v>2</v>
      </c>
      <c r="J1303" s="2" t="n">
        <v>38</v>
      </c>
      <c r="K1303" s="2" t="n">
        <v>51</v>
      </c>
      <c r="L1303" s="11" t="b">
        <f aca="false">TRUE()</f>
        <v>1</v>
      </c>
      <c r="M1303" s="2" t="s">
        <v>406</v>
      </c>
      <c r="N1303" s="2" t="n">
        <f aca="false">IF(E1303&gt;0,F1303/E1303,"")</f>
        <v>1.1</v>
      </c>
      <c r="O1303" s="2" t="n">
        <f aca="false">IF(AND(E1303&gt;0,L1303),J1303/E1303,"")</f>
        <v>3.8</v>
      </c>
    </row>
    <row r="1304" customFormat="false" ht="15" hidden="false" customHeight="false" outlineLevel="0" collapsed="false">
      <c r="A1304" s="2" t="n">
        <v>2024</v>
      </c>
      <c r="B1304" s="2" t="s">
        <v>141</v>
      </c>
      <c r="C1304" s="2" t="s">
        <v>420</v>
      </c>
      <c r="D1304" s="2" t="s">
        <v>29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11" t="b">
        <f aca="false">TRUE()</f>
        <v>1</v>
      </c>
      <c r="M1304" s="2" t="s">
        <v>410</v>
      </c>
      <c r="N1304" s="2" t="str">
        <f aca="false">IF(E1304&gt;0,F1304/E1304,"")</f>
        <v/>
      </c>
      <c r="O1304" s="2" t="str">
        <f aca="false">IF(AND(E1304&gt;0,L1304),J1304/E1304,"")</f>
        <v/>
      </c>
    </row>
    <row r="1305" customFormat="false" ht="15" hidden="false" customHeight="false" outlineLevel="0" collapsed="false">
      <c r="A1305" s="2" t="n">
        <v>2024</v>
      </c>
      <c r="B1305" s="2" t="s">
        <v>234</v>
      </c>
      <c r="C1305" s="2" t="s">
        <v>545</v>
      </c>
      <c r="D1305" s="2" t="s">
        <v>117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11" t="b">
        <f aca="false">TRUE()</f>
        <v>1</v>
      </c>
      <c r="M1305" s="2" t="s">
        <v>410</v>
      </c>
      <c r="N1305" s="2" t="str">
        <f aca="false">IF(E1305&gt;0,F1305/E1305,"")</f>
        <v/>
      </c>
      <c r="O1305" s="2" t="str">
        <f aca="false">IF(AND(E1305&gt;0,L1305),J1305/E1305,"")</f>
        <v/>
      </c>
    </row>
    <row r="1306" customFormat="false" ht="15" hidden="false" customHeight="false" outlineLevel="0" collapsed="false">
      <c r="A1306" s="2" t="n">
        <v>2024</v>
      </c>
      <c r="B1306" s="2" t="s">
        <v>25</v>
      </c>
      <c r="C1306" s="2" t="s">
        <v>518</v>
      </c>
      <c r="D1306" s="2" t="s">
        <v>24</v>
      </c>
      <c r="E1306" s="2" t="n">
        <v>10</v>
      </c>
      <c r="F1306" s="2" t="n">
        <v>62</v>
      </c>
      <c r="G1306" s="2" t="n">
        <v>46</v>
      </c>
      <c r="H1306" s="2" t="n">
        <v>18</v>
      </c>
      <c r="I1306" s="2" t="n">
        <v>19</v>
      </c>
      <c r="J1306" s="2" t="n">
        <v>265</v>
      </c>
      <c r="K1306" s="2" t="n">
        <v>344</v>
      </c>
      <c r="L1306" s="11" t="b">
        <f aca="false">TRUE()</f>
        <v>1</v>
      </c>
      <c r="M1306" s="2" t="s">
        <v>406</v>
      </c>
      <c r="N1306" s="2" t="n">
        <f aca="false">IF(E1306&gt;0,F1306/E1306,"")</f>
        <v>6.2</v>
      </c>
      <c r="O1306" s="2" t="n">
        <f aca="false">IF(AND(E1306&gt;0,L1306),J1306/E1306,"")</f>
        <v>26.5</v>
      </c>
    </row>
    <row r="1307" customFormat="false" ht="15" hidden="false" customHeight="false" outlineLevel="0" collapsed="false">
      <c r="A1307" s="2" t="n">
        <v>2024</v>
      </c>
      <c r="B1307" s="2" t="s">
        <v>206</v>
      </c>
      <c r="C1307" s="2" t="s">
        <v>414</v>
      </c>
      <c r="D1307" s="2" t="s">
        <v>115</v>
      </c>
      <c r="E1307" s="2" t="n">
        <v>10</v>
      </c>
      <c r="F1307" s="2" t="n">
        <v>4</v>
      </c>
      <c r="G1307" s="2" t="n">
        <v>1</v>
      </c>
      <c r="H1307" s="2" t="n">
        <v>1</v>
      </c>
      <c r="I1307" s="2" t="n">
        <v>1</v>
      </c>
      <c r="J1307" s="2" t="n">
        <v>50</v>
      </c>
      <c r="K1307" s="2" t="n">
        <v>55</v>
      </c>
      <c r="L1307" s="11" t="b">
        <f aca="false">TRUE()</f>
        <v>1</v>
      </c>
      <c r="M1307" s="2" t="s">
        <v>406</v>
      </c>
      <c r="N1307" s="2" t="n">
        <f aca="false">IF(E1307&gt;0,F1307/E1307,"")</f>
        <v>0.4</v>
      </c>
      <c r="O1307" s="2" t="n">
        <f aca="false">IF(AND(E1307&gt;0,L1307),J1307/E1307,"")</f>
        <v>5</v>
      </c>
    </row>
    <row r="1308" customFormat="false" ht="15" hidden="false" customHeight="false" outlineLevel="0" collapsed="false">
      <c r="A1308" s="2" t="n">
        <v>2024</v>
      </c>
      <c r="B1308" s="2" t="s">
        <v>632</v>
      </c>
      <c r="C1308" s="2" t="s">
        <v>518</v>
      </c>
      <c r="D1308" s="2" t="s">
        <v>413</v>
      </c>
      <c r="E1308" s="2" t="n">
        <v>7</v>
      </c>
      <c r="F1308" s="2" t="n">
        <v>4</v>
      </c>
      <c r="G1308" s="2" t="n">
        <v>0</v>
      </c>
      <c r="H1308" s="2" t="n">
        <v>0</v>
      </c>
      <c r="I1308" s="2" t="n">
        <v>0</v>
      </c>
      <c r="J1308" s="2" t="n">
        <v>19</v>
      </c>
      <c r="K1308" s="2" t="n">
        <v>26</v>
      </c>
      <c r="L1308" s="11" t="b">
        <f aca="false">TRUE()</f>
        <v>1</v>
      </c>
      <c r="M1308" s="2" t="s">
        <v>410</v>
      </c>
      <c r="N1308" s="2" t="n">
        <f aca="false">IF(E1308&gt;0,F1308/E1308,"")</f>
        <v>0.571428571428571</v>
      </c>
      <c r="O1308" s="2" t="n">
        <f aca="false">IF(AND(E1308&gt;0,L1308),J1308/E1308,"")</f>
        <v>2.71428571428571</v>
      </c>
    </row>
    <row r="1309" customFormat="false" ht="15" hidden="false" customHeight="false" outlineLevel="0" collapsed="false">
      <c r="A1309" s="2" t="n">
        <v>2024</v>
      </c>
      <c r="B1309" s="2" t="s">
        <v>120</v>
      </c>
      <c r="C1309" s="2" t="s">
        <v>412</v>
      </c>
      <c r="D1309" s="2" t="s">
        <v>29</v>
      </c>
      <c r="E1309" s="2" t="n">
        <v>6</v>
      </c>
      <c r="F1309" s="2" t="n">
        <v>25</v>
      </c>
      <c r="G1309" s="2" t="n">
        <v>16</v>
      </c>
      <c r="H1309" s="2" t="n">
        <v>8</v>
      </c>
      <c r="I1309" s="2" t="n">
        <v>2</v>
      </c>
      <c r="J1309" s="2" t="n">
        <v>51</v>
      </c>
      <c r="K1309" s="2" t="n">
        <v>82</v>
      </c>
      <c r="L1309" s="11" t="b">
        <f aca="false">TRUE()</f>
        <v>1</v>
      </c>
      <c r="M1309" s="2" t="s">
        <v>406</v>
      </c>
      <c r="N1309" s="2" t="n">
        <f aca="false">IF(E1309&gt;0,F1309/E1309,"")</f>
        <v>4.16666666666667</v>
      </c>
      <c r="O1309" s="2" t="n">
        <f aca="false">IF(AND(E1309&gt;0,L1309),J1309/E1309,"")</f>
        <v>8.5</v>
      </c>
    </row>
    <row r="1310" customFormat="false" ht="15" hidden="false" customHeight="false" outlineLevel="0" collapsed="false">
      <c r="A1310" s="2" t="n">
        <v>2024</v>
      </c>
      <c r="B1310" s="2" t="s">
        <v>380</v>
      </c>
      <c r="C1310" s="2" t="s">
        <v>420</v>
      </c>
      <c r="D1310" s="2" t="s">
        <v>117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11" t="b">
        <f aca="false">TRUE()</f>
        <v>1</v>
      </c>
      <c r="M1310" s="2" t="s">
        <v>410</v>
      </c>
      <c r="N1310" s="2" t="str">
        <f aca="false">IF(E1310&gt;0,F1310/E1310,"")</f>
        <v/>
      </c>
      <c r="O1310" s="2" t="str">
        <f aca="false">IF(AND(E1310&gt;0,L1310),J1310/E1310,"")</f>
        <v/>
      </c>
    </row>
    <row r="1311" customFormat="false" ht="15" hidden="false" customHeight="false" outlineLevel="0" collapsed="false">
      <c r="A1311" s="2" t="n">
        <v>2024</v>
      </c>
      <c r="B1311" s="2" t="s">
        <v>31</v>
      </c>
      <c r="C1311" s="2" t="s">
        <v>412</v>
      </c>
      <c r="D1311" s="2" t="s">
        <v>24</v>
      </c>
      <c r="E1311" s="2" t="n">
        <v>10</v>
      </c>
      <c r="F1311" s="2" t="n">
        <v>79</v>
      </c>
      <c r="G1311" s="2" t="n">
        <v>53</v>
      </c>
      <c r="H1311" s="2" t="n">
        <v>28</v>
      </c>
      <c r="I1311" s="2" t="n">
        <v>36</v>
      </c>
      <c r="J1311" s="2" t="n">
        <v>310</v>
      </c>
      <c r="K1311" s="2" t="n">
        <v>413</v>
      </c>
      <c r="L1311" s="11" t="b">
        <f aca="false">TRUE()</f>
        <v>1</v>
      </c>
      <c r="M1311" s="2" t="s">
        <v>406</v>
      </c>
      <c r="N1311" s="2" t="n">
        <f aca="false">IF(E1311&gt;0,F1311/E1311,"")</f>
        <v>7.9</v>
      </c>
      <c r="O1311" s="2" t="n">
        <f aca="false">IF(AND(E1311&gt;0,L1311),J1311/E1311,"")</f>
        <v>31</v>
      </c>
    </row>
    <row r="1312" customFormat="false" ht="15" hidden="false" customHeight="false" outlineLevel="0" collapsed="false">
      <c r="A1312" s="2" t="n">
        <v>2024</v>
      </c>
      <c r="B1312" s="2" t="s">
        <v>90</v>
      </c>
      <c r="C1312" s="2" t="s">
        <v>622</v>
      </c>
      <c r="D1312" s="2" t="s">
        <v>83</v>
      </c>
      <c r="E1312" s="2" t="n">
        <v>10</v>
      </c>
      <c r="F1312" s="2" t="n">
        <v>8</v>
      </c>
      <c r="G1312" s="2" t="n">
        <v>7</v>
      </c>
      <c r="H1312" s="2" t="n">
        <v>5</v>
      </c>
      <c r="I1312" s="2" t="n">
        <v>2</v>
      </c>
      <c r="J1312" s="2" t="n">
        <v>105</v>
      </c>
      <c r="K1312" s="2" t="n">
        <v>120</v>
      </c>
      <c r="L1312" s="11" t="b">
        <f aca="false">TRUE()</f>
        <v>1</v>
      </c>
      <c r="M1312" s="2" t="s">
        <v>406</v>
      </c>
      <c r="N1312" s="2" t="n">
        <f aca="false">IF(E1312&gt;0,F1312/E1312,"")</f>
        <v>0.8</v>
      </c>
      <c r="O1312" s="2" t="n">
        <f aca="false">IF(AND(E1312&gt;0,L1312),J1312/E1312,"")</f>
        <v>10.5</v>
      </c>
    </row>
    <row r="1313" customFormat="false" ht="15" hidden="false" customHeight="false" outlineLevel="0" collapsed="false">
      <c r="A1313" s="2" t="n">
        <v>2024</v>
      </c>
      <c r="B1313" s="2" t="s">
        <v>105</v>
      </c>
      <c r="C1313" s="2" t="s">
        <v>405</v>
      </c>
      <c r="D1313" s="2" t="s">
        <v>83</v>
      </c>
      <c r="E1313" s="2" t="n">
        <v>9</v>
      </c>
      <c r="F1313" s="2" t="n">
        <v>11</v>
      </c>
      <c r="G1313" s="2" t="n">
        <v>5</v>
      </c>
      <c r="H1313" s="2" t="n">
        <v>1</v>
      </c>
      <c r="I1313" s="2" t="n">
        <v>1</v>
      </c>
      <c r="J1313" s="2" t="n">
        <v>95</v>
      </c>
      <c r="K1313" s="2" t="n">
        <v>113</v>
      </c>
      <c r="L1313" s="11" t="b">
        <f aca="false">TRUE()</f>
        <v>1</v>
      </c>
      <c r="M1313" s="2" t="s">
        <v>406</v>
      </c>
      <c r="N1313" s="2" t="n">
        <f aca="false">IF(E1313&gt;0,F1313/E1313,"")</f>
        <v>1.22222222222222</v>
      </c>
      <c r="O1313" s="2" t="n">
        <f aca="false">IF(AND(E1313&gt;0,L1313),J1313/E1313,"")</f>
        <v>10.5555555555556</v>
      </c>
    </row>
    <row r="1314" customFormat="false" ht="15" hidden="false" customHeight="false" outlineLevel="0" collapsed="false">
      <c r="A1314" s="2" t="n">
        <v>2024</v>
      </c>
      <c r="B1314" s="2" t="s">
        <v>125</v>
      </c>
      <c r="C1314" s="2" t="s">
        <v>545</v>
      </c>
      <c r="D1314" s="2" t="s">
        <v>24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11" t="b">
        <f aca="false">TRUE()</f>
        <v>1</v>
      </c>
      <c r="M1314" s="2" t="s">
        <v>410</v>
      </c>
      <c r="N1314" s="2" t="str">
        <f aca="false">IF(E1314&gt;0,F1314/E1314,"")</f>
        <v/>
      </c>
      <c r="O1314" s="2" t="str">
        <f aca="false">IF(AND(E1314&gt;0,L1314),J1314/E1314,"")</f>
        <v/>
      </c>
    </row>
    <row r="1315" customFormat="false" ht="15" hidden="false" customHeight="false" outlineLevel="0" collapsed="false">
      <c r="A1315" s="2" t="n">
        <v>2024</v>
      </c>
      <c r="B1315" s="2" t="s">
        <v>207</v>
      </c>
      <c r="C1315" s="2" t="s">
        <v>405</v>
      </c>
      <c r="D1315" s="2" t="s">
        <v>29</v>
      </c>
      <c r="E1315" s="2" t="n">
        <v>4</v>
      </c>
      <c r="F1315" s="2" t="n">
        <v>5</v>
      </c>
      <c r="G1315" s="2" t="n">
        <v>1</v>
      </c>
      <c r="H1315" s="2" t="n">
        <v>0</v>
      </c>
      <c r="I1315" s="2" t="n">
        <v>1</v>
      </c>
      <c r="J1315" s="2" t="n">
        <v>49</v>
      </c>
      <c r="K1315" s="2" t="n">
        <v>59</v>
      </c>
      <c r="L1315" s="11" t="b">
        <f aca="false">TRUE()</f>
        <v>1</v>
      </c>
      <c r="M1315" s="2" t="s">
        <v>406</v>
      </c>
      <c r="N1315" s="2" t="n">
        <f aca="false">IF(E1315&gt;0,F1315/E1315,"")</f>
        <v>1.25</v>
      </c>
      <c r="O1315" s="2" t="n">
        <f aca="false">IF(AND(E1315&gt;0,L1315),J1315/E1315,"")</f>
        <v>12.25</v>
      </c>
    </row>
    <row r="1316" customFormat="false" ht="15" hidden="false" customHeight="false" outlineLevel="0" collapsed="false">
      <c r="A1316" s="2" t="n">
        <v>2024</v>
      </c>
      <c r="B1316" s="2" t="s">
        <v>111</v>
      </c>
      <c r="C1316" s="2" t="s">
        <v>545</v>
      </c>
      <c r="D1316" s="2" t="s">
        <v>83</v>
      </c>
      <c r="E1316" s="2" t="n">
        <v>10</v>
      </c>
      <c r="F1316" s="2" t="n">
        <v>11</v>
      </c>
      <c r="G1316" s="2" t="n">
        <v>7</v>
      </c>
      <c r="H1316" s="2" t="n">
        <v>5</v>
      </c>
      <c r="I1316" s="2" t="n">
        <v>4</v>
      </c>
      <c r="J1316" s="2" t="n">
        <v>75</v>
      </c>
      <c r="K1316" s="2" t="n">
        <v>91</v>
      </c>
      <c r="L1316" s="11" t="b">
        <f aca="false">TRUE()</f>
        <v>1</v>
      </c>
      <c r="M1316" s="2" t="s">
        <v>406</v>
      </c>
      <c r="N1316" s="2" t="n">
        <f aca="false">IF(E1316&gt;0,F1316/E1316,"")</f>
        <v>1.1</v>
      </c>
      <c r="O1316" s="2" t="n">
        <f aca="false">IF(AND(E1316&gt;0,L1316),J1316/E1316,"")</f>
        <v>7.5</v>
      </c>
    </row>
    <row r="1317" customFormat="false" ht="15" hidden="false" customHeight="false" outlineLevel="0" collapsed="false">
      <c r="A1317" s="2" t="n">
        <v>2024</v>
      </c>
      <c r="B1317" s="2" t="s">
        <v>508</v>
      </c>
      <c r="C1317" s="2" t="s">
        <v>412</v>
      </c>
      <c r="D1317" s="2" t="s">
        <v>409</v>
      </c>
      <c r="E1317" s="2" t="n">
        <v>5</v>
      </c>
      <c r="F1317" s="2" t="n">
        <v>2</v>
      </c>
      <c r="G1317" s="2" t="n">
        <v>1</v>
      </c>
      <c r="H1317" s="2" t="n">
        <v>0</v>
      </c>
      <c r="I1317" s="2" t="n">
        <v>0</v>
      </c>
      <c r="J1317" s="2" t="n">
        <v>82</v>
      </c>
      <c r="K1317" s="2" t="n">
        <v>86</v>
      </c>
      <c r="L1317" s="11" t="b">
        <f aca="false">TRUE()</f>
        <v>1</v>
      </c>
      <c r="M1317" s="2" t="s">
        <v>410</v>
      </c>
      <c r="N1317" s="2" t="n">
        <f aca="false">IF(E1317&gt;0,F1317/E1317,"")</f>
        <v>0.4</v>
      </c>
      <c r="O1317" s="2" t="n">
        <f aca="false">IF(AND(E1317&gt;0,L1317),J1317/E1317,"")</f>
        <v>16.4</v>
      </c>
    </row>
    <row r="1318" customFormat="false" ht="15" hidden="false" customHeight="false" outlineLevel="0" collapsed="false">
      <c r="A1318" s="2" t="n">
        <v>2024</v>
      </c>
      <c r="B1318" s="2" t="s">
        <v>603</v>
      </c>
      <c r="C1318" s="2" t="s">
        <v>545</v>
      </c>
      <c r="D1318" s="2" t="s">
        <v>413</v>
      </c>
      <c r="E1318" s="2" t="n">
        <v>9</v>
      </c>
      <c r="F1318" s="2" t="n">
        <v>22</v>
      </c>
      <c r="G1318" s="2" t="n">
        <v>10</v>
      </c>
      <c r="H1318" s="2" t="n">
        <v>3</v>
      </c>
      <c r="I1318" s="2" t="n">
        <v>0</v>
      </c>
      <c r="J1318" s="2" t="n">
        <v>32</v>
      </c>
      <c r="K1318" s="2" t="n">
        <v>59</v>
      </c>
      <c r="L1318" s="11" t="b">
        <f aca="false">TRUE()</f>
        <v>1</v>
      </c>
      <c r="M1318" s="2" t="s">
        <v>410</v>
      </c>
      <c r="N1318" s="2" t="n">
        <f aca="false">IF(E1318&gt;0,F1318/E1318,"")</f>
        <v>2.44444444444444</v>
      </c>
      <c r="O1318" s="2" t="n">
        <f aca="false">IF(AND(E1318&gt;0,L1318),J1318/E1318,"")</f>
        <v>3.55555555555556</v>
      </c>
    </row>
    <row r="1319" customFormat="false" ht="15" hidden="false" customHeight="false" outlineLevel="0" collapsed="false">
      <c r="A1319" s="2" t="n">
        <v>2024</v>
      </c>
      <c r="B1319" s="2" t="s">
        <v>223</v>
      </c>
      <c r="C1319" s="2" t="s">
        <v>408</v>
      </c>
      <c r="D1319" s="2" t="s">
        <v>29</v>
      </c>
      <c r="E1319" s="2" t="n">
        <v>2</v>
      </c>
      <c r="F1319" s="2" t="n">
        <v>9</v>
      </c>
      <c r="G1319" s="2" t="n">
        <v>6</v>
      </c>
      <c r="H1319" s="2" t="n">
        <v>4</v>
      </c>
      <c r="I1319" s="2" t="n">
        <v>2</v>
      </c>
      <c r="J1319" s="2" t="n">
        <v>36</v>
      </c>
      <c r="K1319" s="2" t="n">
        <v>46</v>
      </c>
      <c r="L1319" s="11" t="b">
        <f aca="false">TRUE()</f>
        <v>1</v>
      </c>
      <c r="M1319" s="2" t="s">
        <v>410</v>
      </c>
      <c r="N1319" s="2" t="n">
        <f aca="false">IF(E1319&gt;0,F1319/E1319,"")</f>
        <v>4.5</v>
      </c>
      <c r="O1319" s="2" t="n">
        <f aca="false">IF(AND(E1319&gt;0,L1319),J1319/E1319,"")</f>
        <v>18</v>
      </c>
    </row>
    <row r="1320" customFormat="false" ht="15" hidden="false" customHeight="false" outlineLevel="0" collapsed="false">
      <c r="A1320" s="2" t="n">
        <v>2024</v>
      </c>
      <c r="B1320" s="2" t="s">
        <v>176</v>
      </c>
      <c r="C1320" s="2" t="s">
        <v>545</v>
      </c>
      <c r="D1320" s="2" t="s">
        <v>29</v>
      </c>
      <c r="E1320" s="2" t="n">
        <v>8</v>
      </c>
      <c r="F1320" s="2" t="n">
        <v>27</v>
      </c>
      <c r="G1320" s="2" t="n">
        <v>16</v>
      </c>
      <c r="H1320" s="2" t="n">
        <v>8</v>
      </c>
      <c r="I1320" s="2" t="n">
        <v>0</v>
      </c>
      <c r="J1320" s="2" t="n">
        <v>73</v>
      </c>
      <c r="K1320" s="2" t="n">
        <v>105</v>
      </c>
      <c r="L1320" s="11" t="b">
        <f aca="false">TRUE()</f>
        <v>1</v>
      </c>
      <c r="M1320" s="2" t="s">
        <v>406</v>
      </c>
      <c r="N1320" s="2" t="n">
        <f aca="false">IF(E1320&gt;0,F1320/E1320,"")</f>
        <v>3.375</v>
      </c>
      <c r="O1320" s="2" t="n">
        <f aca="false">IF(AND(E1320&gt;0,L1320),J1320/E1320,"")</f>
        <v>9.125</v>
      </c>
    </row>
    <row r="1321" customFormat="false" ht="15" hidden="false" customHeight="false" outlineLevel="0" collapsed="false">
      <c r="A1321" s="2" t="n">
        <v>2024</v>
      </c>
      <c r="B1321" s="2" t="s">
        <v>57</v>
      </c>
      <c r="C1321" s="2" t="s">
        <v>518</v>
      </c>
      <c r="D1321" s="2" t="s">
        <v>24</v>
      </c>
      <c r="E1321" s="2" t="n">
        <v>10</v>
      </c>
      <c r="F1321" s="2" t="n">
        <v>29</v>
      </c>
      <c r="G1321" s="2" t="n">
        <v>19</v>
      </c>
      <c r="H1321" s="2" t="n">
        <v>5</v>
      </c>
      <c r="I1321" s="2" t="n">
        <v>5</v>
      </c>
      <c r="J1321" s="2" t="n">
        <v>224</v>
      </c>
      <c r="K1321" s="2" t="n">
        <v>262</v>
      </c>
      <c r="L1321" s="11" t="b">
        <f aca="false">TRUE()</f>
        <v>1</v>
      </c>
      <c r="M1321" s="2" t="s">
        <v>406</v>
      </c>
      <c r="N1321" s="2" t="n">
        <f aca="false">IF(E1321&gt;0,F1321/E1321,"")</f>
        <v>2.9</v>
      </c>
      <c r="O1321" s="2" t="n">
        <f aca="false">IF(AND(E1321&gt;0,L1321),J1321/E1321,"")</f>
        <v>22.4</v>
      </c>
    </row>
    <row r="1322" customFormat="false" ht="15" hidden="false" customHeight="false" outlineLevel="0" collapsed="false">
      <c r="A1322" s="2" t="n">
        <v>2024</v>
      </c>
      <c r="B1322" s="2" t="s">
        <v>539</v>
      </c>
      <c r="C1322" s="2" t="s">
        <v>518</v>
      </c>
      <c r="D1322" s="2" t="s">
        <v>409</v>
      </c>
      <c r="E1322" s="2" t="n">
        <v>8</v>
      </c>
      <c r="F1322" s="2" t="n">
        <v>1</v>
      </c>
      <c r="G1322" s="2" t="n">
        <v>0</v>
      </c>
      <c r="H1322" s="2" t="n">
        <v>0</v>
      </c>
      <c r="I1322" s="2" t="n">
        <v>0</v>
      </c>
      <c r="J1322" s="2" t="n">
        <v>99</v>
      </c>
      <c r="K1322" s="2" t="n">
        <v>102</v>
      </c>
      <c r="L1322" s="11" t="b">
        <f aca="false">TRUE()</f>
        <v>1</v>
      </c>
      <c r="M1322" s="2" t="s">
        <v>410</v>
      </c>
      <c r="N1322" s="2" t="n">
        <f aca="false">IF(E1322&gt;0,F1322/E1322,"")</f>
        <v>0.125</v>
      </c>
      <c r="O1322" s="2" t="n">
        <f aca="false">IF(AND(E1322&gt;0,L1322),J1322/E1322,"")</f>
        <v>12.375</v>
      </c>
    </row>
    <row r="1323" customFormat="false" ht="15" hidden="false" customHeight="false" outlineLevel="0" collapsed="false">
      <c r="A1323" s="2" t="n">
        <v>2024</v>
      </c>
      <c r="B1323" s="2" t="s">
        <v>584</v>
      </c>
      <c r="C1323" s="2" t="s">
        <v>408</v>
      </c>
      <c r="D1323" s="2" t="s">
        <v>409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11" t="b">
        <f aca="false">TRUE()</f>
        <v>1</v>
      </c>
      <c r="M1323" s="2" t="s">
        <v>410</v>
      </c>
      <c r="N1323" s="2" t="str">
        <f aca="false">IF(E1323&gt;0,F1323/E1323,"")</f>
        <v/>
      </c>
      <c r="O1323" s="2" t="str">
        <f aca="false">IF(AND(E1323&gt;0,L1323),J1323/E1323,"")</f>
        <v/>
      </c>
    </row>
    <row r="1324" customFormat="false" ht="15" hidden="false" customHeight="false" outlineLevel="0" collapsed="false">
      <c r="A1324" s="2" t="n">
        <v>2024</v>
      </c>
      <c r="B1324" s="2" t="s">
        <v>282</v>
      </c>
      <c r="C1324" s="2" t="s">
        <v>622</v>
      </c>
      <c r="D1324" s="2" t="s">
        <v>117</v>
      </c>
      <c r="E1324" s="2" t="n">
        <v>3</v>
      </c>
      <c r="F1324" s="2" t="n">
        <v>3</v>
      </c>
      <c r="G1324" s="2" t="n">
        <v>1</v>
      </c>
      <c r="H1324" s="2" t="n">
        <v>1</v>
      </c>
      <c r="I1324" s="2" t="n">
        <v>0</v>
      </c>
      <c r="J1324" s="2" t="n">
        <v>19</v>
      </c>
      <c r="K1324" s="2" t="n">
        <v>22</v>
      </c>
      <c r="L1324" s="11" t="b">
        <f aca="false">TRUE()</f>
        <v>1</v>
      </c>
      <c r="M1324" s="2" t="s">
        <v>406</v>
      </c>
      <c r="N1324" s="2" t="n">
        <f aca="false">IF(E1324&gt;0,F1324/E1324,"")</f>
        <v>1</v>
      </c>
      <c r="O1324" s="2" t="n">
        <f aca="false">IF(AND(E1324&gt;0,L1324),J1324/E1324,"")</f>
        <v>6.33333333333333</v>
      </c>
    </row>
    <row r="1325" customFormat="false" ht="15" hidden="false" customHeight="false" outlineLevel="0" collapsed="false">
      <c r="A1325" s="2" t="n">
        <v>2024</v>
      </c>
      <c r="B1325" s="2" t="s">
        <v>124</v>
      </c>
      <c r="C1325" s="2" t="s">
        <v>518</v>
      </c>
      <c r="D1325" s="2" t="s">
        <v>83</v>
      </c>
      <c r="E1325" s="2" t="n">
        <v>9</v>
      </c>
      <c r="F1325" s="2" t="n">
        <v>11</v>
      </c>
      <c r="G1325" s="2" t="n">
        <v>5</v>
      </c>
      <c r="H1325" s="2" t="n">
        <v>2</v>
      </c>
      <c r="I1325" s="2" t="n">
        <v>0</v>
      </c>
      <c r="J1325" s="2" t="n">
        <v>42</v>
      </c>
      <c r="K1325" s="2" t="n">
        <v>60</v>
      </c>
      <c r="L1325" s="11" t="b">
        <f aca="false">TRUE()</f>
        <v>1</v>
      </c>
      <c r="M1325" s="2" t="s">
        <v>406</v>
      </c>
      <c r="N1325" s="2" t="n">
        <f aca="false">IF(E1325&gt;0,F1325/E1325,"")</f>
        <v>1.22222222222222</v>
      </c>
      <c r="O1325" s="2" t="n">
        <f aca="false">IF(AND(E1325&gt;0,L1325),J1325/E1325,"")</f>
        <v>4.66666666666667</v>
      </c>
    </row>
    <row r="1326" customFormat="false" ht="15" hidden="false" customHeight="false" outlineLevel="0" collapsed="false">
      <c r="A1326" s="2" t="n">
        <v>2024</v>
      </c>
      <c r="B1326" s="2" t="s">
        <v>633</v>
      </c>
      <c r="C1326" s="2" t="s">
        <v>622</v>
      </c>
      <c r="D1326" s="2" t="s">
        <v>413</v>
      </c>
      <c r="E1326" s="2" t="n">
        <v>10</v>
      </c>
      <c r="F1326" s="2" t="n">
        <v>14</v>
      </c>
      <c r="G1326" s="2" t="n">
        <v>8</v>
      </c>
      <c r="H1326" s="2" t="n">
        <v>5</v>
      </c>
      <c r="I1326" s="2" t="n">
        <v>1</v>
      </c>
      <c r="J1326" s="2" t="n">
        <v>59</v>
      </c>
      <c r="K1326" s="2" t="n">
        <v>78</v>
      </c>
      <c r="L1326" s="11" t="b">
        <f aca="false">TRUE()</f>
        <v>1</v>
      </c>
      <c r="M1326" s="2" t="s">
        <v>410</v>
      </c>
      <c r="N1326" s="2" t="n">
        <f aca="false">IF(E1326&gt;0,F1326/E1326,"")</f>
        <v>1.4</v>
      </c>
      <c r="O1326" s="2" t="n">
        <f aca="false">IF(AND(E1326&gt;0,L1326),J1326/E1326,"")</f>
        <v>5.9</v>
      </c>
    </row>
    <row r="1327" customFormat="false" ht="15" hidden="false" customHeight="false" outlineLevel="0" collapsed="false">
      <c r="A1327" s="2" t="n">
        <v>2024</v>
      </c>
      <c r="B1327" s="2" t="s">
        <v>212</v>
      </c>
      <c r="C1327" s="2" t="s">
        <v>408</v>
      </c>
      <c r="D1327" s="2" t="s">
        <v>29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11" t="b">
        <f aca="false">TRUE()</f>
        <v>1</v>
      </c>
      <c r="M1327" s="2" t="s">
        <v>410</v>
      </c>
      <c r="N1327" s="2" t="str">
        <f aca="false">IF(E1327&gt;0,F1327/E1327,"")</f>
        <v/>
      </c>
      <c r="O1327" s="2" t="str">
        <f aca="false">IF(AND(E1327&gt;0,L1327),J1327/E1327,"")</f>
        <v/>
      </c>
    </row>
    <row r="1328" customFormat="false" ht="15" hidden="false" customHeight="false" outlineLevel="0" collapsed="false">
      <c r="A1328" s="2" t="n">
        <v>2024</v>
      </c>
      <c r="B1328" s="2" t="s">
        <v>189</v>
      </c>
      <c r="C1328" s="2" t="s">
        <v>408</v>
      </c>
      <c r="D1328" s="2" t="s">
        <v>29</v>
      </c>
      <c r="E1328" s="2" t="n">
        <v>5</v>
      </c>
      <c r="F1328" s="2" t="n">
        <v>11</v>
      </c>
      <c r="G1328" s="2" t="n">
        <v>7</v>
      </c>
      <c r="H1328" s="2" t="n">
        <v>4</v>
      </c>
      <c r="I1328" s="2" t="n">
        <v>0</v>
      </c>
      <c r="J1328" s="2" t="n">
        <v>13</v>
      </c>
      <c r="K1328" s="2" t="n">
        <v>27</v>
      </c>
      <c r="L1328" s="11" t="b">
        <f aca="false">TRUE()</f>
        <v>1</v>
      </c>
      <c r="M1328" s="2" t="s">
        <v>406</v>
      </c>
      <c r="N1328" s="2" t="n">
        <f aca="false">IF(E1328&gt;0,F1328/E1328,"")</f>
        <v>2.2</v>
      </c>
      <c r="O1328" s="2" t="n">
        <f aca="false">IF(AND(E1328&gt;0,L1328),J1328/E1328,"")</f>
        <v>2.6</v>
      </c>
    </row>
    <row r="1329" customFormat="false" ht="15" hidden="false" customHeight="false" outlineLevel="0" collapsed="false">
      <c r="A1329" s="2" t="n">
        <v>2024</v>
      </c>
      <c r="B1329" s="2" t="s">
        <v>50</v>
      </c>
      <c r="C1329" s="2" t="s">
        <v>414</v>
      </c>
      <c r="D1329" s="2" t="s">
        <v>24</v>
      </c>
      <c r="E1329" s="2" t="n">
        <v>10</v>
      </c>
      <c r="F1329" s="2" t="n">
        <v>78</v>
      </c>
      <c r="G1329" s="2" t="n">
        <v>49</v>
      </c>
      <c r="H1329" s="2" t="n">
        <v>27</v>
      </c>
      <c r="I1329" s="2" t="n">
        <v>3</v>
      </c>
      <c r="J1329" s="2" t="n">
        <v>118</v>
      </c>
      <c r="K1329" s="2" t="n">
        <v>208</v>
      </c>
      <c r="L1329" s="11" t="b">
        <f aca="false">TRUE()</f>
        <v>1</v>
      </c>
      <c r="M1329" s="2" t="s">
        <v>406</v>
      </c>
      <c r="N1329" s="2" t="n">
        <f aca="false">IF(E1329&gt;0,F1329/E1329,"")</f>
        <v>7.8</v>
      </c>
      <c r="O1329" s="2" t="n">
        <f aca="false">IF(AND(E1329&gt;0,L1329),J1329/E1329,"")</f>
        <v>11.8</v>
      </c>
    </row>
    <row r="1330" customFormat="false" ht="15" hidden="false" customHeight="false" outlineLevel="0" collapsed="false">
      <c r="A1330" s="2" t="n">
        <v>2024</v>
      </c>
      <c r="B1330" s="2" t="s">
        <v>236</v>
      </c>
      <c r="C1330" s="2" t="s">
        <v>543</v>
      </c>
      <c r="D1330" s="2" t="s">
        <v>29</v>
      </c>
      <c r="E1330" s="2" t="n">
        <v>6</v>
      </c>
      <c r="F1330" s="2" t="n">
        <v>22</v>
      </c>
      <c r="G1330" s="2" t="n">
        <v>10</v>
      </c>
      <c r="H1330" s="2" t="n">
        <v>2</v>
      </c>
      <c r="I1330" s="2" t="n">
        <v>6</v>
      </c>
      <c r="J1330" s="2" t="n">
        <v>56</v>
      </c>
      <c r="K1330" s="2" t="n">
        <v>88</v>
      </c>
      <c r="L1330" s="11" t="b">
        <f aca="false">TRUE()</f>
        <v>1</v>
      </c>
      <c r="M1330" s="2" t="s">
        <v>406</v>
      </c>
      <c r="N1330" s="2" t="n">
        <f aca="false">IF(E1330&gt;0,F1330/E1330,"")</f>
        <v>3.66666666666667</v>
      </c>
      <c r="O1330" s="2" t="n">
        <f aca="false">IF(AND(E1330&gt;0,L1330),J1330/E1330,"")</f>
        <v>9.33333333333333</v>
      </c>
    </row>
    <row r="1331" customFormat="false" ht="15" hidden="false" customHeight="false" outlineLevel="0" collapsed="false">
      <c r="A1331" s="2" t="n">
        <v>2024</v>
      </c>
      <c r="B1331" s="2" t="s">
        <v>36</v>
      </c>
      <c r="C1331" s="2" t="s">
        <v>622</v>
      </c>
      <c r="D1331" s="2" t="s">
        <v>24</v>
      </c>
      <c r="E1331" s="2" t="n">
        <v>1</v>
      </c>
      <c r="F1331" s="2" t="n">
        <v>7</v>
      </c>
      <c r="G1331" s="2" t="n">
        <v>6</v>
      </c>
      <c r="H1331" s="2" t="n">
        <v>3</v>
      </c>
      <c r="I1331" s="2" t="n">
        <v>1</v>
      </c>
      <c r="J1331" s="2" t="n">
        <v>30</v>
      </c>
      <c r="K1331" s="2" t="n">
        <v>39</v>
      </c>
      <c r="L1331" s="11" t="b">
        <f aca="false">TRUE()</f>
        <v>1</v>
      </c>
      <c r="M1331" s="2" t="s">
        <v>410</v>
      </c>
      <c r="N1331" s="2" t="n">
        <f aca="false">IF(E1331&gt;0,F1331/E1331,"")</f>
        <v>7</v>
      </c>
      <c r="O1331" s="2" t="n">
        <f aca="false">IF(AND(E1331&gt;0,L1331),J1331/E1331,"")</f>
        <v>30</v>
      </c>
    </row>
    <row r="1332" customFormat="false" ht="15" hidden="false" customHeight="false" outlineLevel="0" collapsed="false">
      <c r="A1332" s="2" t="n">
        <v>2024</v>
      </c>
      <c r="B1332" s="2" t="s">
        <v>540</v>
      </c>
      <c r="C1332" s="2" t="s">
        <v>518</v>
      </c>
      <c r="D1332" s="2" t="s">
        <v>413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11" t="b">
        <f aca="false">TRUE()</f>
        <v>1</v>
      </c>
      <c r="M1332" s="2" t="s">
        <v>410</v>
      </c>
      <c r="N1332" s="2" t="str">
        <f aca="false">IF(E1332&gt;0,F1332/E1332,"")</f>
        <v/>
      </c>
      <c r="O1332" s="2" t="str">
        <f aca="false">IF(AND(E1332&gt;0,L1332),J1332/E1332,"")</f>
        <v/>
      </c>
    </row>
    <row r="1333" customFormat="false" ht="15" hidden="false" customHeight="false" outlineLevel="0" collapsed="false">
      <c r="A1333" s="2" t="n">
        <v>2024</v>
      </c>
      <c r="B1333" s="2" t="s">
        <v>140</v>
      </c>
      <c r="C1333" s="2" t="s">
        <v>408</v>
      </c>
      <c r="D1333" s="2" t="s">
        <v>117</v>
      </c>
      <c r="E1333" s="2" t="n">
        <v>10</v>
      </c>
      <c r="F1333" s="2" t="n">
        <v>9</v>
      </c>
      <c r="G1333" s="2" t="n">
        <v>5</v>
      </c>
      <c r="H1333" s="2" t="n">
        <v>4</v>
      </c>
      <c r="I1333" s="2" t="n">
        <v>0</v>
      </c>
      <c r="J1333" s="2" t="n">
        <v>85</v>
      </c>
      <c r="K1333" s="2" t="n">
        <v>94</v>
      </c>
      <c r="L1333" s="11" t="b">
        <f aca="false">TRUE()</f>
        <v>1</v>
      </c>
      <c r="M1333" s="2" t="s">
        <v>406</v>
      </c>
      <c r="N1333" s="2" t="n">
        <f aca="false">IF(E1333&gt;0,F1333/E1333,"")</f>
        <v>0.9</v>
      </c>
      <c r="O1333" s="2" t="n">
        <f aca="false">IF(AND(E1333&gt;0,L1333),J1333/E1333,"")</f>
        <v>8.5</v>
      </c>
    </row>
    <row r="1334" customFormat="false" ht="15" hidden="false" customHeight="false" outlineLevel="0" collapsed="false">
      <c r="A1334" s="2" t="n">
        <v>2024</v>
      </c>
      <c r="B1334" s="2" t="s">
        <v>243</v>
      </c>
      <c r="C1334" s="2" t="s">
        <v>408</v>
      </c>
      <c r="D1334" s="2" t="s">
        <v>117</v>
      </c>
      <c r="E1334" s="2" t="n">
        <v>10</v>
      </c>
      <c r="F1334" s="2" t="n">
        <v>4</v>
      </c>
      <c r="G1334" s="2" t="n">
        <v>1</v>
      </c>
      <c r="H1334" s="2" t="n">
        <v>0</v>
      </c>
      <c r="I1334" s="2" t="n">
        <v>1</v>
      </c>
      <c r="J1334" s="2" t="n">
        <v>34</v>
      </c>
      <c r="K1334" s="2" t="n">
        <v>39</v>
      </c>
      <c r="L1334" s="11" t="b">
        <f aca="false">TRUE()</f>
        <v>1</v>
      </c>
      <c r="M1334" s="2" t="s">
        <v>406</v>
      </c>
      <c r="N1334" s="2" t="n">
        <f aca="false">IF(E1334&gt;0,F1334/E1334,"")</f>
        <v>0.4</v>
      </c>
      <c r="O1334" s="2" t="n">
        <f aca="false">IF(AND(E1334&gt;0,L1334),J1334/E1334,"")</f>
        <v>3.4</v>
      </c>
    </row>
    <row r="1335" customFormat="false" ht="15" hidden="false" customHeight="false" outlineLevel="0" collapsed="false">
      <c r="A1335" s="2" t="n">
        <v>2024</v>
      </c>
      <c r="B1335" s="2" t="s">
        <v>634</v>
      </c>
      <c r="C1335" s="2" t="s">
        <v>412</v>
      </c>
      <c r="D1335" s="2" t="s">
        <v>83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11" t="b">
        <f aca="false">TRUE()</f>
        <v>1</v>
      </c>
      <c r="M1335" s="2" t="s">
        <v>410</v>
      </c>
      <c r="N1335" s="2" t="str">
        <f aca="false">IF(E1335&gt;0,F1335/E1335,"")</f>
        <v/>
      </c>
      <c r="O1335" s="2" t="str">
        <f aca="false">IF(AND(E1335&gt;0,L1335),J1335/E1335,"")</f>
        <v/>
      </c>
    </row>
    <row r="1336" customFormat="false" ht="15" hidden="false" customHeight="false" outlineLevel="0" collapsed="false">
      <c r="A1336" s="2" t="n">
        <v>2024</v>
      </c>
      <c r="B1336" s="2" t="s">
        <v>198</v>
      </c>
      <c r="C1336" s="2" t="s">
        <v>545</v>
      </c>
      <c r="D1336" s="2" t="s">
        <v>117</v>
      </c>
      <c r="E1336" s="2" t="n">
        <v>10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56</v>
      </c>
      <c r="K1336" s="2" t="n">
        <v>59</v>
      </c>
      <c r="L1336" s="11" t="b">
        <f aca="false">TRUE()</f>
        <v>1</v>
      </c>
      <c r="M1336" s="2" t="s">
        <v>406</v>
      </c>
      <c r="N1336" s="2" t="n">
        <f aca="false">IF(E1336&gt;0,F1336/E1336,"")</f>
        <v>0</v>
      </c>
      <c r="O1336" s="2" t="n">
        <f aca="false">IF(AND(E1336&gt;0,L1336),J1336/E1336,"")</f>
        <v>5.6</v>
      </c>
    </row>
    <row r="1337" customFormat="false" ht="15" hidden="false" customHeight="false" outlineLevel="0" collapsed="false">
      <c r="A1337" s="2" t="n">
        <v>2024</v>
      </c>
      <c r="B1337" s="2" t="s">
        <v>84</v>
      </c>
      <c r="C1337" s="2" t="s">
        <v>622</v>
      </c>
      <c r="D1337" s="2" t="s">
        <v>29</v>
      </c>
      <c r="E1337" s="2" t="n">
        <v>9</v>
      </c>
      <c r="F1337" s="2" t="n">
        <v>26</v>
      </c>
      <c r="G1337" s="2" t="n">
        <v>11</v>
      </c>
      <c r="H1337" s="2" t="n">
        <v>6</v>
      </c>
      <c r="I1337" s="2" t="n">
        <v>6</v>
      </c>
      <c r="J1337" s="2" t="n">
        <v>74</v>
      </c>
      <c r="K1337" s="2" t="n">
        <v>106</v>
      </c>
      <c r="L1337" s="11" t="b">
        <f aca="false">TRUE()</f>
        <v>1</v>
      </c>
      <c r="M1337" s="2" t="s">
        <v>406</v>
      </c>
      <c r="N1337" s="2" t="n">
        <f aca="false">IF(E1337&gt;0,F1337/E1337,"")</f>
        <v>2.88888888888889</v>
      </c>
      <c r="O1337" s="2" t="n">
        <f aca="false">IF(AND(E1337&gt;0,L1337),J1337/E1337,"")</f>
        <v>8.22222222222222</v>
      </c>
    </row>
    <row r="1338" customFormat="false" ht="15" hidden="false" customHeight="false" outlineLevel="0" collapsed="false">
      <c r="A1338" s="2" t="n">
        <v>2024</v>
      </c>
      <c r="B1338" s="2" t="s">
        <v>152</v>
      </c>
      <c r="C1338" s="2" t="s">
        <v>414</v>
      </c>
      <c r="D1338" s="2" t="s">
        <v>117</v>
      </c>
      <c r="E1338" s="2" t="n">
        <v>10</v>
      </c>
      <c r="F1338" s="2" t="n">
        <v>3</v>
      </c>
      <c r="G1338" s="2" t="n">
        <v>3</v>
      </c>
      <c r="H1338" s="2" t="n">
        <v>1</v>
      </c>
      <c r="I1338" s="2" t="n">
        <v>1</v>
      </c>
      <c r="J1338" s="2" t="n">
        <v>74</v>
      </c>
      <c r="K1338" s="2" t="n">
        <v>83</v>
      </c>
      <c r="L1338" s="11" t="b">
        <f aca="false">TRUE()</f>
        <v>1</v>
      </c>
      <c r="M1338" s="2" t="s">
        <v>406</v>
      </c>
      <c r="N1338" s="2" t="n">
        <f aca="false">IF(E1338&gt;0,F1338/E1338,"")</f>
        <v>0.3</v>
      </c>
      <c r="O1338" s="2" t="n">
        <f aca="false">IF(AND(E1338&gt;0,L1338),J1338/E1338,"")</f>
        <v>7.4</v>
      </c>
    </row>
    <row r="1339" customFormat="false" ht="15" hidden="false" customHeight="false" outlineLevel="0" collapsed="false">
      <c r="A1339" s="2" t="n">
        <v>2024</v>
      </c>
      <c r="B1339" s="2" t="s">
        <v>89</v>
      </c>
      <c r="C1339" s="2" t="s">
        <v>622</v>
      </c>
      <c r="D1339" s="2" t="s">
        <v>29</v>
      </c>
      <c r="E1339" s="2" t="n">
        <v>10</v>
      </c>
      <c r="F1339" s="2" t="n">
        <v>37</v>
      </c>
      <c r="G1339" s="2" t="n">
        <v>22</v>
      </c>
      <c r="H1339" s="2" t="n">
        <v>6</v>
      </c>
      <c r="I1339" s="2" t="n">
        <v>10</v>
      </c>
      <c r="J1339" s="2" t="n">
        <v>278</v>
      </c>
      <c r="K1339" s="2" t="n">
        <v>326</v>
      </c>
      <c r="L1339" s="11" t="b">
        <f aca="false">TRUE()</f>
        <v>1</v>
      </c>
      <c r="M1339" s="2" t="s">
        <v>406</v>
      </c>
      <c r="N1339" s="2" t="n">
        <f aca="false">IF(E1339&gt;0,F1339/E1339,"")</f>
        <v>3.7</v>
      </c>
      <c r="O1339" s="2" t="n">
        <f aca="false">IF(AND(E1339&gt;0,L1339),J1339/E1339,"")</f>
        <v>27.8</v>
      </c>
    </row>
    <row r="1340" customFormat="false" ht="15" hidden="false" customHeight="false" outlineLevel="0" collapsed="false">
      <c r="A1340" s="2" t="n">
        <v>2024</v>
      </c>
      <c r="B1340" s="2" t="s">
        <v>374</v>
      </c>
      <c r="C1340" s="2" t="s">
        <v>414</v>
      </c>
      <c r="D1340" s="2" t="s">
        <v>115</v>
      </c>
      <c r="E1340" s="2" t="n">
        <v>3</v>
      </c>
      <c r="F1340" s="2" t="n">
        <v>1</v>
      </c>
      <c r="G1340" s="2" t="n">
        <v>0</v>
      </c>
      <c r="H1340" s="2" t="n">
        <v>0</v>
      </c>
      <c r="I1340" s="2" t="n">
        <v>1</v>
      </c>
      <c r="J1340" s="2" t="n">
        <v>5</v>
      </c>
      <c r="K1340" s="2" t="n">
        <v>7</v>
      </c>
      <c r="L1340" s="11" t="b">
        <f aca="false">TRUE()</f>
        <v>1</v>
      </c>
      <c r="M1340" s="2" t="s">
        <v>406</v>
      </c>
      <c r="N1340" s="2" t="n">
        <f aca="false">IF(E1340&gt;0,F1340/E1340,"")</f>
        <v>0.333333333333333</v>
      </c>
      <c r="O1340" s="2" t="n">
        <f aca="false">IF(AND(E1340&gt;0,L1340),J1340/E1340,"")</f>
        <v>1.66666666666667</v>
      </c>
    </row>
    <row r="1341" customFormat="false" ht="15" hidden="false" customHeight="false" outlineLevel="0" collapsed="false">
      <c r="A1341" s="2" t="n">
        <v>2024</v>
      </c>
      <c r="B1341" s="2" t="s">
        <v>148</v>
      </c>
      <c r="C1341" s="2" t="s">
        <v>545</v>
      </c>
      <c r="D1341" s="2" t="s">
        <v>117</v>
      </c>
      <c r="E1341" s="2" t="n">
        <v>10</v>
      </c>
      <c r="F1341" s="2" t="n">
        <v>18</v>
      </c>
      <c r="G1341" s="2" t="n">
        <v>3</v>
      </c>
      <c r="H1341" s="2" t="n">
        <v>0</v>
      </c>
      <c r="I1341" s="2" t="n">
        <v>1</v>
      </c>
      <c r="J1341" s="2" t="n">
        <v>68</v>
      </c>
      <c r="K1341" s="2" t="n">
        <v>92</v>
      </c>
      <c r="L1341" s="11" t="b">
        <f aca="false">TRUE()</f>
        <v>1</v>
      </c>
      <c r="M1341" s="2" t="s">
        <v>406</v>
      </c>
      <c r="N1341" s="2" t="n">
        <f aca="false">IF(E1341&gt;0,F1341/E1341,"")</f>
        <v>1.8</v>
      </c>
      <c r="O1341" s="2" t="n">
        <f aca="false">IF(AND(E1341&gt;0,L1341),J1341/E1341,"")</f>
        <v>6.8</v>
      </c>
    </row>
    <row r="1342" customFormat="false" ht="15" hidden="false" customHeight="false" outlineLevel="0" collapsed="false">
      <c r="A1342" s="2" t="n">
        <v>2025</v>
      </c>
      <c r="B1342" s="2" t="s">
        <v>197</v>
      </c>
      <c r="C1342" s="2" t="s">
        <v>412</v>
      </c>
      <c r="D1342" s="2" t="s">
        <v>117</v>
      </c>
      <c r="E1342" s="2" t="n">
        <v>10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52</v>
      </c>
      <c r="K1342" s="2" t="n">
        <v>56</v>
      </c>
      <c r="L1342" s="11" t="b">
        <f aca="false">TRUE()</f>
        <v>1</v>
      </c>
      <c r="M1342" s="2" t="s">
        <v>406</v>
      </c>
      <c r="N1342" s="2" t="n">
        <f aca="false">IF(E1342&gt;0,F1342/E1342,"")</f>
        <v>0</v>
      </c>
      <c r="O1342" s="2" t="n">
        <f aca="false">IF(AND(E1342&gt;0,L1342),J1342/E1342,"")</f>
        <v>5.2</v>
      </c>
    </row>
    <row r="1343" customFormat="false" ht="15" hidden="false" customHeight="false" outlineLevel="0" collapsed="false">
      <c r="A1343" s="2" t="n">
        <v>2025</v>
      </c>
      <c r="B1343" s="2" t="s">
        <v>102</v>
      </c>
      <c r="C1343" s="2" t="s">
        <v>412</v>
      </c>
      <c r="D1343" s="2" t="s">
        <v>29</v>
      </c>
      <c r="E1343" s="2" t="n">
        <v>2</v>
      </c>
      <c r="F1343" s="2" t="n">
        <v>4</v>
      </c>
      <c r="G1343" s="2" t="n">
        <v>1</v>
      </c>
      <c r="H1343" s="2" t="n">
        <v>0</v>
      </c>
      <c r="I1343" s="2" t="n">
        <v>0</v>
      </c>
      <c r="J1343" s="2" t="n">
        <v>13</v>
      </c>
      <c r="K1343" s="2" t="n">
        <v>19</v>
      </c>
      <c r="L1343" s="11" t="b">
        <f aca="false">TRUE()</f>
        <v>1</v>
      </c>
      <c r="M1343" s="2" t="s">
        <v>410</v>
      </c>
      <c r="N1343" s="2" t="n">
        <f aca="false">IF(E1343&gt;0,F1343/E1343,"")</f>
        <v>2</v>
      </c>
      <c r="O1343" s="2" t="n">
        <f aca="false">IF(AND(E1343&gt;0,L1343),J1343/E1343,"")</f>
        <v>6.5</v>
      </c>
    </row>
    <row r="1344" customFormat="false" ht="15" hidden="false" customHeight="false" outlineLevel="0" collapsed="false">
      <c r="A1344" s="2" t="n">
        <v>2025</v>
      </c>
      <c r="B1344" s="2" t="s">
        <v>363</v>
      </c>
      <c r="C1344" s="2" t="s">
        <v>414</v>
      </c>
      <c r="D1344" s="2" t="s">
        <v>83</v>
      </c>
      <c r="E1344" s="2" t="n">
        <v>2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15</v>
      </c>
      <c r="K1344" s="2" t="n">
        <v>15</v>
      </c>
      <c r="L1344" s="11" t="b">
        <f aca="false">TRUE()</f>
        <v>1</v>
      </c>
      <c r="M1344" s="2" t="s">
        <v>410</v>
      </c>
      <c r="N1344" s="2" t="n">
        <f aca="false">IF(E1344&gt;0,F1344/E1344,"")</f>
        <v>0</v>
      </c>
      <c r="O1344" s="2" t="n">
        <f aca="false">IF(AND(E1344&gt;0,L1344),J1344/E1344,"")</f>
        <v>7.5</v>
      </c>
    </row>
    <row r="1345" customFormat="false" ht="15" hidden="false" customHeight="false" outlineLevel="0" collapsed="false">
      <c r="A1345" s="2" t="n">
        <v>2025</v>
      </c>
      <c r="B1345" s="2" t="s">
        <v>52</v>
      </c>
      <c r="C1345" s="2" t="s">
        <v>408</v>
      </c>
      <c r="D1345" s="2" t="s">
        <v>29</v>
      </c>
      <c r="E1345" s="2" t="n">
        <v>9</v>
      </c>
      <c r="F1345" s="2" t="n">
        <v>19</v>
      </c>
      <c r="G1345" s="2" t="n">
        <v>11</v>
      </c>
      <c r="H1345" s="2" t="n">
        <v>7</v>
      </c>
      <c r="I1345" s="2" t="n">
        <v>1</v>
      </c>
      <c r="J1345" s="2" t="n">
        <v>80</v>
      </c>
      <c r="K1345" s="2" t="n">
        <v>107</v>
      </c>
      <c r="L1345" s="11" t="b">
        <f aca="false">TRUE()</f>
        <v>1</v>
      </c>
      <c r="M1345" s="2" t="s">
        <v>406</v>
      </c>
      <c r="N1345" s="2" t="n">
        <f aca="false">IF(E1345&gt;0,F1345/E1345,"")</f>
        <v>2.11111111111111</v>
      </c>
      <c r="O1345" s="2" t="n">
        <f aca="false">IF(AND(E1345&gt;0,L1345),J1345/E1345,"")</f>
        <v>8.88888888888889</v>
      </c>
    </row>
    <row r="1346" customFormat="false" ht="15" hidden="false" customHeight="false" outlineLevel="0" collapsed="false">
      <c r="A1346" s="2" t="n">
        <v>2025</v>
      </c>
      <c r="B1346" s="2" t="s">
        <v>54</v>
      </c>
      <c r="C1346" s="2" t="s">
        <v>408</v>
      </c>
      <c r="D1346" s="2" t="s">
        <v>29</v>
      </c>
      <c r="E1346" s="2" t="n">
        <v>8</v>
      </c>
      <c r="F1346" s="2" t="n">
        <v>32</v>
      </c>
      <c r="G1346" s="2" t="n">
        <v>14</v>
      </c>
      <c r="H1346" s="2" t="n">
        <v>3</v>
      </c>
      <c r="I1346" s="2" t="n">
        <v>8</v>
      </c>
      <c r="J1346" s="2" t="n">
        <v>166</v>
      </c>
      <c r="K1346" s="2" t="n">
        <v>215</v>
      </c>
      <c r="L1346" s="11" t="b">
        <f aca="false">TRUE()</f>
        <v>1</v>
      </c>
      <c r="M1346" s="2" t="s">
        <v>406</v>
      </c>
      <c r="N1346" s="2" t="n">
        <f aca="false">IF(E1346&gt;0,F1346/E1346,"")</f>
        <v>4</v>
      </c>
      <c r="O1346" s="2" t="n">
        <f aca="false">IF(AND(E1346&gt;0,L1346),J1346/E1346,"")</f>
        <v>20.75</v>
      </c>
    </row>
    <row r="1347" customFormat="false" ht="15" hidden="false" customHeight="false" outlineLevel="0" collapsed="false">
      <c r="A1347" s="2" t="n">
        <v>2025</v>
      </c>
      <c r="B1347" s="2" t="s">
        <v>49</v>
      </c>
      <c r="C1347" s="2" t="s">
        <v>622</v>
      </c>
      <c r="D1347" s="2" t="s">
        <v>29</v>
      </c>
      <c r="E1347" s="2" t="n">
        <v>10</v>
      </c>
      <c r="F1347" s="2" t="n">
        <v>27</v>
      </c>
      <c r="G1347" s="2" t="n">
        <v>14</v>
      </c>
      <c r="H1347" s="2" t="n">
        <v>9</v>
      </c>
      <c r="I1347" s="2" t="n">
        <v>1</v>
      </c>
      <c r="J1347" s="2" t="n">
        <v>112</v>
      </c>
      <c r="K1347" s="2" t="n">
        <v>148</v>
      </c>
      <c r="L1347" s="11" t="b">
        <f aca="false">TRUE()</f>
        <v>1</v>
      </c>
      <c r="M1347" s="2" t="s">
        <v>406</v>
      </c>
      <c r="N1347" s="2" t="n">
        <f aca="false">IF(E1347&gt;0,F1347/E1347,"")</f>
        <v>2.7</v>
      </c>
      <c r="O1347" s="2" t="n">
        <f aca="false">IF(AND(E1347&gt;0,L1347),J1347/E1347,"")</f>
        <v>11.2</v>
      </c>
    </row>
    <row r="1348" customFormat="false" ht="15" hidden="false" customHeight="false" outlineLevel="0" collapsed="false">
      <c r="A1348" s="2" t="n">
        <v>2025</v>
      </c>
      <c r="B1348" s="2" t="s">
        <v>103</v>
      </c>
      <c r="C1348" s="2" t="s">
        <v>414</v>
      </c>
      <c r="D1348" s="2" t="s">
        <v>29</v>
      </c>
      <c r="E1348" s="2" t="n">
        <v>8</v>
      </c>
      <c r="F1348" s="2" t="n">
        <v>32</v>
      </c>
      <c r="G1348" s="2" t="n">
        <v>23</v>
      </c>
      <c r="H1348" s="2" t="n">
        <v>9</v>
      </c>
      <c r="I1348" s="2" t="n">
        <v>1</v>
      </c>
      <c r="J1348" s="2" t="n">
        <v>77</v>
      </c>
      <c r="K1348" s="2" t="n">
        <v>115</v>
      </c>
      <c r="L1348" s="11" t="b">
        <f aca="false">TRUE()</f>
        <v>1</v>
      </c>
      <c r="M1348" s="2" t="s">
        <v>406</v>
      </c>
      <c r="N1348" s="2" t="n">
        <f aca="false">IF(E1348&gt;0,F1348/E1348,"")</f>
        <v>4</v>
      </c>
      <c r="O1348" s="2" t="n">
        <f aca="false">IF(AND(E1348&gt;0,L1348),J1348/E1348,"")</f>
        <v>9.625</v>
      </c>
    </row>
    <row r="1349" customFormat="false" ht="15" hidden="false" customHeight="false" outlineLevel="0" collapsed="false">
      <c r="A1349" s="2" t="n">
        <v>2025</v>
      </c>
      <c r="B1349" s="2" t="s">
        <v>75</v>
      </c>
      <c r="C1349" s="2" t="s">
        <v>420</v>
      </c>
      <c r="D1349" s="2" t="s">
        <v>29</v>
      </c>
      <c r="E1349" s="2" t="n">
        <v>1</v>
      </c>
      <c r="F1349" s="2" t="n">
        <v>2</v>
      </c>
      <c r="G1349" s="2" t="n">
        <v>2</v>
      </c>
      <c r="H1349" s="2" t="n">
        <v>0</v>
      </c>
      <c r="I1349" s="2" t="n">
        <v>0</v>
      </c>
      <c r="J1349" s="2" t="n">
        <v>7</v>
      </c>
      <c r="K1349" s="2" t="n">
        <v>9</v>
      </c>
      <c r="L1349" s="11" t="b">
        <f aca="false">TRUE()</f>
        <v>1</v>
      </c>
      <c r="M1349" s="2" t="s">
        <v>410</v>
      </c>
      <c r="N1349" s="2" t="n">
        <f aca="false">IF(E1349&gt;0,F1349/E1349,"")</f>
        <v>2</v>
      </c>
      <c r="O1349" s="2" t="n">
        <f aca="false">IF(AND(E1349&gt;0,L1349),J1349/E1349,"")</f>
        <v>7</v>
      </c>
    </row>
    <row r="1350" customFormat="false" ht="15" hidden="false" customHeight="false" outlineLevel="0" collapsed="false">
      <c r="A1350" s="2" t="n">
        <v>2025</v>
      </c>
      <c r="B1350" s="2" t="s">
        <v>200</v>
      </c>
      <c r="C1350" s="2" t="s">
        <v>414</v>
      </c>
      <c r="D1350" s="2" t="s">
        <v>29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11" t="b">
        <f aca="false">TRUE()</f>
        <v>1</v>
      </c>
      <c r="M1350" s="2" t="s">
        <v>410</v>
      </c>
      <c r="N1350" s="2" t="str">
        <f aca="false">IF(E1350&gt;0,F1350/E1350,"")</f>
        <v/>
      </c>
      <c r="O1350" s="2" t="str">
        <f aca="false">IF(AND(E1350&gt;0,L1350),J1350/E1350,"")</f>
        <v/>
      </c>
    </row>
    <row r="1351" customFormat="false" ht="15" hidden="false" customHeight="false" outlineLevel="0" collapsed="false">
      <c r="A1351" s="2" t="n">
        <v>2025</v>
      </c>
      <c r="B1351" s="2" t="s">
        <v>136</v>
      </c>
      <c r="C1351" s="2" t="s">
        <v>405</v>
      </c>
      <c r="D1351" s="2" t="s">
        <v>29</v>
      </c>
      <c r="E1351" s="2" t="n">
        <v>10</v>
      </c>
      <c r="F1351" s="2" t="n">
        <v>22</v>
      </c>
      <c r="G1351" s="2" t="n">
        <v>20</v>
      </c>
      <c r="H1351" s="2" t="n">
        <v>7</v>
      </c>
      <c r="I1351" s="2" t="n">
        <v>2</v>
      </c>
      <c r="J1351" s="2" t="n">
        <v>129</v>
      </c>
      <c r="K1351" s="2" t="n">
        <v>158</v>
      </c>
      <c r="L1351" s="11" t="b">
        <f aca="false">TRUE()</f>
        <v>1</v>
      </c>
      <c r="M1351" s="2" t="s">
        <v>406</v>
      </c>
      <c r="N1351" s="2" t="n">
        <f aca="false">IF(E1351&gt;0,F1351/E1351,"")</f>
        <v>2.2</v>
      </c>
      <c r="O1351" s="2" t="n">
        <f aca="false">IF(AND(E1351&gt;0,L1351),J1351/E1351,"")</f>
        <v>12.9</v>
      </c>
    </row>
    <row r="1352" customFormat="false" ht="15" hidden="false" customHeight="false" outlineLevel="0" collapsed="false">
      <c r="A1352" s="2" t="n">
        <v>2025</v>
      </c>
      <c r="B1352" s="2" t="s">
        <v>411</v>
      </c>
      <c r="C1352" s="2" t="s">
        <v>412</v>
      </c>
      <c r="D1352" s="2" t="s">
        <v>413</v>
      </c>
      <c r="E1352" s="2" t="n">
        <v>10</v>
      </c>
      <c r="F1352" s="2" t="n">
        <v>14</v>
      </c>
      <c r="G1352" s="2" t="n">
        <v>10</v>
      </c>
      <c r="H1352" s="2" t="n">
        <v>4</v>
      </c>
      <c r="I1352" s="2" t="n">
        <v>1</v>
      </c>
      <c r="J1352" s="2" t="n">
        <v>91</v>
      </c>
      <c r="K1352" s="2" t="n">
        <v>112</v>
      </c>
      <c r="L1352" s="11" t="b">
        <f aca="false">TRUE()</f>
        <v>1</v>
      </c>
      <c r="M1352" s="2" t="s">
        <v>410</v>
      </c>
      <c r="N1352" s="2" t="n">
        <f aca="false">IF(E1352&gt;0,F1352/E1352,"")</f>
        <v>1.4</v>
      </c>
      <c r="O1352" s="2" t="n">
        <f aca="false">IF(AND(E1352&gt;0,L1352),J1352/E1352,"")</f>
        <v>9.1</v>
      </c>
    </row>
    <row r="1353" customFormat="false" ht="15" hidden="false" customHeight="false" outlineLevel="0" collapsed="false">
      <c r="A1353" s="2" t="n">
        <v>2025</v>
      </c>
      <c r="B1353" s="2" t="s">
        <v>388</v>
      </c>
      <c r="C1353" s="2" t="s">
        <v>408</v>
      </c>
      <c r="D1353" s="2" t="s">
        <v>117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11" t="b">
        <f aca="false">TRUE()</f>
        <v>1</v>
      </c>
      <c r="M1353" s="2" t="s">
        <v>410</v>
      </c>
      <c r="N1353" s="2" t="str">
        <f aca="false">IF(E1353&gt;0,F1353/E1353,"")</f>
        <v/>
      </c>
      <c r="O1353" s="2" t="str">
        <f aca="false">IF(AND(E1353&gt;0,L1353),J1353/E1353,"")</f>
        <v/>
      </c>
    </row>
    <row r="1354" customFormat="false" ht="15" hidden="false" customHeight="false" outlineLevel="0" collapsed="false">
      <c r="A1354" s="2" t="n">
        <v>2025</v>
      </c>
      <c r="B1354" s="2" t="s">
        <v>104</v>
      </c>
      <c r="C1354" s="2" t="s">
        <v>405</v>
      </c>
      <c r="D1354" s="2" t="s">
        <v>24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11" t="b">
        <f aca="false">TRUE()</f>
        <v>1</v>
      </c>
      <c r="M1354" s="2" t="s">
        <v>410</v>
      </c>
      <c r="N1354" s="2" t="str">
        <f aca="false">IF(E1354&gt;0,F1354/E1354,"")</f>
        <v/>
      </c>
      <c r="O1354" s="2" t="str">
        <f aca="false">IF(AND(E1354&gt;0,L1354),J1354/E1354,"")</f>
        <v/>
      </c>
    </row>
    <row r="1355" customFormat="false" ht="15" hidden="false" customHeight="false" outlineLevel="0" collapsed="false">
      <c r="A1355" s="2" t="n">
        <v>2025</v>
      </c>
      <c r="B1355" s="2" t="s">
        <v>179</v>
      </c>
      <c r="C1355" s="2" t="s">
        <v>414</v>
      </c>
      <c r="D1355" s="2" t="s">
        <v>83</v>
      </c>
      <c r="E1355" s="2" t="n">
        <v>10</v>
      </c>
      <c r="F1355" s="2" t="n">
        <v>5</v>
      </c>
      <c r="G1355" s="2" t="n">
        <v>2</v>
      </c>
      <c r="H1355" s="2" t="n">
        <v>1</v>
      </c>
      <c r="I1355" s="2" t="n">
        <v>0</v>
      </c>
      <c r="J1355" s="2" t="n">
        <v>45</v>
      </c>
      <c r="K1355" s="2" t="n">
        <v>53</v>
      </c>
      <c r="L1355" s="11" t="b">
        <f aca="false">TRUE()</f>
        <v>1</v>
      </c>
      <c r="M1355" s="2" t="s">
        <v>406</v>
      </c>
      <c r="N1355" s="2" t="n">
        <f aca="false">IF(E1355&gt;0,F1355/E1355,"")</f>
        <v>0.5</v>
      </c>
      <c r="O1355" s="2" t="n">
        <f aca="false">IF(AND(E1355&gt;0,L1355),J1355/E1355,"")</f>
        <v>4.5</v>
      </c>
    </row>
    <row r="1356" customFormat="false" ht="15" hidden="false" customHeight="false" outlineLevel="0" collapsed="false">
      <c r="A1356" s="2" t="n">
        <v>2025</v>
      </c>
      <c r="B1356" s="2" t="s">
        <v>94</v>
      </c>
      <c r="C1356" s="2" t="s">
        <v>622</v>
      </c>
      <c r="D1356" s="2" t="s">
        <v>29</v>
      </c>
      <c r="E1356" s="2" t="n">
        <v>9</v>
      </c>
      <c r="F1356" s="2" t="n">
        <v>53</v>
      </c>
      <c r="G1356" s="2" t="n">
        <v>33</v>
      </c>
      <c r="H1356" s="2" t="n">
        <v>18</v>
      </c>
      <c r="I1356" s="2" t="n">
        <v>4</v>
      </c>
      <c r="J1356" s="2" t="n">
        <v>166</v>
      </c>
      <c r="K1356" s="2" t="n">
        <v>236</v>
      </c>
      <c r="L1356" s="11" t="b">
        <f aca="false">TRUE()</f>
        <v>1</v>
      </c>
      <c r="M1356" s="2" t="s">
        <v>406</v>
      </c>
      <c r="N1356" s="2" t="n">
        <f aca="false">IF(E1356&gt;0,F1356/E1356,"")</f>
        <v>5.88888888888889</v>
      </c>
      <c r="O1356" s="2" t="n">
        <f aca="false">IF(AND(E1356&gt;0,L1356),J1356/E1356,"")</f>
        <v>18.4444444444444</v>
      </c>
    </row>
    <row r="1357" customFormat="false" ht="15" hidden="false" customHeight="false" outlineLevel="0" collapsed="false">
      <c r="A1357" s="2" t="n">
        <v>2025</v>
      </c>
      <c r="B1357" s="2" t="s">
        <v>161</v>
      </c>
      <c r="C1357" s="2" t="s">
        <v>622</v>
      </c>
      <c r="D1357" s="2" t="s">
        <v>117</v>
      </c>
      <c r="E1357" s="2" t="n">
        <v>10</v>
      </c>
      <c r="F1357" s="2" t="n">
        <v>1</v>
      </c>
      <c r="G1357" s="2" t="n">
        <v>0</v>
      </c>
      <c r="H1357" s="2" t="n">
        <v>0</v>
      </c>
      <c r="I1357" s="2" t="n">
        <v>0</v>
      </c>
      <c r="J1357" s="2" t="n">
        <v>64</v>
      </c>
      <c r="K1357" s="2" t="n">
        <v>67</v>
      </c>
      <c r="L1357" s="11" t="b">
        <f aca="false">TRUE()</f>
        <v>1</v>
      </c>
      <c r="M1357" s="2" t="s">
        <v>406</v>
      </c>
      <c r="N1357" s="2" t="n">
        <f aca="false">IF(E1357&gt;0,F1357/E1357,"")</f>
        <v>0.1</v>
      </c>
      <c r="O1357" s="2" t="n">
        <f aca="false">IF(AND(E1357&gt;0,L1357),J1357/E1357,"")</f>
        <v>6.4</v>
      </c>
    </row>
    <row r="1358" customFormat="false" ht="15" hidden="false" customHeight="false" outlineLevel="0" collapsed="false">
      <c r="A1358" s="2" t="n">
        <v>2025</v>
      </c>
      <c r="B1358" s="2" t="s">
        <v>416</v>
      </c>
      <c r="C1358" s="2" t="s">
        <v>414</v>
      </c>
      <c r="D1358" s="2" t="s">
        <v>409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11" t="b">
        <f aca="false">TRUE()</f>
        <v>1</v>
      </c>
      <c r="M1358" s="2" t="s">
        <v>410</v>
      </c>
      <c r="N1358" s="2" t="str">
        <f aca="false">IF(E1358&gt;0,F1358/E1358,"")</f>
        <v/>
      </c>
      <c r="O1358" s="2" t="str">
        <f aca="false">IF(AND(E1358&gt;0,L1358),J1358/E1358,"")</f>
        <v/>
      </c>
    </row>
    <row r="1359" customFormat="false" ht="15" hidden="false" customHeight="false" outlineLevel="0" collapsed="false">
      <c r="A1359" s="2" t="n">
        <v>2025</v>
      </c>
      <c r="B1359" s="2" t="s">
        <v>59</v>
      </c>
      <c r="C1359" s="2" t="s">
        <v>405</v>
      </c>
      <c r="D1359" s="2" t="s">
        <v>29</v>
      </c>
      <c r="E1359" s="2" t="n">
        <v>7</v>
      </c>
      <c r="F1359" s="2" t="n">
        <v>26</v>
      </c>
      <c r="G1359" s="2" t="n">
        <v>17</v>
      </c>
      <c r="H1359" s="2" t="n">
        <v>5</v>
      </c>
      <c r="I1359" s="2" t="n">
        <v>3</v>
      </c>
      <c r="J1359" s="2" t="n">
        <v>81</v>
      </c>
      <c r="K1359" s="2" t="n">
        <v>113</v>
      </c>
      <c r="L1359" s="11" t="b">
        <f aca="false">TRUE()</f>
        <v>1</v>
      </c>
      <c r="M1359" s="2" t="s">
        <v>406</v>
      </c>
      <c r="N1359" s="2" t="n">
        <f aca="false">IF(E1359&gt;0,F1359/E1359,"")</f>
        <v>3.71428571428571</v>
      </c>
      <c r="O1359" s="2" t="n">
        <f aca="false">IF(AND(E1359&gt;0,L1359),J1359/E1359,"")</f>
        <v>11.5714285714286</v>
      </c>
    </row>
    <row r="1360" customFormat="false" ht="15" hidden="false" customHeight="false" outlineLevel="0" collapsed="false">
      <c r="A1360" s="2" t="n">
        <v>2025</v>
      </c>
      <c r="B1360" s="2" t="s">
        <v>635</v>
      </c>
      <c r="C1360" s="2" t="s">
        <v>622</v>
      </c>
      <c r="D1360" s="2" t="s">
        <v>117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11" t="b">
        <f aca="false">TRUE()</f>
        <v>1</v>
      </c>
      <c r="M1360" s="2" t="s">
        <v>410</v>
      </c>
      <c r="N1360" s="2" t="str">
        <f aca="false">IF(E1360&gt;0,F1360/E1360,"")</f>
        <v/>
      </c>
      <c r="O1360" s="2" t="str">
        <f aca="false">IF(AND(E1360&gt;0,L1360),J1360/E1360,"")</f>
        <v/>
      </c>
    </row>
    <row r="1361" customFormat="false" ht="15" hidden="false" customHeight="false" outlineLevel="0" collapsed="false">
      <c r="A1361" s="2" t="n">
        <v>2025</v>
      </c>
      <c r="B1361" s="2" t="s">
        <v>154</v>
      </c>
      <c r="C1361" s="2" t="s">
        <v>518</v>
      </c>
      <c r="D1361" s="2" t="s">
        <v>24</v>
      </c>
      <c r="E1361" s="2" t="n">
        <v>1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7</v>
      </c>
      <c r="K1361" s="2" t="n">
        <v>7</v>
      </c>
      <c r="L1361" s="11" t="b">
        <f aca="false">TRUE()</f>
        <v>1</v>
      </c>
      <c r="M1361" s="2" t="s">
        <v>410</v>
      </c>
      <c r="N1361" s="2" t="n">
        <f aca="false">IF(E1361&gt;0,F1361/E1361,"")</f>
        <v>0</v>
      </c>
      <c r="O1361" s="2" t="n">
        <f aca="false">IF(AND(E1361&gt;0,L1361),J1361/E1361,"")</f>
        <v>7</v>
      </c>
    </row>
    <row r="1362" customFormat="false" ht="15" hidden="false" customHeight="false" outlineLevel="0" collapsed="false">
      <c r="A1362" s="2" t="n">
        <v>2025</v>
      </c>
      <c r="B1362" s="2" t="s">
        <v>113</v>
      </c>
      <c r="C1362" s="2" t="s">
        <v>408</v>
      </c>
      <c r="D1362" s="2" t="s">
        <v>83</v>
      </c>
      <c r="E1362" s="2" t="n">
        <v>10</v>
      </c>
      <c r="F1362" s="2" t="n">
        <v>6</v>
      </c>
      <c r="G1362" s="2" t="n">
        <v>4</v>
      </c>
      <c r="H1362" s="2" t="n">
        <v>2</v>
      </c>
      <c r="I1362" s="2" t="n">
        <v>1</v>
      </c>
      <c r="J1362" s="2" t="n">
        <v>87</v>
      </c>
      <c r="K1362" s="2" t="n">
        <v>101</v>
      </c>
      <c r="L1362" s="11" t="b">
        <f aca="false">TRUE()</f>
        <v>1</v>
      </c>
      <c r="M1362" s="2" t="s">
        <v>406</v>
      </c>
      <c r="N1362" s="2" t="n">
        <f aca="false">IF(E1362&gt;0,F1362/E1362,"")</f>
        <v>0.6</v>
      </c>
      <c r="O1362" s="2" t="n">
        <f aca="false">IF(AND(E1362&gt;0,L1362),J1362/E1362,"")</f>
        <v>8.7</v>
      </c>
    </row>
    <row r="1363" customFormat="false" ht="15" hidden="false" customHeight="false" outlineLevel="0" collapsed="false">
      <c r="A1363" s="2" t="n">
        <v>2025</v>
      </c>
      <c r="B1363" s="2" t="s">
        <v>238</v>
      </c>
      <c r="C1363" s="2" t="s">
        <v>420</v>
      </c>
      <c r="D1363" s="2" t="s">
        <v>117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11" t="b">
        <f aca="false">TRUE()</f>
        <v>1</v>
      </c>
      <c r="M1363" s="2" t="s">
        <v>410</v>
      </c>
      <c r="N1363" s="2" t="str">
        <f aca="false">IF(E1363&gt;0,F1363/E1363,"")</f>
        <v/>
      </c>
      <c r="O1363" s="2" t="str">
        <f aca="false">IF(AND(E1363&gt;0,L1363),J1363/E1363,"")</f>
        <v/>
      </c>
    </row>
    <row r="1364" customFormat="false" ht="15" hidden="false" customHeight="false" outlineLevel="0" collapsed="false">
      <c r="A1364" s="2" t="n">
        <v>2025</v>
      </c>
      <c r="B1364" s="2" t="s">
        <v>127</v>
      </c>
      <c r="C1364" s="2" t="s">
        <v>412</v>
      </c>
      <c r="D1364" s="2" t="s">
        <v>29</v>
      </c>
      <c r="E1364" s="2" t="n">
        <v>7</v>
      </c>
      <c r="F1364" s="2" t="n">
        <v>20</v>
      </c>
      <c r="G1364" s="2" t="n">
        <v>17</v>
      </c>
      <c r="H1364" s="2" t="n">
        <v>10</v>
      </c>
      <c r="I1364" s="2" t="n">
        <v>3</v>
      </c>
      <c r="J1364" s="2" t="n">
        <v>70</v>
      </c>
      <c r="K1364" s="2" t="n">
        <v>95</v>
      </c>
      <c r="L1364" s="11" t="b">
        <f aca="false">TRUE()</f>
        <v>1</v>
      </c>
      <c r="M1364" s="2" t="s">
        <v>406</v>
      </c>
      <c r="N1364" s="2" t="n">
        <f aca="false">IF(E1364&gt;0,F1364/E1364,"")</f>
        <v>2.85714285714286</v>
      </c>
      <c r="O1364" s="2" t="n">
        <f aca="false">IF(AND(E1364&gt;0,L1364),J1364/E1364,"")</f>
        <v>10</v>
      </c>
    </row>
    <row r="1365" customFormat="false" ht="15" hidden="false" customHeight="false" outlineLevel="0" collapsed="false">
      <c r="A1365" s="2" t="n">
        <v>2025</v>
      </c>
      <c r="B1365" s="2" t="s">
        <v>71</v>
      </c>
      <c r="C1365" s="2" t="s">
        <v>414</v>
      </c>
      <c r="D1365" s="2" t="s">
        <v>29</v>
      </c>
      <c r="E1365" s="2" t="n">
        <v>10</v>
      </c>
      <c r="F1365" s="2" t="n">
        <v>58</v>
      </c>
      <c r="G1365" s="2" t="n">
        <v>41</v>
      </c>
      <c r="H1365" s="2" t="n">
        <v>22</v>
      </c>
      <c r="I1365" s="2" t="n">
        <v>3</v>
      </c>
      <c r="J1365" s="2" t="n">
        <v>172</v>
      </c>
      <c r="K1365" s="2" t="n">
        <v>241</v>
      </c>
      <c r="L1365" s="11" t="b">
        <f aca="false">TRUE()</f>
        <v>1</v>
      </c>
      <c r="M1365" s="2" t="s">
        <v>406</v>
      </c>
      <c r="N1365" s="2" t="n">
        <f aca="false">IF(E1365&gt;0,F1365/E1365,"")</f>
        <v>5.8</v>
      </c>
      <c r="O1365" s="2" t="n">
        <f aca="false">IF(AND(E1365&gt;0,L1365),J1365/E1365,"")</f>
        <v>17.2</v>
      </c>
    </row>
    <row r="1366" customFormat="false" ht="15" hidden="false" customHeight="false" outlineLevel="0" collapsed="false">
      <c r="A1366" s="2" t="n">
        <v>2025</v>
      </c>
      <c r="B1366" s="2" t="s">
        <v>256</v>
      </c>
      <c r="C1366" s="2" t="s">
        <v>518</v>
      </c>
      <c r="D1366" s="2" t="s">
        <v>117</v>
      </c>
      <c r="E1366" s="2" t="n">
        <v>8</v>
      </c>
      <c r="F1366" s="2" t="n">
        <v>1</v>
      </c>
      <c r="G1366" s="2" t="n">
        <v>1</v>
      </c>
      <c r="H1366" s="2" t="n">
        <v>0</v>
      </c>
      <c r="I1366" s="2" t="n">
        <v>1</v>
      </c>
      <c r="J1366" s="2" t="n">
        <v>46</v>
      </c>
      <c r="K1366" s="2" t="n">
        <v>47</v>
      </c>
      <c r="L1366" s="11" t="b">
        <f aca="false">TRUE()</f>
        <v>1</v>
      </c>
      <c r="M1366" s="2" t="s">
        <v>406</v>
      </c>
      <c r="N1366" s="2" t="n">
        <f aca="false">IF(E1366&gt;0,F1366/E1366,"")</f>
        <v>0.125</v>
      </c>
      <c r="O1366" s="2" t="n">
        <f aca="false">IF(AND(E1366&gt;0,L1366),J1366/E1366,"")</f>
        <v>5.75</v>
      </c>
    </row>
    <row r="1367" customFormat="false" ht="15" hidden="false" customHeight="false" outlineLevel="0" collapsed="false">
      <c r="A1367" s="2" t="n">
        <v>2025</v>
      </c>
      <c r="B1367" s="2" t="s">
        <v>60</v>
      </c>
      <c r="C1367" s="2" t="s">
        <v>622</v>
      </c>
      <c r="D1367" s="2" t="s">
        <v>29</v>
      </c>
      <c r="E1367" s="2" t="n">
        <v>10</v>
      </c>
      <c r="F1367" s="2" t="n">
        <v>38</v>
      </c>
      <c r="G1367" s="2" t="n">
        <v>22</v>
      </c>
      <c r="H1367" s="2" t="n">
        <v>4</v>
      </c>
      <c r="I1367" s="2" t="n">
        <v>2</v>
      </c>
      <c r="J1367" s="2" t="n">
        <v>185</v>
      </c>
      <c r="K1367" s="2" t="n">
        <v>226</v>
      </c>
      <c r="L1367" s="11" t="b">
        <f aca="false">TRUE()</f>
        <v>1</v>
      </c>
      <c r="M1367" s="2" t="s">
        <v>406</v>
      </c>
      <c r="N1367" s="2" t="n">
        <f aca="false">IF(E1367&gt;0,F1367/E1367,"")</f>
        <v>3.8</v>
      </c>
      <c r="O1367" s="2" t="n">
        <f aca="false">IF(AND(E1367&gt;0,L1367),J1367/E1367,"")</f>
        <v>18.5</v>
      </c>
    </row>
    <row r="1368" customFormat="false" ht="15" hidden="false" customHeight="false" outlineLevel="0" collapsed="false">
      <c r="A1368" s="2" t="n">
        <v>2025</v>
      </c>
      <c r="B1368" s="2" t="s">
        <v>62</v>
      </c>
      <c r="C1368" s="2" t="s">
        <v>420</v>
      </c>
      <c r="D1368" s="2" t="s">
        <v>24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11" t="b">
        <f aca="false">TRUE()</f>
        <v>1</v>
      </c>
      <c r="M1368" s="2" t="s">
        <v>410</v>
      </c>
      <c r="N1368" s="2" t="str">
        <f aca="false">IF(E1368&gt;0,F1368/E1368,"")</f>
        <v/>
      </c>
      <c r="O1368" s="2" t="str">
        <f aca="false">IF(AND(E1368&gt;0,L1368),J1368/E1368,"")</f>
        <v/>
      </c>
    </row>
    <row r="1369" customFormat="false" ht="15" hidden="false" customHeight="false" outlineLevel="0" collapsed="false">
      <c r="A1369" s="2" t="n">
        <v>2025</v>
      </c>
      <c r="B1369" s="2" t="s">
        <v>175</v>
      </c>
      <c r="C1369" s="2" t="s">
        <v>518</v>
      </c>
      <c r="D1369" s="2" t="s">
        <v>117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11" t="b">
        <f aca="false">TRUE()</f>
        <v>1</v>
      </c>
      <c r="M1369" s="2" t="s">
        <v>410</v>
      </c>
      <c r="N1369" s="2" t="str">
        <f aca="false">IF(E1369&gt;0,F1369/E1369,"")</f>
        <v/>
      </c>
      <c r="O1369" s="2" t="str">
        <f aca="false">IF(AND(E1369&gt;0,L1369),J1369/E1369,"")</f>
        <v/>
      </c>
    </row>
    <row r="1370" customFormat="false" ht="15" hidden="false" customHeight="false" outlineLevel="0" collapsed="false">
      <c r="A1370" s="2" t="n">
        <v>2025</v>
      </c>
      <c r="B1370" s="2" t="s">
        <v>45</v>
      </c>
      <c r="C1370" s="2" t="s">
        <v>545</v>
      </c>
      <c r="D1370" s="2" t="s">
        <v>29</v>
      </c>
      <c r="E1370" s="2" t="n">
        <v>10</v>
      </c>
      <c r="F1370" s="2" t="n">
        <v>63</v>
      </c>
      <c r="G1370" s="2" t="n">
        <v>43</v>
      </c>
      <c r="H1370" s="2" t="n">
        <v>18</v>
      </c>
      <c r="I1370" s="2" t="n">
        <v>8</v>
      </c>
      <c r="J1370" s="2" t="n">
        <v>209</v>
      </c>
      <c r="K1370" s="2" t="n">
        <v>280</v>
      </c>
      <c r="L1370" s="11" t="b">
        <f aca="false">TRUE()</f>
        <v>1</v>
      </c>
      <c r="M1370" s="2" t="s">
        <v>406</v>
      </c>
      <c r="N1370" s="2" t="n">
        <f aca="false">IF(E1370&gt;0,F1370/E1370,"")</f>
        <v>6.3</v>
      </c>
      <c r="O1370" s="2" t="n">
        <f aca="false">IF(AND(E1370&gt;0,L1370),J1370/E1370,"")</f>
        <v>20.9</v>
      </c>
    </row>
    <row r="1371" customFormat="false" ht="15" hidden="false" customHeight="false" outlineLevel="0" collapsed="false">
      <c r="A1371" s="2" t="n">
        <v>2025</v>
      </c>
      <c r="B1371" s="2" t="s">
        <v>168</v>
      </c>
      <c r="C1371" s="2" t="s">
        <v>412</v>
      </c>
      <c r="D1371" s="2" t="s">
        <v>115</v>
      </c>
      <c r="E1371" s="2" t="n">
        <v>10</v>
      </c>
      <c r="F1371" s="2" t="n">
        <v>5</v>
      </c>
      <c r="G1371" s="2" t="n">
        <v>3</v>
      </c>
      <c r="H1371" s="2" t="n">
        <v>1</v>
      </c>
      <c r="I1371" s="2" t="n">
        <v>1</v>
      </c>
      <c r="J1371" s="2" t="n">
        <v>76</v>
      </c>
      <c r="K1371" s="2" t="n">
        <v>85</v>
      </c>
      <c r="L1371" s="11" t="b">
        <f aca="false">TRUE()</f>
        <v>1</v>
      </c>
      <c r="M1371" s="2" t="s">
        <v>406</v>
      </c>
      <c r="N1371" s="2" t="n">
        <f aca="false">IF(E1371&gt;0,F1371/E1371,"")</f>
        <v>0.5</v>
      </c>
      <c r="O1371" s="2" t="n">
        <f aca="false">IF(AND(E1371&gt;0,L1371),J1371/E1371,"")</f>
        <v>7.6</v>
      </c>
    </row>
    <row r="1372" customFormat="false" ht="15" hidden="false" customHeight="false" outlineLevel="0" collapsed="false">
      <c r="A1372" s="2" t="n">
        <v>2025</v>
      </c>
      <c r="B1372" s="2" t="s">
        <v>65</v>
      </c>
      <c r="C1372" s="2" t="s">
        <v>414</v>
      </c>
      <c r="D1372" s="2" t="s">
        <v>24</v>
      </c>
      <c r="E1372" s="2" t="n">
        <v>10</v>
      </c>
      <c r="F1372" s="2" t="n">
        <v>55</v>
      </c>
      <c r="G1372" s="2" t="n">
        <v>42</v>
      </c>
      <c r="H1372" s="2" t="n">
        <v>21</v>
      </c>
      <c r="I1372" s="2" t="n">
        <v>8</v>
      </c>
      <c r="J1372" s="2" t="n">
        <v>226</v>
      </c>
      <c r="K1372" s="2" t="n">
        <v>294</v>
      </c>
      <c r="L1372" s="11" t="b">
        <f aca="false">TRUE()</f>
        <v>1</v>
      </c>
      <c r="M1372" s="2" t="s">
        <v>406</v>
      </c>
      <c r="N1372" s="2" t="n">
        <f aca="false">IF(E1372&gt;0,F1372/E1372,"")</f>
        <v>5.5</v>
      </c>
      <c r="O1372" s="2" t="n">
        <f aca="false">IF(AND(E1372&gt;0,L1372),J1372/E1372,"")</f>
        <v>22.6</v>
      </c>
    </row>
    <row r="1373" customFormat="false" ht="15" hidden="false" customHeight="false" outlineLevel="0" collapsed="false">
      <c r="A1373" s="2" t="n">
        <v>2025</v>
      </c>
      <c r="B1373" s="2" t="s">
        <v>636</v>
      </c>
      <c r="C1373" s="2" t="s">
        <v>414</v>
      </c>
      <c r="D1373" s="2" t="s">
        <v>409</v>
      </c>
      <c r="E1373" s="2" t="n">
        <v>7</v>
      </c>
      <c r="F1373" s="2" t="n">
        <v>3</v>
      </c>
      <c r="G1373" s="2" t="n">
        <v>0</v>
      </c>
      <c r="H1373" s="2" t="n">
        <v>0</v>
      </c>
      <c r="I1373" s="2" t="n">
        <v>0</v>
      </c>
      <c r="J1373" s="2" t="n">
        <v>123</v>
      </c>
      <c r="K1373" s="2" t="n">
        <v>126</v>
      </c>
      <c r="L1373" s="11" t="b">
        <f aca="false">TRUE()</f>
        <v>1</v>
      </c>
      <c r="M1373" s="2" t="s">
        <v>410</v>
      </c>
      <c r="N1373" s="2" t="n">
        <f aca="false">IF(E1373&gt;0,F1373/E1373,"")</f>
        <v>0.428571428571429</v>
      </c>
      <c r="O1373" s="2" t="n">
        <f aca="false">IF(AND(E1373&gt;0,L1373),J1373/E1373,"")</f>
        <v>17.5714285714286</v>
      </c>
    </row>
    <row r="1374" customFormat="false" ht="15" hidden="false" customHeight="false" outlineLevel="0" collapsed="false">
      <c r="A1374" s="2" t="n">
        <v>2025</v>
      </c>
      <c r="B1374" s="2" t="s">
        <v>93</v>
      </c>
      <c r="C1374" s="2" t="s">
        <v>420</v>
      </c>
      <c r="D1374" s="2" t="s">
        <v>24</v>
      </c>
      <c r="E1374" s="2" t="n">
        <v>9</v>
      </c>
      <c r="F1374" s="2" t="n">
        <v>50</v>
      </c>
      <c r="G1374" s="2" t="n">
        <v>31</v>
      </c>
      <c r="H1374" s="2" t="n">
        <v>14</v>
      </c>
      <c r="I1374" s="2" t="n">
        <v>2</v>
      </c>
      <c r="J1374" s="2" t="n">
        <v>203</v>
      </c>
      <c r="K1374" s="2" t="n">
        <v>271</v>
      </c>
      <c r="L1374" s="11" t="b">
        <f aca="false">TRUE()</f>
        <v>1</v>
      </c>
      <c r="M1374" s="2" t="s">
        <v>406</v>
      </c>
      <c r="N1374" s="2" t="n">
        <f aca="false">IF(E1374&gt;0,F1374/E1374,"")</f>
        <v>5.55555555555556</v>
      </c>
      <c r="O1374" s="2" t="n">
        <f aca="false">IF(AND(E1374&gt;0,L1374),J1374/E1374,"")</f>
        <v>22.5555555555556</v>
      </c>
    </row>
    <row r="1375" customFormat="false" ht="15" hidden="false" customHeight="false" outlineLevel="0" collapsed="false">
      <c r="A1375" s="2" t="n">
        <v>2025</v>
      </c>
      <c r="B1375" s="2" t="s">
        <v>268</v>
      </c>
      <c r="C1375" s="2" t="s">
        <v>420</v>
      </c>
      <c r="D1375" s="2" t="s">
        <v>115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11" t="b">
        <f aca="false">TRUE()</f>
        <v>1</v>
      </c>
      <c r="M1375" s="2" t="s">
        <v>410</v>
      </c>
      <c r="N1375" s="2" t="str">
        <f aca="false">IF(E1375&gt;0,F1375/E1375,"")</f>
        <v/>
      </c>
      <c r="O1375" s="2" t="str">
        <f aca="false">IF(AND(E1375&gt;0,L1375),J1375/E1375,"")</f>
        <v/>
      </c>
    </row>
    <row r="1376" customFormat="false" ht="15" hidden="false" customHeight="false" outlineLevel="0" collapsed="false">
      <c r="A1376" s="2" t="n">
        <v>2025</v>
      </c>
      <c r="B1376" s="2" t="s">
        <v>129</v>
      </c>
      <c r="C1376" s="2" t="s">
        <v>420</v>
      </c>
      <c r="D1376" s="2" t="s">
        <v>24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11" t="b">
        <f aca="false">TRUE()</f>
        <v>1</v>
      </c>
      <c r="M1376" s="2" t="s">
        <v>410</v>
      </c>
      <c r="N1376" s="2" t="str">
        <f aca="false">IF(E1376&gt;0,F1376/E1376,"")</f>
        <v/>
      </c>
      <c r="O1376" s="2" t="str">
        <f aca="false">IF(AND(E1376&gt;0,L1376),J1376/E1376,"")</f>
        <v/>
      </c>
    </row>
    <row r="1377" customFormat="false" ht="15" hidden="false" customHeight="false" outlineLevel="0" collapsed="false">
      <c r="A1377" s="2" t="n">
        <v>2025</v>
      </c>
      <c r="B1377" s="2" t="s">
        <v>637</v>
      </c>
      <c r="C1377" s="2" t="s">
        <v>405</v>
      </c>
      <c r="D1377" s="2" t="s">
        <v>29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11" t="b">
        <f aca="false">TRUE()</f>
        <v>1</v>
      </c>
      <c r="M1377" s="2" t="s">
        <v>410</v>
      </c>
      <c r="N1377" s="2" t="str">
        <f aca="false">IF(E1377&gt;0,F1377/E1377,"")</f>
        <v/>
      </c>
      <c r="O1377" s="2" t="str">
        <f aca="false">IF(AND(E1377&gt;0,L1377),J1377/E1377,"")</f>
        <v/>
      </c>
    </row>
    <row r="1378" customFormat="false" ht="15" hidden="false" customHeight="false" outlineLevel="0" collapsed="false">
      <c r="A1378" s="2" t="n">
        <v>2025</v>
      </c>
      <c r="B1378" s="2" t="s">
        <v>220</v>
      </c>
      <c r="C1378" s="2" t="s">
        <v>405</v>
      </c>
      <c r="D1378" s="2" t="s">
        <v>115</v>
      </c>
      <c r="E1378" s="2" t="n">
        <v>8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29</v>
      </c>
      <c r="K1378" s="2" t="n">
        <v>32</v>
      </c>
      <c r="L1378" s="11" t="b">
        <f aca="false">TRUE()</f>
        <v>1</v>
      </c>
      <c r="M1378" s="2" t="s">
        <v>406</v>
      </c>
      <c r="N1378" s="2" t="n">
        <f aca="false">IF(E1378&gt;0,F1378/E1378,"")</f>
        <v>0</v>
      </c>
      <c r="O1378" s="2" t="n">
        <f aca="false">IF(AND(E1378&gt;0,L1378),J1378/E1378,"")</f>
        <v>3.625</v>
      </c>
    </row>
    <row r="1379" customFormat="false" ht="15" hidden="false" customHeight="false" outlineLevel="0" collapsed="false">
      <c r="A1379" s="2" t="n">
        <v>2025</v>
      </c>
      <c r="B1379" s="2" t="s">
        <v>623</v>
      </c>
      <c r="C1379" s="2" t="s">
        <v>414</v>
      </c>
      <c r="D1379" s="2" t="s">
        <v>24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11" t="b">
        <f aca="false">TRUE()</f>
        <v>1</v>
      </c>
      <c r="M1379" s="2" t="s">
        <v>410</v>
      </c>
      <c r="N1379" s="2" t="str">
        <f aca="false">IF(E1379&gt;0,F1379/E1379,"")</f>
        <v/>
      </c>
      <c r="O1379" s="2" t="str">
        <f aca="false">IF(AND(E1379&gt;0,L1379),J1379/E1379,"")</f>
        <v/>
      </c>
    </row>
    <row r="1380" customFormat="false" ht="15" hidden="false" customHeight="false" outlineLevel="0" collapsed="false">
      <c r="A1380" s="2" t="n">
        <v>2025</v>
      </c>
      <c r="B1380" s="2" t="s">
        <v>183</v>
      </c>
      <c r="C1380" s="2" t="s">
        <v>412</v>
      </c>
      <c r="D1380" s="2" t="s">
        <v>83</v>
      </c>
      <c r="E1380" s="2" t="n">
        <v>9</v>
      </c>
      <c r="F1380" s="2" t="n">
        <v>3</v>
      </c>
      <c r="G1380" s="2" t="n">
        <v>1</v>
      </c>
      <c r="H1380" s="2" t="n">
        <v>0</v>
      </c>
      <c r="I1380" s="2" t="n">
        <v>0</v>
      </c>
      <c r="J1380" s="2" t="n">
        <v>59</v>
      </c>
      <c r="K1380" s="2" t="n">
        <v>64</v>
      </c>
      <c r="L1380" s="11" t="b">
        <f aca="false">TRUE()</f>
        <v>1</v>
      </c>
      <c r="M1380" s="2" t="s">
        <v>406</v>
      </c>
      <c r="N1380" s="2" t="n">
        <f aca="false">IF(E1380&gt;0,F1380/E1380,"")</f>
        <v>0.333333333333333</v>
      </c>
      <c r="O1380" s="2" t="n">
        <f aca="false">IF(AND(E1380&gt;0,L1380),J1380/E1380,"")</f>
        <v>6.55555555555556</v>
      </c>
    </row>
    <row r="1381" customFormat="false" ht="15" hidden="false" customHeight="false" outlineLevel="0" collapsed="false">
      <c r="A1381" s="2" t="n">
        <v>2025</v>
      </c>
      <c r="B1381" s="2" t="s">
        <v>356</v>
      </c>
      <c r="C1381" s="2" t="s">
        <v>545</v>
      </c>
      <c r="D1381" s="2" t="s">
        <v>83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11" t="b">
        <f aca="false">TRUE()</f>
        <v>1</v>
      </c>
      <c r="M1381" s="2" t="s">
        <v>410</v>
      </c>
      <c r="N1381" s="2" t="str">
        <f aca="false">IF(E1381&gt;0,F1381/E1381,"")</f>
        <v/>
      </c>
      <c r="O1381" s="2" t="str">
        <f aca="false">IF(AND(E1381&gt;0,L1381),J1381/E1381,"")</f>
        <v/>
      </c>
    </row>
    <row r="1382" customFormat="false" ht="15" hidden="false" customHeight="false" outlineLevel="0" collapsed="false">
      <c r="A1382" s="2" t="n">
        <v>2025</v>
      </c>
      <c r="B1382" s="2" t="s">
        <v>187</v>
      </c>
      <c r="C1382" s="2" t="s">
        <v>405</v>
      </c>
      <c r="D1382" s="2" t="s">
        <v>117</v>
      </c>
      <c r="E1382" s="2" t="n">
        <v>10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75</v>
      </c>
      <c r="K1382" s="2" t="n">
        <v>76</v>
      </c>
      <c r="L1382" s="11" t="b">
        <f aca="false">TRUE()</f>
        <v>1</v>
      </c>
      <c r="M1382" s="2" t="s">
        <v>406</v>
      </c>
      <c r="N1382" s="2" t="n">
        <f aca="false">IF(E1382&gt;0,F1382/E1382,"")</f>
        <v>0</v>
      </c>
      <c r="O1382" s="2" t="n">
        <f aca="false">IF(AND(E1382&gt;0,L1382),J1382/E1382,"")</f>
        <v>7.5</v>
      </c>
    </row>
    <row r="1383" customFormat="false" ht="15" hidden="false" customHeight="false" outlineLevel="0" collapsed="false">
      <c r="A1383" s="2" t="n">
        <v>2025</v>
      </c>
      <c r="B1383" s="2" t="s">
        <v>121</v>
      </c>
      <c r="C1383" s="2" t="s">
        <v>405</v>
      </c>
      <c r="D1383" s="2" t="s">
        <v>115</v>
      </c>
      <c r="E1383" s="2" t="n">
        <v>10</v>
      </c>
      <c r="F1383" s="2" t="n">
        <v>8</v>
      </c>
      <c r="G1383" s="2" t="n">
        <v>3</v>
      </c>
      <c r="H1383" s="2" t="n">
        <v>1</v>
      </c>
      <c r="I1383" s="2" t="n">
        <v>2</v>
      </c>
      <c r="J1383" s="2" t="n">
        <v>63</v>
      </c>
      <c r="K1383" s="2" t="n">
        <v>76</v>
      </c>
      <c r="L1383" s="11" t="b">
        <f aca="false">TRUE()</f>
        <v>1</v>
      </c>
      <c r="M1383" s="2" t="s">
        <v>406</v>
      </c>
      <c r="N1383" s="2" t="n">
        <f aca="false">IF(E1383&gt;0,F1383/E1383,"")</f>
        <v>0.8</v>
      </c>
      <c r="O1383" s="2" t="n">
        <f aca="false">IF(AND(E1383&gt;0,L1383),J1383/E1383,"")</f>
        <v>6.3</v>
      </c>
    </row>
    <row r="1384" customFormat="false" ht="15" hidden="false" customHeight="false" outlineLevel="0" collapsed="false">
      <c r="A1384" s="2" t="n">
        <v>2025</v>
      </c>
      <c r="B1384" s="2" t="s">
        <v>95</v>
      </c>
      <c r="C1384" s="2" t="s">
        <v>414</v>
      </c>
      <c r="D1384" s="2" t="s">
        <v>29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11" t="b">
        <f aca="false">TRUE()</f>
        <v>1</v>
      </c>
      <c r="M1384" s="2" t="s">
        <v>410</v>
      </c>
      <c r="N1384" s="2" t="str">
        <f aca="false">IF(E1384&gt;0,F1384/E1384,"")</f>
        <v/>
      </c>
      <c r="O1384" s="2" t="str">
        <f aca="false">IF(AND(E1384&gt;0,L1384),J1384/E1384,"")</f>
        <v/>
      </c>
    </row>
    <row r="1385" customFormat="false" ht="15" hidden="false" customHeight="false" outlineLevel="0" collapsed="false">
      <c r="A1385" s="2" t="n">
        <v>2025</v>
      </c>
      <c r="B1385" s="2" t="s">
        <v>32</v>
      </c>
      <c r="C1385" s="2" t="s">
        <v>412</v>
      </c>
      <c r="D1385" s="2" t="s">
        <v>29</v>
      </c>
      <c r="E1385" s="2" t="n">
        <v>10</v>
      </c>
      <c r="F1385" s="2" t="n">
        <v>62</v>
      </c>
      <c r="G1385" s="2" t="n">
        <v>38</v>
      </c>
      <c r="H1385" s="2" t="n">
        <v>16</v>
      </c>
      <c r="I1385" s="2" t="n">
        <v>4</v>
      </c>
      <c r="J1385" s="2" t="n">
        <v>194</v>
      </c>
      <c r="K1385" s="2" t="n">
        <v>277</v>
      </c>
      <c r="L1385" s="11" t="b">
        <f aca="false">TRUE()</f>
        <v>1</v>
      </c>
      <c r="M1385" s="2" t="s">
        <v>406</v>
      </c>
      <c r="N1385" s="2" t="n">
        <f aca="false">IF(E1385&gt;0,F1385/E1385,"")</f>
        <v>6.2</v>
      </c>
      <c r="O1385" s="2" t="n">
        <f aca="false">IF(AND(E1385&gt;0,L1385),J1385/E1385,"")</f>
        <v>19.4</v>
      </c>
    </row>
    <row r="1386" customFormat="false" ht="15" hidden="false" customHeight="false" outlineLevel="0" collapsed="false">
      <c r="A1386" s="2" t="n">
        <v>2025</v>
      </c>
      <c r="B1386" s="2" t="s">
        <v>184</v>
      </c>
      <c r="C1386" s="2" t="s">
        <v>543</v>
      </c>
      <c r="D1386" s="2" t="s">
        <v>115</v>
      </c>
      <c r="E1386" s="2" t="n">
        <v>2</v>
      </c>
      <c r="F1386" s="2" t="n">
        <v>2</v>
      </c>
      <c r="G1386" s="2" t="n">
        <v>2</v>
      </c>
      <c r="H1386" s="2" t="n">
        <v>2</v>
      </c>
      <c r="I1386" s="2" t="n">
        <v>0</v>
      </c>
      <c r="J1386" s="2" t="n">
        <v>6</v>
      </c>
      <c r="K1386" s="2" t="n">
        <v>8</v>
      </c>
      <c r="L1386" s="11" t="b">
        <f aca="false">TRUE()</f>
        <v>1</v>
      </c>
      <c r="M1386" s="2" t="s">
        <v>410</v>
      </c>
      <c r="N1386" s="2" t="n">
        <f aca="false">IF(E1386&gt;0,F1386/E1386,"")</f>
        <v>1</v>
      </c>
      <c r="O1386" s="2" t="n">
        <f aca="false">IF(AND(E1386&gt;0,L1386),J1386/E1386,"")</f>
        <v>3</v>
      </c>
    </row>
    <row r="1387" customFormat="false" ht="15" hidden="false" customHeight="false" outlineLevel="0" collapsed="false">
      <c r="A1387" s="2" t="n">
        <v>2025</v>
      </c>
      <c r="B1387" s="2" t="s">
        <v>46</v>
      </c>
      <c r="C1387" s="2" t="s">
        <v>518</v>
      </c>
      <c r="D1387" s="2" t="s">
        <v>29</v>
      </c>
      <c r="E1387" s="2" t="n">
        <v>10</v>
      </c>
      <c r="F1387" s="2" t="n">
        <v>30</v>
      </c>
      <c r="G1387" s="2" t="n">
        <v>20</v>
      </c>
      <c r="H1387" s="2" t="n">
        <v>8</v>
      </c>
      <c r="I1387" s="2" t="n">
        <v>3</v>
      </c>
      <c r="J1387" s="2" t="n">
        <v>156</v>
      </c>
      <c r="K1387" s="2" t="n">
        <v>197</v>
      </c>
      <c r="L1387" s="11" t="b">
        <f aca="false">TRUE()</f>
        <v>1</v>
      </c>
      <c r="M1387" s="2" t="s">
        <v>406</v>
      </c>
      <c r="N1387" s="2" t="n">
        <f aca="false">IF(E1387&gt;0,F1387/E1387,"")</f>
        <v>3</v>
      </c>
      <c r="O1387" s="2" t="n">
        <f aca="false">IF(AND(E1387&gt;0,L1387),J1387/E1387,"")</f>
        <v>15.6</v>
      </c>
    </row>
    <row r="1388" customFormat="false" ht="15" hidden="false" customHeight="false" outlineLevel="0" collapsed="false">
      <c r="A1388" s="2" t="n">
        <v>2025</v>
      </c>
      <c r="B1388" s="2" t="s">
        <v>205</v>
      </c>
      <c r="C1388" s="2" t="s">
        <v>412</v>
      </c>
      <c r="D1388" s="2" t="s">
        <v>29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11" t="b">
        <f aca="false">TRUE()</f>
        <v>1</v>
      </c>
      <c r="M1388" s="2" t="s">
        <v>410</v>
      </c>
      <c r="N1388" s="2" t="str">
        <f aca="false">IF(E1388&gt;0,F1388/E1388,"")</f>
        <v/>
      </c>
      <c r="O1388" s="2" t="str">
        <f aca="false">IF(AND(E1388&gt;0,L1388),J1388/E1388,"")</f>
        <v/>
      </c>
    </row>
    <row r="1389" customFormat="false" ht="15" hidden="false" customHeight="false" outlineLevel="0" collapsed="false">
      <c r="A1389" s="2" t="n">
        <v>2025</v>
      </c>
      <c r="B1389" s="2" t="s">
        <v>100</v>
      </c>
      <c r="C1389" s="2" t="s">
        <v>405</v>
      </c>
      <c r="D1389" s="2" t="s">
        <v>29</v>
      </c>
      <c r="E1389" s="2" t="n">
        <v>6</v>
      </c>
      <c r="F1389" s="2" t="n">
        <v>28</v>
      </c>
      <c r="G1389" s="2" t="n">
        <v>18</v>
      </c>
      <c r="H1389" s="2" t="n">
        <v>9</v>
      </c>
      <c r="I1389" s="2" t="n">
        <v>0</v>
      </c>
      <c r="J1389" s="2" t="n">
        <v>81</v>
      </c>
      <c r="K1389" s="2" t="n">
        <v>116</v>
      </c>
      <c r="L1389" s="11" t="b">
        <f aca="false">TRUE()</f>
        <v>1</v>
      </c>
      <c r="M1389" s="2" t="s">
        <v>406</v>
      </c>
      <c r="N1389" s="2" t="n">
        <f aca="false">IF(E1389&gt;0,F1389/E1389,"")</f>
        <v>4.66666666666667</v>
      </c>
      <c r="O1389" s="2" t="n">
        <f aca="false">IF(AND(E1389&gt;0,L1389),J1389/E1389,"")</f>
        <v>13.5</v>
      </c>
    </row>
    <row r="1390" customFormat="false" ht="15" hidden="false" customHeight="false" outlineLevel="0" collapsed="false">
      <c r="A1390" s="2" t="n">
        <v>2025</v>
      </c>
      <c r="B1390" s="2" t="s">
        <v>638</v>
      </c>
      <c r="C1390" s="2" t="s">
        <v>412</v>
      </c>
      <c r="D1390" s="2" t="s">
        <v>83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11" t="b">
        <f aca="false">TRUE()</f>
        <v>1</v>
      </c>
      <c r="M1390" s="2" t="s">
        <v>410</v>
      </c>
      <c r="N1390" s="2" t="str">
        <f aca="false">IF(E1390&gt;0,F1390/E1390,"")</f>
        <v/>
      </c>
      <c r="O1390" s="2" t="str">
        <f aca="false">IF(AND(E1390&gt;0,L1390),J1390/E1390,"")</f>
        <v/>
      </c>
    </row>
    <row r="1391" customFormat="false" ht="15" hidden="false" customHeight="false" outlineLevel="0" collapsed="false">
      <c r="A1391" s="2" t="n">
        <v>2025</v>
      </c>
      <c r="B1391" s="2" t="s">
        <v>225</v>
      </c>
      <c r="C1391" s="2" t="s">
        <v>405</v>
      </c>
      <c r="D1391" s="2" t="s">
        <v>83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11" t="b">
        <f aca="false">TRUE()</f>
        <v>1</v>
      </c>
      <c r="M1391" s="2" t="s">
        <v>410</v>
      </c>
      <c r="N1391" s="2" t="str">
        <f aca="false">IF(E1391&gt;0,F1391/E1391,"")</f>
        <v/>
      </c>
      <c r="O1391" s="2" t="str">
        <f aca="false">IF(AND(E1391&gt;0,L1391),J1391/E1391,"")</f>
        <v/>
      </c>
    </row>
    <row r="1392" customFormat="false" ht="15" hidden="false" customHeight="false" outlineLevel="0" collapsed="false">
      <c r="A1392" s="2" t="n">
        <v>2025</v>
      </c>
      <c r="B1392" s="2" t="s">
        <v>639</v>
      </c>
      <c r="C1392" s="2" t="s">
        <v>414</v>
      </c>
      <c r="D1392" s="2" t="s">
        <v>117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11" t="b">
        <f aca="false">TRUE()</f>
        <v>1</v>
      </c>
      <c r="M1392" s="2" t="s">
        <v>410</v>
      </c>
      <c r="N1392" s="2" t="str">
        <f aca="false">IF(E1392&gt;0,F1392/E1392,"")</f>
        <v/>
      </c>
      <c r="O1392" s="2" t="str">
        <f aca="false">IF(AND(E1392&gt;0,L1392),J1392/E1392,"")</f>
        <v/>
      </c>
    </row>
    <row r="1393" customFormat="false" ht="15" hidden="false" customHeight="false" outlineLevel="0" collapsed="false">
      <c r="A1393" s="2" t="n">
        <v>2025</v>
      </c>
      <c r="B1393" s="2" t="s">
        <v>522</v>
      </c>
      <c r="C1393" s="2" t="s">
        <v>518</v>
      </c>
      <c r="D1393" s="2" t="s">
        <v>409</v>
      </c>
      <c r="E1393" s="2" t="n">
        <v>6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71</v>
      </c>
      <c r="K1393" s="2" t="n">
        <v>71</v>
      </c>
      <c r="L1393" s="11" t="b">
        <f aca="false">TRUE()</f>
        <v>1</v>
      </c>
      <c r="M1393" s="2" t="s">
        <v>410</v>
      </c>
      <c r="N1393" s="2" t="n">
        <f aca="false">IF(E1393&gt;0,F1393/E1393,"")</f>
        <v>0</v>
      </c>
      <c r="O1393" s="2" t="n">
        <f aca="false">IF(AND(E1393&gt;0,L1393),J1393/E1393,"")</f>
        <v>11.8333333333333</v>
      </c>
    </row>
    <row r="1394" customFormat="false" ht="15" hidden="false" customHeight="false" outlineLevel="0" collapsed="false">
      <c r="A1394" s="2" t="n">
        <v>2025</v>
      </c>
      <c r="B1394" s="2" t="s">
        <v>251</v>
      </c>
      <c r="C1394" s="2" t="s">
        <v>420</v>
      </c>
      <c r="D1394" s="2" t="s">
        <v>83</v>
      </c>
      <c r="E1394" s="2" t="n">
        <v>8</v>
      </c>
      <c r="F1394" s="2" t="n">
        <v>2</v>
      </c>
      <c r="G1394" s="2" t="n">
        <v>1</v>
      </c>
      <c r="H1394" s="2" t="n">
        <v>1</v>
      </c>
      <c r="I1394" s="2" t="n">
        <v>2</v>
      </c>
      <c r="J1394" s="2" t="n">
        <v>40</v>
      </c>
      <c r="K1394" s="2" t="n">
        <v>43</v>
      </c>
      <c r="L1394" s="11" t="b">
        <f aca="false">TRUE()</f>
        <v>1</v>
      </c>
      <c r="M1394" s="2" t="s">
        <v>406</v>
      </c>
      <c r="N1394" s="2" t="n">
        <f aca="false">IF(E1394&gt;0,F1394/E1394,"")</f>
        <v>0.25</v>
      </c>
      <c r="O1394" s="2" t="n">
        <f aca="false">IF(AND(E1394&gt;0,L1394),J1394/E1394,"")</f>
        <v>5</v>
      </c>
    </row>
    <row r="1395" customFormat="false" ht="15" hidden="false" customHeight="false" outlineLevel="0" collapsed="false">
      <c r="A1395" s="2" t="n">
        <v>2025</v>
      </c>
      <c r="B1395" s="2" t="s">
        <v>173</v>
      </c>
      <c r="C1395" s="2" t="s">
        <v>420</v>
      </c>
      <c r="D1395" s="2" t="s">
        <v>29</v>
      </c>
      <c r="E1395" s="2" t="n">
        <v>4</v>
      </c>
      <c r="F1395" s="2" t="n">
        <v>18</v>
      </c>
      <c r="G1395" s="2" t="n">
        <v>9</v>
      </c>
      <c r="H1395" s="2" t="n">
        <v>4</v>
      </c>
      <c r="I1395" s="2" t="n">
        <v>2</v>
      </c>
      <c r="J1395" s="2" t="n">
        <v>54</v>
      </c>
      <c r="K1395" s="2" t="n">
        <v>74</v>
      </c>
      <c r="L1395" s="11" t="b">
        <f aca="false">TRUE()</f>
        <v>1</v>
      </c>
      <c r="M1395" s="2" t="s">
        <v>406</v>
      </c>
      <c r="N1395" s="2" t="n">
        <f aca="false">IF(E1395&gt;0,F1395/E1395,"")</f>
        <v>4.5</v>
      </c>
      <c r="O1395" s="2" t="n">
        <f aca="false">IF(AND(E1395&gt;0,L1395),J1395/E1395,"")</f>
        <v>13.5</v>
      </c>
    </row>
    <row r="1396" customFormat="false" ht="15" hidden="false" customHeight="false" outlineLevel="0" collapsed="false">
      <c r="A1396" s="2" t="n">
        <v>2025</v>
      </c>
      <c r="B1396" s="2" t="s">
        <v>58</v>
      </c>
      <c r="C1396" s="2" t="s">
        <v>405</v>
      </c>
      <c r="D1396" s="2" t="s">
        <v>29</v>
      </c>
      <c r="E1396" s="2" t="n">
        <v>8</v>
      </c>
      <c r="F1396" s="2" t="n">
        <v>42</v>
      </c>
      <c r="G1396" s="2" t="n">
        <v>21</v>
      </c>
      <c r="H1396" s="2" t="n">
        <v>5</v>
      </c>
      <c r="I1396" s="2" t="n">
        <v>1</v>
      </c>
      <c r="J1396" s="2" t="n">
        <v>119</v>
      </c>
      <c r="K1396" s="2" t="n">
        <v>162</v>
      </c>
      <c r="L1396" s="11" t="b">
        <f aca="false">TRUE()</f>
        <v>1</v>
      </c>
      <c r="M1396" s="2" t="s">
        <v>406</v>
      </c>
      <c r="N1396" s="2" t="n">
        <f aca="false">IF(E1396&gt;0,F1396/E1396,"")</f>
        <v>5.25</v>
      </c>
      <c r="O1396" s="2" t="n">
        <f aca="false">IF(AND(E1396&gt;0,L1396),J1396/E1396,"")</f>
        <v>14.875</v>
      </c>
    </row>
    <row r="1397" customFormat="false" ht="15" hidden="false" customHeight="false" outlineLevel="0" collapsed="false">
      <c r="A1397" s="2" t="n">
        <v>2025</v>
      </c>
      <c r="B1397" s="2" t="s">
        <v>362</v>
      </c>
      <c r="C1397" s="2" t="s">
        <v>518</v>
      </c>
      <c r="D1397" s="2" t="s">
        <v>117</v>
      </c>
      <c r="E1397" s="2" t="n">
        <v>3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13</v>
      </c>
      <c r="K1397" s="2" t="n">
        <v>14</v>
      </c>
      <c r="L1397" s="11" t="b">
        <f aca="false">TRUE()</f>
        <v>1</v>
      </c>
      <c r="M1397" s="2" t="s">
        <v>406</v>
      </c>
      <c r="N1397" s="2" t="n">
        <f aca="false">IF(E1397&gt;0,F1397/E1397,"")</f>
        <v>0</v>
      </c>
      <c r="O1397" s="2" t="n">
        <f aca="false">IF(AND(E1397&gt;0,L1397),J1397/E1397,"")</f>
        <v>4.33333333333333</v>
      </c>
    </row>
    <row r="1398" customFormat="false" ht="15" hidden="false" customHeight="false" outlineLevel="0" collapsed="false">
      <c r="A1398" s="2" t="n">
        <v>2025</v>
      </c>
      <c r="B1398" s="2" t="s">
        <v>47</v>
      </c>
      <c r="C1398" s="2" t="s">
        <v>412</v>
      </c>
      <c r="D1398" s="2" t="s">
        <v>24</v>
      </c>
      <c r="E1398" s="2" t="n">
        <v>10</v>
      </c>
      <c r="F1398" s="2" t="n">
        <v>54</v>
      </c>
      <c r="G1398" s="2" t="n">
        <v>39</v>
      </c>
      <c r="H1398" s="2" t="n">
        <v>22</v>
      </c>
      <c r="I1398" s="2" t="n">
        <v>2</v>
      </c>
      <c r="J1398" s="2" t="n">
        <v>106</v>
      </c>
      <c r="K1398" s="2" t="n">
        <v>172</v>
      </c>
      <c r="L1398" s="11" t="b">
        <f aca="false">TRUE()</f>
        <v>1</v>
      </c>
      <c r="M1398" s="2" t="s">
        <v>406</v>
      </c>
      <c r="N1398" s="2" t="n">
        <f aca="false">IF(E1398&gt;0,F1398/E1398,"")</f>
        <v>5.4</v>
      </c>
      <c r="O1398" s="2" t="n">
        <f aca="false">IF(AND(E1398&gt;0,L1398),J1398/E1398,"")</f>
        <v>10.6</v>
      </c>
    </row>
    <row r="1399" customFormat="false" ht="15" hidden="false" customHeight="false" outlineLevel="0" collapsed="false">
      <c r="A1399" s="2" t="n">
        <v>2025</v>
      </c>
      <c r="B1399" s="2" t="s">
        <v>587</v>
      </c>
      <c r="C1399" s="2" t="s">
        <v>408</v>
      </c>
      <c r="D1399" s="2" t="s">
        <v>409</v>
      </c>
      <c r="E1399" s="2" t="n">
        <v>10</v>
      </c>
      <c r="F1399" s="2" t="n">
        <v>1</v>
      </c>
      <c r="G1399" s="2" t="n">
        <v>0</v>
      </c>
      <c r="H1399" s="2" t="n">
        <v>0</v>
      </c>
      <c r="I1399" s="2" t="n">
        <v>0</v>
      </c>
      <c r="J1399" s="2" t="n">
        <v>167</v>
      </c>
      <c r="K1399" s="2" t="n">
        <v>175</v>
      </c>
      <c r="L1399" s="11" t="b">
        <f aca="false">TRUE()</f>
        <v>1</v>
      </c>
      <c r="M1399" s="2" t="s">
        <v>410</v>
      </c>
      <c r="N1399" s="2" t="n">
        <f aca="false">IF(E1399&gt;0,F1399/E1399,"")</f>
        <v>0.1</v>
      </c>
      <c r="O1399" s="2" t="n">
        <f aca="false">IF(AND(E1399&gt;0,L1399),J1399/E1399,"")</f>
        <v>16.7</v>
      </c>
    </row>
    <row r="1400" customFormat="false" ht="15" hidden="false" customHeight="false" outlineLevel="0" collapsed="false">
      <c r="A1400" s="2" t="n">
        <v>2025</v>
      </c>
      <c r="B1400" s="2" t="s">
        <v>195</v>
      </c>
      <c r="C1400" s="2" t="s">
        <v>420</v>
      </c>
      <c r="D1400" s="2" t="s">
        <v>29</v>
      </c>
      <c r="E1400" s="2" t="n">
        <v>3</v>
      </c>
      <c r="F1400" s="2" t="n">
        <v>6</v>
      </c>
      <c r="G1400" s="2" t="n">
        <v>2</v>
      </c>
      <c r="H1400" s="2" t="n">
        <v>0</v>
      </c>
      <c r="I1400" s="2" t="n">
        <v>0</v>
      </c>
      <c r="J1400" s="2" t="n">
        <v>42</v>
      </c>
      <c r="K1400" s="2" t="n">
        <v>53</v>
      </c>
      <c r="L1400" s="11" t="b">
        <f aca="false">TRUE()</f>
        <v>1</v>
      </c>
      <c r="M1400" s="2" t="s">
        <v>406</v>
      </c>
      <c r="N1400" s="2" t="n">
        <f aca="false">IF(E1400&gt;0,F1400/E1400,"")</f>
        <v>2</v>
      </c>
      <c r="O1400" s="2" t="n">
        <f aca="false">IF(AND(E1400&gt;0,L1400),J1400/E1400,"")</f>
        <v>14</v>
      </c>
    </row>
    <row r="1401" customFormat="false" ht="15" hidden="false" customHeight="false" outlineLevel="0" collapsed="false">
      <c r="A1401" s="2" t="n">
        <v>2025</v>
      </c>
      <c r="B1401" s="2" t="s">
        <v>99</v>
      </c>
      <c r="C1401" s="2" t="s">
        <v>622</v>
      </c>
      <c r="D1401" s="2" t="s">
        <v>29</v>
      </c>
      <c r="E1401" s="2" t="n">
        <v>5</v>
      </c>
      <c r="F1401" s="2" t="n">
        <v>7</v>
      </c>
      <c r="G1401" s="2" t="n">
        <v>5</v>
      </c>
      <c r="H1401" s="2" t="n">
        <v>2</v>
      </c>
      <c r="I1401" s="2" t="n">
        <v>0</v>
      </c>
      <c r="J1401" s="2" t="n">
        <v>50</v>
      </c>
      <c r="K1401" s="2" t="n">
        <v>60</v>
      </c>
      <c r="L1401" s="11" t="b">
        <f aca="false">TRUE()</f>
        <v>1</v>
      </c>
      <c r="M1401" s="2" t="s">
        <v>406</v>
      </c>
      <c r="N1401" s="2" t="n">
        <f aca="false">IF(E1401&gt;0,F1401/E1401,"")</f>
        <v>1.4</v>
      </c>
      <c r="O1401" s="2" t="n">
        <f aca="false">IF(AND(E1401&gt;0,L1401),J1401/E1401,"")</f>
        <v>10</v>
      </c>
    </row>
    <row r="1402" customFormat="false" ht="15" hidden="false" customHeight="false" outlineLevel="0" collapsed="false">
      <c r="A1402" s="2" t="n">
        <v>2025</v>
      </c>
      <c r="B1402" s="2" t="s">
        <v>106</v>
      </c>
      <c r="C1402" s="2" t="s">
        <v>414</v>
      </c>
      <c r="D1402" s="2" t="s">
        <v>29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11" t="b">
        <f aca="false">TRUE()</f>
        <v>1</v>
      </c>
      <c r="M1402" s="2" t="s">
        <v>410</v>
      </c>
      <c r="N1402" s="2" t="str">
        <f aca="false">IF(E1402&gt;0,F1402/E1402,"")</f>
        <v/>
      </c>
      <c r="O1402" s="2" t="str">
        <f aca="false">IF(AND(E1402&gt;0,L1402),J1402/E1402,"")</f>
        <v/>
      </c>
    </row>
    <row r="1403" customFormat="false" ht="15" hidden="false" customHeight="false" outlineLevel="0" collapsed="false">
      <c r="A1403" s="2" t="n">
        <v>2025</v>
      </c>
      <c r="B1403" s="2" t="s">
        <v>43</v>
      </c>
      <c r="C1403" s="2" t="s">
        <v>545</v>
      </c>
      <c r="D1403" s="2" t="s">
        <v>29</v>
      </c>
      <c r="E1403" s="2" t="n">
        <v>10</v>
      </c>
      <c r="F1403" s="2" t="n">
        <v>39</v>
      </c>
      <c r="G1403" s="2" t="n">
        <v>24</v>
      </c>
      <c r="H1403" s="2" t="n">
        <v>18</v>
      </c>
      <c r="I1403" s="2" t="n">
        <v>2</v>
      </c>
      <c r="J1403" s="2" t="n">
        <v>168</v>
      </c>
      <c r="K1403" s="2" t="n">
        <v>212</v>
      </c>
      <c r="L1403" s="11" t="b">
        <f aca="false">TRUE()</f>
        <v>1</v>
      </c>
      <c r="M1403" s="2" t="s">
        <v>406</v>
      </c>
      <c r="N1403" s="2" t="n">
        <f aca="false">IF(E1403&gt;0,F1403/E1403,"")</f>
        <v>3.9</v>
      </c>
      <c r="O1403" s="2" t="n">
        <f aca="false">IF(AND(E1403&gt;0,L1403),J1403/E1403,"")</f>
        <v>16.8</v>
      </c>
    </row>
    <row r="1404" customFormat="false" ht="15" hidden="false" customHeight="false" outlineLevel="0" collapsed="false">
      <c r="A1404" s="2" t="n">
        <v>2025</v>
      </c>
      <c r="B1404" s="2" t="s">
        <v>306</v>
      </c>
      <c r="C1404" s="2" t="s">
        <v>408</v>
      </c>
      <c r="D1404" s="2" t="s">
        <v>117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11" t="b">
        <f aca="false">TRUE()</f>
        <v>1</v>
      </c>
      <c r="M1404" s="2" t="s">
        <v>410</v>
      </c>
      <c r="N1404" s="2" t="str">
        <f aca="false">IF(E1404&gt;0,F1404/E1404,"")</f>
        <v/>
      </c>
      <c r="O1404" s="2" t="str">
        <f aca="false">IF(AND(E1404&gt;0,L1404),J1404/E1404,"")</f>
        <v/>
      </c>
    </row>
    <row r="1405" customFormat="false" ht="15" hidden="false" customHeight="false" outlineLevel="0" collapsed="false">
      <c r="A1405" s="2" t="n">
        <v>2025</v>
      </c>
      <c r="B1405" s="2" t="s">
        <v>142</v>
      </c>
      <c r="C1405" s="2" t="s">
        <v>414</v>
      </c>
      <c r="D1405" s="2" t="s">
        <v>117</v>
      </c>
      <c r="E1405" s="2" t="n">
        <v>10</v>
      </c>
      <c r="F1405" s="2" t="n">
        <v>5</v>
      </c>
      <c r="G1405" s="2" t="n">
        <v>4</v>
      </c>
      <c r="H1405" s="2" t="n">
        <v>1</v>
      </c>
      <c r="I1405" s="2" t="n">
        <v>0</v>
      </c>
      <c r="J1405" s="2" t="n">
        <v>72</v>
      </c>
      <c r="K1405" s="2" t="n">
        <v>83</v>
      </c>
      <c r="L1405" s="11" t="b">
        <f aca="false">TRUE()</f>
        <v>1</v>
      </c>
      <c r="M1405" s="2" t="s">
        <v>406</v>
      </c>
      <c r="N1405" s="2" t="n">
        <f aca="false">IF(E1405&gt;0,F1405/E1405,"")</f>
        <v>0.5</v>
      </c>
      <c r="O1405" s="2" t="n">
        <f aca="false">IF(AND(E1405&gt;0,L1405),J1405/E1405,"")</f>
        <v>7.2</v>
      </c>
    </row>
    <row r="1406" customFormat="false" ht="15" hidden="false" customHeight="false" outlineLevel="0" collapsed="false">
      <c r="A1406" s="2" t="n">
        <v>2025</v>
      </c>
      <c r="B1406" s="2" t="s">
        <v>81</v>
      </c>
      <c r="C1406" s="2" t="s">
        <v>420</v>
      </c>
      <c r="D1406" s="2" t="s">
        <v>24</v>
      </c>
      <c r="E1406" s="2" t="n">
        <v>10</v>
      </c>
      <c r="F1406" s="2" t="n">
        <v>70</v>
      </c>
      <c r="G1406" s="2" t="n">
        <v>41</v>
      </c>
      <c r="H1406" s="2" t="n">
        <v>18</v>
      </c>
      <c r="I1406" s="2" t="n">
        <v>9</v>
      </c>
      <c r="J1406" s="2" t="n">
        <v>142</v>
      </c>
      <c r="K1406" s="2" t="n">
        <v>228</v>
      </c>
      <c r="L1406" s="11" t="b">
        <f aca="false">TRUE()</f>
        <v>1</v>
      </c>
      <c r="M1406" s="2" t="s">
        <v>406</v>
      </c>
      <c r="N1406" s="2" t="n">
        <f aca="false">IF(E1406&gt;0,F1406/E1406,"")</f>
        <v>7</v>
      </c>
      <c r="O1406" s="2" t="n">
        <f aca="false">IF(AND(E1406&gt;0,L1406),J1406/E1406,"")</f>
        <v>14.2</v>
      </c>
    </row>
    <row r="1407" customFormat="false" ht="15" hidden="false" customHeight="false" outlineLevel="0" collapsed="false">
      <c r="A1407" s="2" t="n">
        <v>2025</v>
      </c>
      <c r="B1407" s="2" t="s">
        <v>138</v>
      </c>
      <c r="C1407" s="2" t="s">
        <v>405</v>
      </c>
      <c r="D1407" s="2" t="s">
        <v>29</v>
      </c>
      <c r="E1407" s="2" t="n">
        <v>4</v>
      </c>
      <c r="F1407" s="2" t="n">
        <v>12</v>
      </c>
      <c r="G1407" s="2" t="n">
        <v>8</v>
      </c>
      <c r="H1407" s="2" t="n">
        <v>3</v>
      </c>
      <c r="I1407" s="2" t="n">
        <v>1</v>
      </c>
      <c r="J1407" s="2" t="n">
        <v>59</v>
      </c>
      <c r="K1407" s="2" t="n">
        <v>79</v>
      </c>
      <c r="L1407" s="11" t="b">
        <f aca="false">TRUE()</f>
        <v>1</v>
      </c>
      <c r="M1407" s="2" t="s">
        <v>406</v>
      </c>
      <c r="N1407" s="2" t="n">
        <f aca="false">IF(E1407&gt;0,F1407/E1407,"")</f>
        <v>3</v>
      </c>
      <c r="O1407" s="2" t="n">
        <f aca="false">IF(AND(E1407&gt;0,L1407),J1407/E1407,"")</f>
        <v>14.75</v>
      </c>
    </row>
    <row r="1408" customFormat="false" ht="15" hidden="false" customHeight="false" outlineLevel="0" collapsed="false">
      <c r="A1408" s="2" t="n">
        <v>2025</v>
      </c>
      <c r="B1408" s="2" t="s">
        <v>625</v>
      </c>
      <c r="C1408" s="2" t="s">
        <v>412</v>
      </c>
      <c r="D1408" s="2" t="s">
        <v>409</v>
      </c>
      <c r="E1408" s="2" t="n">
        <v>10</v>
      </c>
      <c r="F1408" s="2" t="n">
        <v>4</v>
      </c>
      <c r="G1408" s="2" t="n">
        <v>0</v>
      </c>
      <c r="H1408" s="2" t="n">
        <v>0</v>
      </c>
      <c r="I1408" s="2" t="n">
        <v>1</v>
      </c>
      <c r="J1408" s="2" t="n">
        <v>175</v>
      </c>
      <c r="K1408" s="2" t="n">
        <v>183</v>
      </c>
      <c r="L1408" s="11" t="b">
        <f aca="false">TRUE()</f>
        <v>1</v>
      </c>
      <c r="M1408" s="2" t="s">
        <v>410</v>
      </c>
      <c r="N1408" s="2" t="n">
        <f aca="false">IF(E1408&gt;0,F1408/E1408,"")</f>
        <v>0.4</v>
      </c>
      <c r="O1408" s="2" t="n">
        <f aca="false">IF(AND(E1408&gt;0,L1408),J1408/E1408,"")</f>
        <v>17.5</v>
      </c>
    </row>
    <row r="1409" customFormat="false" ht="15" hidden="false" customHeight="false" outlineLevel="0" collapsed="false">
      <c r="A1409" s="2" t="n">
        <v>2025</v>
      </c>
      <c r="B1409" s="2" t="s">
        <v>155</v>
      </c>
      <c r="C1409" s="2" t="s">
        <v>545</v>
      </c>
      <c r="D1409" s="2" t="s">
        <v>117</v>
      </c>
      <c r="E1409" s="2" t="n">
        <v>10</v>
      </c>
      <c r="F1409" s="2" t="n">
        <v>2</v>
      </c>
      <c r="G1409" s="2" t="n">
        <v>0</v>
      </c>
      <c r="H1409" s="2" t="n">
        <v>0</v>
      </c>
      <c r="I1409" s="2" t="n">
        <v>0</v>
      </c>
      <c r="J1409" s="2" t="n">
        <v>71</v>
      </c>
      <c r="K1409" s="2" t="n">
        <v>74</v>
      </c>
      <c r="L1409" s="11" t="b">
        <f aca="false">TRUE()</f>
        <v>1</v>
      </c>
      <c r="M1409" s="2" t="s">
        <v>406</v>
      </c>
      <c r="N1409" s="2" t="n">
        <f aca="false">IF(E1409&gt;0,F1409/E1409,"")</f>
        <v>0.2</v>
      </c>
      <c r="O1409" s="2" t="n">
        <f aca="false">IF(AND(E1409&gt;0,L1409),J1409/E1409,"")</f>
        <v>7.1</v>
      </c>
    </row>
    <row r="1410" customFormat="false" ht="15" hidden="false" customHeight="false" outlineLevel="0" collapsed="false">
      <c r="A1410" s="2" t="n">
        <v>2025</v>
      </c>
      <c r="B1410" s="2" t="s">
        <v>158</v>
      </c>
      <c r="C1410" s="2" t="s">
        <v>545</v>
      </c>
      <c r="D1410" s="2" t="s">
        <v>83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11" t="b">
        <f aca="false">TRUE()</f>
        <v>1</v>
      </c>
      <c r="M1410" s="2" t="s">
        <v>410</v>
      </c>
      <c r="N1410" s="2" t="str">
        <f aca="false">IF(E1410&gt;0,F1410/E1410,"")</f>
        <v/>
      </c>
      <c r="O1410" s="2" t="str">
        <f aca="false">IF(AND(E1410&gt;0,L1410),J1410/E1410,"")</f>
        <v/>
      </c>
    </row>
    <row r="1411" customFormat="false" ht="15" hidden="false" customHeight="false" outlineLevel="0" collapsed="false">
      <c r="A1411" s="2" t="n">
        <v>2025</v>
      </c>
      <c r="B1411" s="2" t="s">
        <v>191</v>
      </c>
      <c r="C1411" s="2" t="s">
        <v>405</v>
      </c>
      <c r="D1411" s="2" t="s">
        <v>117</v>
      </c>
      <c r="E1411" s="2" t="n">
        <v>10</v>
      </c>
      <c r="F1411" s="2" t="n">
        <v>3</v>
      </c>
      <c r="G1411" s="2" t="n">
        <v>2</v>
      </c>
      <c r="H1411" s="2" t="n">
        <v>0</v>
      </c>
      <c r="I1411" s="2" t="n">
        <v>0</v>
      </c>
      <c r="J1411" s="2" t="n">
        <v>60</v>
      </c>
      <c r="K1411" s="2" t="n">
        <v>66</v>
      </c>
      <c r="L1411" s="11" t="b">
        <f aca="false">TRUE()</f>
        <v>1</v>
      </c>
      <c r="M1411" s="2" t="s">
        <v>406</v>
      </c>
      <c r="N1411" s="2" t="n">
        <f aca="false">IF(E1411&gt;0,F1411/E1411,"")</f>
        <v>0.3</v>
      </c>
      <c r="O1411" s="2" t="n">
        <f aca="false">IF(AND(E1411&gt;0,L1411),J1411/E1411,"")</f>
        <v>6</v>
      </c>
    </row>
    <row r="1412" customFormat="false" ht="15" hidden="false" customHeight="false" outlineLevel="0" collapsed="false">
      <c r="A1412" s="2" t="n">
        <v>2025</v>
      </c>
      <c r="B1412" s="2" t="s">
        <v>272</v>
      </c>
      <c r="C1412" s="2" t="s">
        <v>405</v>
      </c>
      <c r="D1412" s="2" t="s">
        <v>83</v>
      </c>
      <c r="E1412" s="2" t="n">
        <v>10</v>
      </c>
      <c r="F1412" s="2" t="n">
        <v>2</v>
      </c>
      <c r="G1412" s="2" t="n">
        <v>0</v>
      </c>
      <c r="H1412" s="2" t="n">
        <v>0</v>
      </c>
      <c r="I1412" s="2" t="n">
        <v>0</v>
      </c>
      <c r="J1412" s="2" t="n">
        <v>36</v>
      </c>
      <c r="K1412" s="2" t="n">
        <v>40</v>
      </c>
      <c r="L1412" s="11" t="b">
        <f aca="false">TRUE()</f>
        <v>1</v>
      </c>
      <c r="M1412" s="2" t="s">
        <v>406</v>
      </c>
      <c r="N1412" s="2" t="n">
        <f aca="false">IF(E1412&gt;0,F1412/E1412,"")</f>
        <v>0.2</v>
      </c>
      <c r="O1412" s="2" t="n">
        <f aca="false">IF(AND(E1412&gt;0,L1412),J1412/E1412,"")</f>
        <v>3.6</v>
      </c>
    </row>
    <row r="1413" customFormat="false" ht="15" hidden="false" customHeight="false" outlineLevel="0" collapsed="false">
      <c r="A1413" s="2" t="n">
        <v>2025</v>
      </c>
      <c r="B1413" s="2" t="s">
        <v>85</v>
      </c>
      <c r="C1413" s="2" t="s">
        <v>420</v>
      </c>
      <c r="D1413" s="2" t="s">
        <v>29</v>
      </c>
      <c r="E1413" s="2" t="n">
        <v>6</v>
      </c>
      <c r="F1413" s="2" t="n">
        <v>22</v>
      </c>
      <c r="G1413" s="2" t="n">
        <v>12</v>
      </c>
      <c r="H1413" s="2" t="n">
        <v>5</v>
      </c>
      <c r="I1413" s="2" t="n">
        <v>0</v>
      </c>
      <c r="J1413" s="2" t="n">
        <v>42</v>
      </c>
      <c r="K1413" s="2" t="n">
        <v>69</v>
      </c>
      <c r="L1413" s="11" t="b">
        <f aca="false">TRUE()</f>
        <v>1</v>
      </c>
      <c r="M1413" s="2" t="s">
        <v>406</v>
      </c>
      <c r="N1413" s="2" t="n">
        <f aca="false">IF(E1413&gt;0,F1413/E1413,"")</f>
        <v>3.66666666666667</v>
      </c>
      <c r="O1413" s="2" t="n">
        <f aca="false">IF(AND(E1413&gt;0,L1413),J1413/E1413,"")</f>
        <v>7</v>
      </c>
    </row>
    <row r="1414" customFormat="false" ht="15" hidden="false" customHeight="false" outlineLevel="0" collapsed="false">
      <c r="A1414" s="2" t="n">
        <v>2025</v>
      </c>
      <c r="B1414" s="2" t="s">
        <v>28</v>
      </c>
      <c r="C1414" s="2" t="s">
        <v>408</v>
      </c>
      <c r="D1414" s="2" t="s">
        <v>24</v>
      </c>
      <c r="E1414" s="2" t="n">
        <v>10</v>
      </c>
      <c r="F1414" s="2" t="n">
        <v>47</v>
      </c>
      <c r="G1414" s="2" t="n">
        <v>31</v>
      </c>
      <c r="H1414" s="2" t="n">
        <v>14</v>
      </c>
      <c r="I1414" s="2" t="n">
        <v>6</v>
      </c>
      <c r="J1414" s="2" t="n">
        <v>191</v>
      </c>
      <c r="K1414" s="2" t="n">
        <v>254</v>
      </c>
      <c r="L1414" s="11" t="b">
        <f aca="false">TRUE()</f>
        <v>1</v>
      </c>
      <c r="M1414" s="2" t="s">
        <v>406</v>
      </c>
      <c r="N1414" s="2" t="n">
        <f aca="false">IF(E1414&gt;0,F1414/E1414,"")</f>
        <v>4.7</v>
      </c>
      <c r="O1414" s="2" t="n">
        <f aca="false">IF(AND(E1414&gt;0,L1414),J1414/E1414,"")</f>
        <v>19.1</v>
      </c>
    </row>
    <row r="1415" customFormat="false" ht="15" hidden="false" customHeight="false" outlineLevel="0" collapsed="false">
      <c r="A1415" s="2" t="n">
        <v>2025</v>
      </c>
      <c r="B1415" s="2" t="s">
        <v>303</v>
      </c>
      <c r="C1415" s="2" t="s">
        <v>408</v>
      </c>
      <c r="D1415" s="2" t="s">
        <v>29</v>
      </c>
      <c r="E1415" s="2" t="n">
        <v>3</v>
      </c>
      <c r="F1415" s="2" t="n">
        <v>4</v>
      </c>
      <c r="G1415" s="2" t="n">
        <v>3</v>
      </c>
      <c r="H1415" s="2" t="n">
        <v>2</v>
      </c>
      <c r="I1415" s="2" t="n">
        <v>0</v>
      </c>
      <c r="J1415" s="2" t="n">
        <v>17</v>
      </c>
      <c r="K1415" s="2" t="n">
        <v>22</v>
      </c>
      <c r="L1415" s="11" t="b">
        <f aca="false">TRUE()</f>
        <v>1</v>
      </c>
      <c r="M1415" s="2" t="s">
        <v>406</v>
      </c>
      <c r="N1415" s="2" t="n">
        <f aca="false">IF(E1415&gt;0,F1415/E1415,"")</f>
        <v>1.33333333333333</v>
      </c>
      <c r="O1415" s="2" t="n">
        <f aca="false">IF(AND(E1415&gt;0,L1415),J1415/E1415,"")</f>
        <v>5.66666666666667</v>
      </c>
    </row>
    <row r="1416" customFormat="false" ht="15" hidden="false" customHeight="false" outlineLevel="0" collapsed="false">
      <c r="A1416" s="2" t="n">
        <v>2025</v>
      </c>
      <c r="B1416" s="2" t="s">
        <v>213</v>
      </c>
      <c r="C1416" s="2" t="s">
        <v>518</v>
      </c>
      <c r="D1416" s="2" t="s">
        <v>117</v>
      </c>
      <c r="E1416" s="2" t="n">
        <v>9</v>
      </c>
      <c r="F1416" s="2" t="n">
        <v>7</v>
      </c>
      <c r="G1416" s="2" t="n">
        <v>6</v>
      </c>
      <c r="H1416" s="2" t="n">
        <v>2</v>
      </c>
      <c r="I1416" s="2" t="n">
        <v>0</v>
      </c>
      <c r="J1416" s="2" t="n">
        <v>63</v>
      </c>
      <c r="K1416" s="2" t="n">
        <v>72</v>
      </c>
      <c r="L1416" s="11" t="b">
        <f aca="false">TRUE()</f>
        <v>1</v>
      </c>
      <c r="M1416" s="2" t="s">
        <v>406</v>
      </c>
      <c r="N1416" s="2" t="n">
        <f aca="false">IF(E1416&gt;0,F1416/E1416,"")</f>
        <v>0.777777777777778</v>
      </c>
      <c r="O1416" s="2" t="n">
        <f aca="false">IF(AND(E1416&gt;0,L1416),J1416/E1416,"")</f>
        <v>7</v>
      </c>
    </row>
    <row r="1417" customFormat="false" ht="15" hidden="false" customHeight="false" outlineLevel="0" collapsed="false">
      <c r="A1417" s="2" t="n">
        <v>2025</v>
      </c>
      <c r="B1417" s="2" t="s">
        <v>30</v>
      </c>
      <c r="C1417" s="2" t="s">
        <v>405</v>
      </c>
      <c r="D1417" s="2" t="s">
        <v>24</v>
      </c>
      <c r="E1417" s="2" t="n">
        <v>10</v>
      </c>
      <c r="F1417" s="2" t="n">
        <v>48</v>
      </c>
      <c r="G1417" s="2" t="n">
        <v>35</v>
      </c>
      <c r="H1417" s="2" t="n">
        <v>14</v>
      </c>
      <c r="I1417" s="2" t="n">
        <v>8</v>
      </c>
      <c r="J1417" s="2" t="n">
        <v>259</v>
      </c>
      <c r="K1417" s="2" t="n">
        <v>325</v>
      </c>
      <c r="L1417" s="11" t="b">
        <f aca="false">TRUE()</f>
        <v>1</v>
      </c>
      <c r="M1417" s="2" t="s">
        <v>406</v>
      </c>
      <c r="N1417" s="2" t="n">
        <f aca="false">IF(E1417&gt;0,F1417/E1417,"")</f>
        <v>4.8</v>
      </c>
      <c r="O1417" s="2" t="n">
        <f aca="false">IF(AND(E1417&gt;0,L1417),J1417/E1417,"")</f>
        <v>25.9</v>
      </c>
    </row>
    <row r="1418" customFormat="false" ht="15" hidden="false" customHeight="false" outlineLevel="0" collapsed="false">
      <c r="A1418" s="2" t="n">
        <v>2025</v>
      </c>
      <c r="B1418" s="2" t="s">
        <v>110</v>
      </c>
      <c r="C1418" s="2" t="s">
        <v>622</v>
      </c>
      <c r="D1418" s="2" t="s">
        <v>83</v>
      </c>
      <c r="E1418" s="2" t="n">
        <v>10</v>
      </c>
      <c r="F1418" s="2" t="n">
        <v>9</v>
      </c>
      <c r="G1418" s="2" t="n">
        <v>7</v>
      </c>
      <c r="H1418" s="2" t="n">
        <v>3</v>
      </c>
      <c r="I1418" s="2" t="n">
        <v>1</v>
      </c>
      <c r="J1418" s="2" t="n">
        <v>73</v>
      </c>
      <c r="K1418" s="2" t="n">
        <v>86</v>
      </c>
      <c r="L1418" s="11" t="b">
        <f aca="false">TRUE()</f>
        <v>1</v>
      </c>
      <c r="M1418" s="2" t="s">
        <v>406</v>
      </c>
      <c r="N1418" s="2" t="n">
        <f aca="false">IF(E1418&gt;0,F1418/E1418,"")</f>
        <v>0.9</v>
      </c>
      <c r="O1418" s="2" t="n">
        <f aca="false">IF(AND(E1418&gt;0,L1418),J1418/E1418,"")</f>
        <v>7.3</v>
      </c>
    </row>
    <row r="1419" customFormat="false" ht="15" hidden="false" customHeight="false" outlineLevel="0" collapsed="false">
      <c r="A1419" s="2" t="n">
        <v>2025</v>
      </c>
      <c r="B1419" s="2" t="s">
        <v>366</v>
      </c>
      <c r="C1419" s="2" t="s">
        <v>545</v>
      </c>
      <c r="D1419" s="2" t="s">
        <v>115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11" t="b">
        <f aca="false">TRUE()</f>
        <v>1</v>
      </c>
      <c r="M1419" s="2" t="s">
        <v>410</v>
      </c>
      <c r="N1419" s="2" t="str">
        <f aca="false">IF(E1419&gt;0,F1419/E1419,"")</f>
        <v/>
      </c>
      <c r="O1419" s="2" t="str">
        <f aca="false">IF(AND(E1419&gt;0,L1419),J1419/E1419,"")</f>
        <v/>
      </c>
    </row>
    <row r="1420" customFormat="false" ht="15" hidden="false" customHeight="false" outlineLevel="0" collapsed="false">
      <c r="A1420" s="2" t="n">
        <v>2025</v>
      </c>
      <c r="B1420" s="2" t="s">
        <v>442</v>
      </c>
      <c r="C1420" s="2" t="s">
        <v>545</v>
      </c>
      <c r="D1420" s="2" t="s">
        <v>409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1</v>
      </c>
      <c r="K1420" s="2" t="n">
        <v>1</v>
      </c>
      <c r="L1420" s="11" t="b">
        <f aca="false">TRUE()</f>
        <v>1</v>
      </c>
      <c r="M1420" s="2" t="s">
        <v>410</v>
      </c>
      <c r="N1420" s="2" t="n">
        <f aca="false">IF(E1420&gt;0,F1420/E1420,"")</f>
        <v>0</v>
      </c>
      <c r="O1420" s="2" t="n">
        <f aca="false">IF(AND(E1420&gt;0,L1420),J1420/E1420,"")</f>
        <v>1</v>
      </c>
    </row>
    <row r="1421" customFormat="false" ht="15" hidden="false" customHeight="false" outlineLevel="0" collapsed="false">
      <c r="A1421" s="2" t="n">
        <v>2025</v>
      </c>
      <c r="B1421" s="2" t="s">
        <v>144</v>
      </c>
      <c r="C1421" s="2" t="s">
        <v>622</v>
      </c>
      <c r="D1421" s="2" t="s">
        <v>117</v>
      </c>
      <c r="E1421" s="2" t="n">
        <v>10</v>
      </c>
      <c r="F1421" s="2" t="n">
        <v>2</v>
      </c>
      <c r="G1421" s="2" t="n">
        <v>2</v>
      </c>
      <c r="H1421" s="2" t="n">
        <v>0</v>
      </c>
      <c r="I1421" s="2" t="n">
        <v>1</v>
      </c>
      <c r="J1421" s="2" t="n">
        <v>60</v>
      </c>
      <c r="K1421" s="2" t="n">
        <v>66</v>
      </c>
      <c r="L1421" s="11" t="b">
        <f aca="false">TRUE()</f>
        <v>1</v>
      </c>
      <c r="M1421" s="2" t="s">
        <v>406</v>
      </c>
      <c r="N1421" s="2" t="n">
        <f aca="false">IF(E1421&gt;0,F1421/E1421,"")</f>
        <v>0.2</v>
      </c>
      <c r="O1421" s="2" t="n">
        <f aca="false">IF(AND(E1421&gt;0,L1421),J1421/E1421,"")</f>
        <v>6</v>
      </c>
    </row>
    <row r="1422" customFormat="false" ht="15" hidden="false" customHeight="false" outlineLevel="0" collapsed="false">
      <c r="A1422" s="2" t="n">
        <v>2025</v>
      </c>
      <c r="B1422" s="2" t="s">
        <v>215</v>
      </c>
      <c r="C1422" s="2" t="s">
        <v>420</v>
      </c>
      <c r="D1422" s="2" t="s">
        <v>83</v>
      </c>
      <c r="E1422" s="2" t="n">
        <v>10</v>
      </c>
      <c r="F1422" s="2" t="n">
        <v>7</v>
      </c>
      <c r="G1422" s="2" t="n">
        <v>5</v>
      </c>
      <c r="H1422" s="2" t="n">
        <v>2</v>
      </c>
      <c r="I1422" s="2" t="n">
        <v>0</v>
      </c>
      <c r="J1422" s="2" t="n">
        <v>60</v>
      </c>
      <c r="K1422" s="2" t="n">
        <v>69</v>
      </c>
      <c r="L1422" s="11" t="b">
        <f aca="false">TRUE()</f>
        <v>1</v>
      </c>
      <c r="M1422" s="2" t="s">
        <v>406</v>
      </c>
      <c r="N1422" s="2" t="n">
        <f aca="false">IF(E1422&gt;0,F1422/E1422,"")</f>
        <v>0.7</v>
      </c>
      <c r="O1422" s="2" t="n">
        <f aca="false">IF(AND(E1422&gt;0,L1422),J1422/E1422,"")</f>
        <v>6</v>
      </c>
    </row>
    <row r="1423" customFormat="false" ht="15" hidden="false" customHeight="false" outlineLevel="0" collapsed="false">
      <c r="A1423" s="2" t="n">
        <v>2025</v>
      </c>
      <c r="B1423" s="2" t="s">
        <v>190</v>
      </c>
      <c r="C1423" s="2" t="s">
        <v>518</v>
      </c>
      <c r="D1423" s="2" t="s">
        <v>117</v>
      </c>
      <c r="E1423" s="2" t="n">
        <v>6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15</v>
      </c>
      <c r="K1423" s="2" t="n">
        <v>15</v>
      </c>
      <c r="L1423" s="11" t="b">
        <f aca="false">TRUE()</f>
        <v>1</v>
      </c>
      <c r="M1423" s="2" t="s">
        <v>406</v>
      </c>
      <c r="N1423" s="2" t="n">
        <f aca="false">IF(E1423&gt;0,F1423/E1423,"")</f>
        <v>0</v>
      </c>
      <c r="O1423" s="2" t="n">
        <f aca="false">IF(AND(E1423&gt;0,L1423),J1423/E1423,"")</f>
        <v>2.5</v>
      </c>
    </row>
    <row r="1424" customFormat="false" ht="15" hidden="false" customHeight="false" outlineLevel="0" collapsed="false">
      <c r="A1424" s="2" t="n">
        <v>2025</v>
      </c>
      <c r="B1424" s="2" t="s">
        <v>164</v>
      </c>
      <c r="C1424" s="2" t="s">
        <v>545</v>
      </c>
      <c r="D1424" s="2" t="s">
        <v>83</v>
      </c>
      <c r="E1424" s="2" t="n">
        <v>10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47</v>
      </c>
      <c r="K1424" s="2" t="n">
        <v>49</v>
      </c>
      <c r="L1424" s="11" t="b">
        <f aca="false">TRUE()</f>
        <v>1</v>
      </c>
      <c r="M1424" s="2" t="s">
        <v>406</v>
      </c>
      <c r="N1424" s="2" t="n">
        <f aca="false">IF(E1424&gt;0,F1424/E1424,"")</f>
        <v>0</v>
      </c>
      <c r="O1424" s="2" t="n">
        <f aca="false">IF(AND(E1424&gt;0,L1424),J1424/E1424,"")</f>
        <v>4.7</v>
      </c>
    </row>
    <row r="1425" customFormat="false" ht="15" hidden="false" customHeight="false" outlineLevel="0" collapsed="false">
      <c r="A1425" s="2" t="n">
        <v>2025</v>
      </c>
      <c r="B1425" s="2" t="s">
        <v>286</v>
      </c>
      <c r="C1425" s="2" t="s">
        <v>412</v>
      </c>
      <c r="D1425" s="2" t="s">
        <v>115</v>
      </c>
      <c r="E1425" s="2" t="n">
        <v>8</v>
      </c>
      <c r="F1425" s="2" t="n">
        <v>6</v>
      </c>
      <c r="G1425" s="2" t="n">
        <v>5</v>
      </c>
      <c r="H1425" s="2" t="n">
        <v>4</v>
      </c>
      <c r="I1425" s="2" t="n">
        <v>4</v>
      </c>
      <c r="J1425" s="2" t="n">
        <v>51</v>
      </c>
      <c r="K1425" s="2" t="n">
        <v>58</v>
      </c>
      <c r="L1425" s="11" t="b">
        <f aca="false">TRUE()</f>
        <v>1</v>
      </c>
      <c r="M1425" s="2" t="s">
        <v>406</v>
      </c>
      <c r="N1425" s="2" t="n">
        <f aca="false">IF(E1425&gt;0,F1425/E1425,"")</f>
        <v>0.75</v>
      </c>
      <c r="O1425" s="2" t="n">
        <f aca="false">IF(AND(E1425&gt;0,L1425),J1425/E1425,"")</f>
        <v>6.375</v>
      </c>
    </row>
    <row r="1426" customFormat="false" ht="15" hidden="false" customHeight="false" outlineLevel="0" collapsed="false">
      <c r="A1426" s="2" t="n">
        <v>2025</v>
      </c>
      <c r="B1426" s="2" t="s">
        <v>186</v>
      </c>
      <c r="C1426" s="2" t="s">
        <v>545</v>
      </c>
      <c r="D1426" s="2" t="s">
        <v>115</v>
      </c>
      <c r="E1426" s="2" t="n">
        <v>10</v>
      </c>
      <c r="F1426" s="2" t="n">
        <v>10</v>
      </c>
      <c r="G1426" s="2" t="n">
        <v>7</v>
      </c>
      <c r="H1426" s="2" t="n">
        <v>2</v>
      </c>
      <c r="I1426" s="2" t="n">
        <v>2</v>
      </c>
      <c r="J1426" s="2" t="n">
        <v>37</v>
      </c>
      <c r="K1426" s="2" t="n">
        <v>49</v>
      </c>
      <c r="L1426" s="11" t="b">
        <f aca="false">TRUE()</f>
        <v>1</v>
      </c>
      <c r="M1426" s="2" t="s">
        <v>406</v>
      </c>
      <c r="N1426" s="2" t="n">
        <f aca="false">IF(E1426&gt;0,F1426/E1426,"")</f>
        <v>1</v>
      </c>
      <c r="O1426" s="2" t="n">
        <f aca="false">IF(AND(E1426&gt;0,L1426),J1426/E1426,"")</f>
        <v>3.7</v>
      </c>
    </row>
    <row r="1427" customFormat="false" ht="15" hidden="false" customHeight="false" outlineLevel="0" collapsed="false">
      <c r="A1427" s="2" t="n">
        <v>2025</v>
      </c>
      <c r="B1427" s="2" t="s">
        <v>44</v>
      </c>
      <c r="C1427" s="2" t="s">
        <v>405</v>
      </c>
      <c r="D1427" s="2" t="s">
        <v>24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11" t="b">
        <f aca="false">TRUE()</f>
        <v>1</v>
      </c>
      <c r="M1427" s="2" t="s">
        <v>410</v>
      </c>
      <c r="N1427" s="2" t="str">
        <f aca="false">IF(E1427&gt;0,F1427/E1427,"")</f>
        <v/>
      </c>
      <c r="O1427" s="2" t="str">
        <f aca="false">IF(AND(E1427&gt;0,L1427),J1427/E1427,"")</f>
        <v/>
      </c>
    </row>
    <row r="1428" customFormat="false" ht="15" hidden="false" customHeight="false" outlineLevel="0" collapsed="false">
      <c r="A1428" s="2" t="n">
        <v>2025</v>
      </c>
      <c r="B1428" s="2" t="s">
        <v>328</v>
      </c>
      <c r="C1428" s="2" t="s">
        <v>622</v>
      </c>
      <c r="D1428" s="2" t="s">
        <v>83</v>
      </c>
      <c r="E1428" s="2" t="n">
        <v>4</v>
      </c>
      <c r="F1428" s="2" t="n">
        <v>1</v>
      </c>
      <c r="G1428" s="2" t="n">
        <v>1</v>
      </c>
      <c r="H1428" s="2" t="n">
        <v>1</v>
      </c>
      <c r="I1428" s="2" t="n">
        <v>1</v>
      </c>
      <c r="J1428" s="2" t="n">
        <v>9</v>
      </c>
      <c r="K1428" s="2" t="n">
        <v>10</v>
      </c>
      <c r="L1428" s="11" t="b">
        <f aca="false">TRUE()</f>
        <v>1</v>
      </c>
      <c r="M1428" s="2" t="s">
        <v>406</v>
      </c>
      <c r="N1428" s="2" t="n">
        <f aca="false">IF(E1428&gt;0,F1428/E1428,"")</f>
        <v>0.25</v>
      </c>
      <c r="O1428" s="2" t="n">
        <f aca="false">IF(AND(E1428&gt;0,L1428),J1428/E1428,"")</f>
        <v>2.25</v>
      </c>
    </row>
    <row r="1429" customFormat="false" ht="15" hidden="false" customHeight="false" outlineLevel="0" collapsed="false">
      <c r="A1429" s="2" t="n">
        <v>2025</v>
      </c>
      <c r="B1429" s="2" t="s">
        <v>255</v>
      </c>
      <c r="C1429" s="2" t="s">
        <v>622</v>
      </c>
      <c r="D1429" s="2" t="s">
        <v>115</v>
      </c>
      <c r="E1429" s="2" t="n">
        <v>5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14</v>
      </c>
      <c r="K1429" s="2" t="n">
        <v>15</v>
      </c>
      <c r="L1429" s="11" t="b">
        <f aca="false">TRUE()</f>
        <v>1</v>
      </c>
      <c r="M1429" s="2" t="s">
        <v>406</v>
      </c>
      <c r="N1429" s="2" t="n">
        <f aca="false">IF(E1429&gt;0,F1429/E1429,"")</f>
        <v>0</v>
      </c>
      <c r="O1429" s="2" t="n">
        <f aca="false">IF(AND(E1429&gt;0,L1429),J1429/E1429,"")</f>
        <v>2.8</v>
      </c>
    </row>
    <row r="1430" customFormat="false" ht="15" hidden="false" customHeight="false" outlineLevel="0" collapsed="false">
      <c r="A1430" s="2" t="n">
        <v>2025</v>
      </c>
      <c r="B1430" s="2" t="s">
        <v>88</v>
      </c>
      <c r="C1430" s="2" t="s">
        <v>405</v>
      </c>
      <c r="D1430" s="2" t="s">
        <v>29</v>
      </c>
      <c r="E1430" s="2" t="n">
        <v>5</v>
      </c>
      <c r="F1430" s="2" t="n">
        <v>22</v>
      </c>
      <c r="G1430" s="2" t="n">
        <v>14</v>
      </c>
      <c r="H1430" s="2" t="n">
        <v>3</v>
      </c>
      <c r="I1430" s="2" t="n">
        <v>1</v>
      </c>
      <c r="J1430" s="2" t="n">
        <v>63</v>
      </c>
      <c r="K1430" s="2" t="n">
        <v>90</v>
      </c>
      <c r="L1430" s="11" t="b">
        <f aca="false">TRUE()</f>
        <v>1</v>
      </c>
      <c r="M1430" s="2" t="s">
        <v>406</v>
      </c>
      <c r="N1430" s="2" t="n">
        <f aca="false">IF(E1430&gt;0,F1430/E1430,"")</f>
        <v>4.4</v>
      </c>
      <c r="O1430" s="2" t="n">
        <f aca="false">IF(AND(E1430&gt;0,L1430),J1430/E1430,"")</f>
        <v>12.6</v>
      </c>
    </row>
    <row r="1431" customFormat="false" ht="15" hidden="false" customHeight="false" outlineLevel="0" collapsed="false">
      <c r="A1431" s="2" t="n">
        <v>2025</v>
      </c>
      <c r="B1431" s="2" t="s">
        <v>40</v>
      </c>
      <c r="C1431" s="2" t="s">
        <v>518</v>
      </c>
      <c r="D1431" s="2" t="s">
        <v>29</v>
      </c>
      <c r="E1431" s="2" t="n">
        <v>10</v>
      </c>
      <c r="F1431" s="2" t="n">
        <v>59</v>
      </c>
      <c r="G1431" s="2" t="n">
        <v>35</v>
      </c>
      <c r="H1431" s="2" t="n">
        <v>15</v>
      </c>
      <c r="I1431" s="2" t="n">
        <v>2</v>
      </c>
      <c r="J1431" s="2" t="n">
        <v>162</v>
      </c>
      <c r="K1431" s="2" t="n">
        <v>236</v>
      </c>
      <c r="L1431" s="11" t="b">
        <f aca="false">TRUE()</f>
        <v>1</v>
      </c>
      <c r="M1431" s="2" t="s">
        <v>406</v>
      </c>
      <c r="N1431" s="2" t="n">
        <f aca="false">IF(E1431&gt;0,F1431/E1431,"")</f>
        <v>5.9</v>
      </c>
      <c r="O1431" s="2" t="n">
        <f aca="false">IF(AND(E1431&gt;0,L1431),J1431/E1431,"")</f>
        <v>16.2</v>
      </c>
    </row>
    <row r="1432" customFormat="false" ht="15" hidden="false" customHeight="false" outlineLevel="0" collapsed="false">
      <c r="A1432" s="2" t="n">
        <v>2025</v>
      </c>
      <c r="B1432" s="2" t="s">
        <v>224</v>
      </c>
      <c r="C1432" s="2" t="s">
        <v>408</v>
      </c>
      <c r="D1432" s="2" t="s">
        <v>83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11" t="b">
        <f aca="false">TRUE()</f>
        <v>1</v>
      </c>
      <c r="M1432" s="2" t="s">
        <v>410</v>
      </c>
      <c r="N1432" s="2" t="str">
        <f aca="false">IF(E1432&gt;0,F1432/E1432,"")</f>
        <v/>
      </c>
      <c r="O1432" s="2" t="str">
        <f aca="false">IF(AND(E1432&gt;0,L1432),J1432/E1432,"")</f>
        <v/>
      </c>
    </row>
    <row r="1433" customFormat="false" ht="15" hidden="false" customHeight="false" outlineLevel="0" collapsed="false">
      <c r="A1433" s="2" t="n">
        <v>2025</v>
      </c>
      <c r="B1433" s="2" t="s">
        <v>188</v>
      </c>
      <c r="C1433" s="2" t="s">
        <v>622</v>
      </c>
      <c r="D1433" s="2" t="s">
        <v>83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11" t="b">
        <f aca="false">TRUE()</f>
        <v>1</v>
      </c>
      <c r="M1433" s="2" t="s">
        <v>410</v>
      </c>
      <c r="N1433" s="2" t="str">
        <f aca="false">IF(E1433&gt;0,F1433/E1433,"")</f>
        <v/>
      </c>
      <c r="O1433" s="2" t="str">
        <f aca="false">IF(AND(E1433&gt;0,L1433),J1433/E1433,"")</f>
        <v/>
      </c>
    </row>
    <row r="1434" customFormat="false" ht="15" hidden="false" customHeight="false" outlineLevel="0" collapsed="false">
      <c r="A1434" s="2" t="n">
        <v>2025</v>
      </c>
      <c r="B1434" s="2" t="s">
        <v>227</v>
      </c>
      <c r="C1434" s="2" t="s">
        <v>518</v>
      </c>
      <c r="D1434" s="2" t="s">
        <v>83</v>
      </c>
      <c r="E1434" s="2" t="n">
        <v>2</v>
      </c>
      <c r="F1434" s="2" t="n">
        <v>1</v>
      </c>
      <c r="G1434" s="2" t="n">
        <v>0</v>
      </c>
      <c r="H1434" s="2" t="n">
        <v>0</v>
      </c>
      <c r="I1434" s="2" t="n">
        <v>0</v>
      </c>
      <c r="J1434" s="2" t="n">
        <v>11</v>
      </c>
      <c r="K1434" s="2" t="n">
        <v>12</v>
      </c>
      <c r="L1434" s="11" t="b">
        <f aca="false">TRUE()</f>
        <v>1</v>
      </c>
      <c r="M1434" s="2" t="s">
        <v>410</v>
      </c>
      <c r="N1434" s="2" t="n">
        <f aca="false">IF(E1434&gt;0,F1434/E1434,"")</f>
        <v>0.5</v>
      </c>
      <c r="O1434" s="2" t="n">
        <f aca="false">IF(AND(E1434&gt;0,L1434),J1434/E1434,"")</f>
        <v>5.5</v>
      </c>
    </row>
    <row r="1435" customFormat="false" ht="15" hidden="false" customHeight="false" outlineLevel="0" collapsed="false">
      <c r="A1435" s="2" t="n">
        <v>2025</v>
      </c>
      <c r="B1435" s="2" t="s">
        <v>66</v>
      </c>
      <c r="C1435" s="2" t="s">
        <v>414</v>
      </c>
      <c r="D1435" s="2" t="s">
        <v>29</v>
      </c>
      <c r="E1435" s="2" t="n">
        <v>8</v>
      </c>
      <c r="F1435" s="2" t="n">
        <v>27</v>
      </c>
      <c r="G1435" s="2" t="n">
        <v>17</v>
      </c>
      <c r="H1435" s="2" t="n">
        <v>8</v>
      </c>
      <c r="I1435" s="2" t="n">
        <v>1</v>
      </c>
      <c r="J1435" s="2" t="n">
        <v>67</v>
      </c>
      <c r="K1435" s="2" t="n">
        <v>98</v>
      </c>
      <c r="L1435" s="11" t="b">
        <f aca="false">TRUE()</f>
        <v>1</v>
      </c>
      <c r="M1435" s="2" t="s">
        <v>406</v>
      </c>
      <c r="N1435" s="2" t="n">
        <f aca="false">IF(E1435&gt;0,F1435/E1435,"")</f>
        <v>3.375</v>
      </c>
      <c r="O1435" s="2" t="n">
        <f aca="false">IF(AND(E1435&gt;0,L1435),J1435/E1435,"")</f>
        <v>8.375</v>
      </c>
    </row>
    <row r="1436" customFormat="false" ht="15" hidden="false" customHeight="false" outlineLevel="0" collapsed="false">
      <c r="A1436" s="2" t="n">
        <v>2025</v>
      </c>
      <c r="B1436" s="2" t="s">
        <v>73</v>
      </c>
      <c r="C1436" s="2" t="s">
        <v>545</v>
      </c>
      <c r="D1436" s="2" t="s">
        <v>29</v>
      </c>
      <c r="E1436" s="2" t="n">
        <v>4</v>
      </c>
      <c r="F1436" s="2" t="n">
        <v>11</v>
      </c>
      <c r="G1436" s="2" t="n">
        <v>4</v>
      </c>
      <c r="H1436" s="2" t="n">
        <v>2</v>
      </c>
      <c r="I1436" s="2" t="n">
        <v>1</v>
      </c>
      <c r="J1436" s="2" t="n">
        <v>37</v>
      </c>
      <c r="K1436" s="2" t="n">
        <v>50</v>
      </c>
      <c r="L1436" s="11" t="b">
        <f aca="false">TRUE()</f>
        <v>1</v>
      </c>
      <c r="M1436" s="2" t="s">
        <v>406</v>
      </c>
      <c r="N1436" s="2" t="n">
        <f aca="false">IF(E1436&gt;0,F1436/E1436,"")</f>
        <v>2.75</v>
      </c>
      <c r="O1436" s="2" t="n">
        <f aca="false">IF(AND(E1436&gt;0,L1436),J1436/E1436,"")</f>
        <v>9.25</v>
      </c>
    </row>
    <row r="1437" customFormat="false" ht="15" hidden="false" customHeight="false" outlineLevel="0" collapsed="false">
      <c r="A1437" s="2" t="n">
        <v>2025</v>
      </c>
      <c r="B1437" s="2" t="s">
        <v>266</v>
      </c>
      <c r="C1437" s="2" t="s">
        <v>518</v>
      </c>
      <c r="D1437" s="2" t="s">
        <v>83</v>
      </c>
      <c r="E1437" s="2" t="n">
        <v>10</v>
      </c>
      <c r="F1437" s="2" t="n">
        <v>6</v>
      </c>
      <c r="G1437" s="2" t="n">
        <v>3</v>
      </c>
      <c r="H1437" s="2" t="n">
        <v>1</v>
      </c>
      <c r="I1437" s="2" t="n">
        <v>1</v>
      </c>
      <c r="J1437" s="2" t="n">
        <v>67</v>
      </c>
      <c r="K1437" s="2" t="n">
        <v>73</v>
      </c>
      <c r="L1437" s="11" t="b">
        <f aca="false">TRUE()</f>
        <v>1</v>
      </c>
      <c r="M1437" s="2" t="s">
        <v>406</v>
      </c>
      <c r="N1437" s="2" t="n">
        <f aca="false">IF(E1437&gt;0,F1437/E1437,"")</f>
        <v>0.6</v>
      </c>
      <c r="O1437" s="2" t="n">
        <f aca="false">IF(AND(E1437&gt;0,L1437),J1437/E1437,"")</f>
        <v>6.7</v>
      </c>
    </row>
    <row r="1438" customFormat="false" ht="15" hidden="false" customHeight="false" outlineLevel="0" collapsed="false">
      <c r="A1438" s="2" t="n">
        <v>2025</v>
      </c>
      <c r="B1438" s="2" t="s">
        <v>640</v>
      </c>
      <c r="C1438" s="2" t="s">
        <v>408</v>
      </c>
      <c r="D1438" s="2" t="s">
        <v>409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11" t="b">
        <f aca="false">TRUE()</f>
        <v>1</v>
      </c>
      <c r="M1438" s="2" t="s">
        <v>410</v>
      </c>
      <c r="N1438" s="2" t="str">
        <f aca="false">IF(E1438&gt;0,F1438/E1438,"")</f>
        <v/>
      </c>
      <c r="O1438" s="2" t="str">
        <f aca="false">IF(AND(E1438&gt;0,L1438),J1438/E1438,"")</f>
        <v/>
      </c>
    </row>
    <row r="1439" customFormat="false" ht="15" hidden="false" customHeight="false" outlineLevel="0" collapsed="false">
      <c r="A1439" s="2" t="n">
        <v>2025</v>
      </c>
      <c r="B1439" s="2" t="s">
        <v>97</v>
      </c>
      <c r="C1439" s="2" t="s">
        <v>420</v>
      </c>
      <c r="D1439" s="2" t="s">
        <v>24</v>
      </c>
      <c r="E1439" s="2" t="n">
        <v>7</v>
      </c>
      <c r="F1439" s="2" t="n">
        <v>46</v>
      </c>
      <c r="G1439" s="2" t="n">
        <v>34</v>
      </c>
      <c r="H1439" s="2" t="n">
        <v>16</v>
      </c>
      <c r="I1439" s="2" t="n">
        <v>11</v>
      </c>
      <c r="J1439" s="2" t="n">
        <v>148</v>
      </c>
      <c r="K1439" s="2" t="n">
        <v>209</v>
      </c>
      <c r="L1439" s="11" t="b">
        <f aca="false">TRUE()</f>
        <v>1</v>
      </c>
      <c r="M1439" s="2" t="s">
        <v>406</v>
      </c>
      <c r="N1439" s="2" t="n">
        <f aca="false">IF(E1439&gt;0,F1439/E1439,"")</f>
        <v>6.57142857142857</v>
      </c>
      <c r="O1439" s="2" t="n">
        <f aca="false">IF(AND(E1439&gt;0,L1439),J1439/E1439,"")</f>
        <v>21.1428571428571</v>
      </c>
    </row>
    <row r="1440" customFormat="false" ht="15" hidden="false" customHeight="false" outlineLevel="0" collapsed="false">
      <c r="A1440" s="2" t="n">
        <v>2025</v>
      </c>
      <c r="B1440" s="2" t="s">
        <v>134</v>
      </c>
      <c r="C1440" s="2" t="s">
        <v>545</v>
      </c>
      <c r="D1440" s="2" t="s">
        <v>24</v>
      </c>
      <c r="E1440" s="2" t="n">
        <v>3</v>
      </c>
      <c r="F1440" s="2" t="n">
        <v>12</v>
      </c>
      <c r="G1440" s="2" t="n">
        <v>8</v>
      </c>
      <c r="H1440" s="2" t="n">
        <v>3</v>
      </c>
      <c r="I1440" s="2" t="n">
        <v>1</v>
      </c>
      <c r="J1440" s="2" t="n">
        <v>36</v>
      </c>
      <c r="K1440" s="2" t="n">
        <v>52</v>
      </c>
      <c r="L1440" s="11" t="b">
        <f aca="false">TRUE()</f>
        <v>1</v>
      </c>
      <c r="M1440" s="2" t="s">
        <v>406</v>
      </c>
      <c r="N1440" s="2" t="n">
        <f aca="false">IF(E1440&gt;0,F1440/E1440,"")</f>
        <v>4</v>
      </c>
      <c r="O1440" s="2" t="n">
        <f aca="false">IF(AND(E1440&gt;0,L1440),J1440/E1440,"")</f>
        <v>12</v>
      </c>
    </row>
    <row r="1441" customFormat="false" ht="15" hidden="false" customHeight="false" outlineLevel="0" collapsed="false">
      <c r="A1441" s="2" t="n">
        <v>2025</v>
      </c>
      <c r="B1441" s="2" t="s">
        <v>23</v>
      </c>
      <c r="C1441" s="2" t="s">
        <v>545</v>
      </c>
      <c r="D1441" s="2" t="s">
        <v>24</v>
      </c>
      <c r="E1441" s="2" t="n">
        <v>10</v>
      </c>
      <c r="F1441" s="2" t="n">
        <v>55</v>
      </c>
      <c r="G1441" s="2" t="n">
        <v>34</v>
      </c>
      <c r="H1441" s="2" t="n">
        <v>14</v>
      </c>
      <c r="I1441" s="2" t="n">
        <v>5</v>
      </c>
      <c r="J1441" s="2" t="n">
        <v>310</v>
      </c>
      <c r="K1441" s="2" t="n">
        <v>376</v>
      </c>
      <c r="L1441" s="11" t="b">
        <f aca="false">TRUE()</f>
        <v>1</v>
      </c>
      <c r="M1441" s="2" t="s">
        <v>406</v>
      </c>
      <c r="N1441" s="2" t="n">
        <f aca="false">IF(E1441&gt;0,F1441/E1441,"")</f>
        <v>5.5</v>
      </c>
      <c r="O1441" s="2" t="n">
        <f aca="false">IF(AND(E1441&gt;0,L1441),J1441/E1441,"")</f>
        <v>31</v>
      </c>
    </row>
    <row r="1442" customFormat="false" ht="15" hidden="false" customHeight="false" outlineLevel="0" collapsed="false">
      <c r="A1442" s="2" t="n">
        <v>2025</v>
      </c>
      <c r="B1442" s="2" t="s">
        <v>153</v>
      </c>
      <c r="C1442" s="2" t="s">
        <v>408</v>
      </c>
      <c r="D1442" s="2" t="s">
        <v>117</v>
      </c>
      <c r="E1442" s="2" t="n">
        <v>10</v>
      </c>
      <c r="F1442" s="2" t="n">
        <v>8</v>
      </c>
      <c r="G1442" s="2" t="n">
        <v>4</v>
      </c>
      <c r="H1442" s="2" t="n">
        <v>1</v>
      </c>
      <c r="I1442" s="2" t="n">
        <v>0</v>
      </c>
      <c r="J1442" s="2" t="n">
        <v>70</v>
      </c>
      <c r="K1442" s="2" t="n">
        <v>80</v>
      </c>
      <c r="L1442" s="11" t="b">
        <f aca="false">TRUE()</f>
        <v>1</v>
      </c>
      <c r="M1442" s="2" t="s">
        <v>406</v>
      </c>
      <c r="N1442" s="2" t="n">
        <f aca="false">IF(E1442&gt;0,F1442/E1442,"")</f>
        <v>0.8</v>
      </c>
      <c r="O1442" s="2" t="n">
        <f aca="false">IF(AND(E1442&gt;0,L1442),J1442/E1442,"")</f>
        <v>7</v>
      </c>
    </row>
    <row r="1443" customFormat="false" ht="15" hidden="false" customHeight="false" outlineLevel="0" collapsed="false">
      <c r="A1443" s="2" t="n">
        <v>2025</v>
      </c>
      <c r="B1443" s="2" t="s">
        <v>249</v>
      </c>
      <c r="C1443" s="2" t="s">
        <v>518</v>
      </c>
      <c r="D1443" s="2" t="s">
        <v>115</v>
      </c>
      <c r="E1443" s="2" t="n">
        <v>7</v>
      </c>
      <c r="F1443" s="2" t="n">
        <v>1</v>
      </c>
      <c r="G1443" s="2" t="n">
        <v>1</v>
      </c>
      <c r="H1443" s="2" t="n">
        <v>0</v>
      </c>
      <c r="I1443" s="2" t="n">
        <v>1</v>
      </c>
      <c r="J1443" s="2" t="n">
        <v>33</v>
      </c>
      <c r="K1443" s="2" t="n">
        <v>38</v>
      </c>
      <c r="L1443" s="11" t="b">
        <f aca="false">TRUE()</f>
        <v>1</v>
      </c>
      <c r="M1443" s="2" t="s">
        <v>406</v>
      </c>
      <c r="N1443" s="2" t="n">
        <f aca="false">IF(E1443&gt;0,F1443/E1443,"")</f>
        <v>0.142857142857143</v>
      </c>
      <c r="O1443" s="2" t="n">
        <f aca="false">IF(AND(E1443&gt;0,L1443),J1443/E1443,"")</f>
        <v>4.71428571428571</v>
      </c>
    </row>
    <row r="1444" customFormat="false" ht="15" hidden="false" customHeight="false" outlineLevel="0" collapsed="false">
      <c r="A1444" s="2" t="n">
        <v>2025</v>
      </c>
      <c r="B1444" s="2" t="s">
        <v>627</v>
      </c>
      <c r="C1444" s="2" t="s">
        <v>405</v>
      </c>
      <c r="D1444" s="2" t="s">
        <v>409</v>
      </c>
      <c r="E1444" s="2" t="n">
        <v>10</v>
      </c>
      <c r="F1444" s="2" t="n">
        <v>1</v>
      </c>
      <c r="G1444" s="2" t="n">
        <v>0</v>
      </c>
      <c r="H1444" s="2" t="n">
        <v>0</v>
      </c>
      <c r="I1444" s="2" t="n">
        <v>0</v>
      </c>
      <c r="J1444" s="2" t="n">
        <v>131</v>
      </c>
      <c r="K1444" s="2" t="n">
        <v>135</v>
      </c>
      <c r="L1444" s="11" t="b">
        <f aca="false">TRUE()</f>
        <v>1</v>
      </c>
      <c r="M1444" s="2" t="s">
        <v>410</v>
      </c>
      <c r="N1444" s="2" t="n">
        <f aca="false">IF(E1444&gt;0,F1444/E1444,"")</f>
        <v>0.1</v>
      </c>
      <c r="O1444" s="2" t="n">
        <f aca="false">IF(AND(E1444&gt;0,L1444),J1444/E1444,"")</f>
        <v>13.1</v>
      </c>
    </row>
    <row r="1445" customFormat="false" ht="15" hidden="false" customHeight="false" outlineLevel="0" collapsed="false">
      <c r="A1445" s="2" t="n">
        <v>2025</v>
      </c>
      <c r="B1445" s="2" t="s">
        <v>558</v>
      </c>
      <c r="C1445" s="2" t="s">
        <v>405</v>
      </c>
      <c r="D1445" s="2" t="s">
        <v>413</v>
      </c>
      <c r="E1445" s="2" t="n">
        <v>10</v>
      </c>
      <c r="F1445" s="2" t="n">
        <v>12</v>
      </c>
      <c r="G1445" s="2" t="n">
        <v>8</v>
      </c>
      <c r="H1445" s="2" t="n">
        <v>3</v>
      </c>
      <c r="I1445" s="2" t="n">
        <v>3</v>
      </c>
      <c r="J1445" s="2" t="n">
        <v>59</v>
      </c>
      <c r="K1445" s="2" t="n">
        <v>76</v>
      </c>
      <c r="L1445" s="11" t="b">
        <f aca="false">TRUE()</f>
        <v>1</v>
      </c>
      <c r="M1445" s="2" t="s">
        <v>410</v>
      </c>
      <c r="N1445" s="2" t="n">
        <f aca="false">IF(E1445&gt;0,F1445/E1445,"")</f>
        <v>1.2</v>
      </c>
      <c r="O1445" s="2" t="n">
        <f aca="false">IF(AND(E1445&gt;0,L1445),J1445/E1445,"")</f>
        <v>5.9</v>
      </c>
    </row>
    <row r="1446" customFormat="false" ht="15" hidden="false" customHeight="false" outlineLevel="0" collapsed="false">
      <c r="A1446" s="2" t="n">
        <v>2025</v>
      </c>
      <c r="B1446" s="2" t="s">
        <v>591</v>
      </c>
      <c r="C1446" s="2" t="s">
        <v>420</v>
      </c>
      <c r="D1446" s="2" t="s">
        <v>413</v>
      </c>
      <c r="E1446" s="2" t="n">
        <v>7</v>
      </c>
      <c r="F1446" s="2" t="n">
        <v>11</v>
      </c>
      <c r="G1446" s="2" t="n">
        <v>5</v>
      </c>
      <c r="H1446" s="2" t="n">
        <v>2</v>
      </c>
      <c r="I1446" s="2" t="n">
        <v>1</v>
      </c>
      <c r="J1446" s="2" t="n">
        <v>43</v>
      </c>
      <c r="K1446" s="2" t="n">
        <v>62</v>
      </c>
      <c r="L1446" s="11" t="b">
        <f aca="false">TRUE()</f>
        <v>1</v>
      </c>
      <c r="M1446" s="2" t="s">
        <v>410</v>
      </c>
      <c r="N1446" s="2" t="n">
        <f aca="false">IF(E1446&gt;0,F1446/E1446,"")</f>
        <v>1.57142857142857</v>
      </c>
      <c r="O1446" s="2" t="n">
        <f aca="false">IF(AND(E1446&gt;0,L1446),J1446/E1446,"")</f>
        <v>6.14285714285714</v>
      </c>
    </row>
    <row r="1447" customFormat="false" ht="15" hidden="false" customHeight="false" outlineLevel="0" collapsed="false">
      <c r="A1447" s="2" t="n">
        <v>2025</v>
      </c>
      <c r="B1447" s="2" t="s">
        <v>232</v>
      </c>
      <c r="C1447" s="2" t="s">
        <v>414</v>
      </c>
      <c r="D1447" s="2" t="s">
        <v>83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11" t="b">
        <f aca="false">TRUE()</f>
        <v>1</v>
      </c>
      <c r="M1447" s="2" t="s">
        <v>410</v>
      </c>
      <c r="N1447" s="2" t="str">
        <f aca="false">IF(E1447&gt;0,F1447/E1447,"")</f>
        <v/>
      </c>
      <c r="O1447" s="2" t="str">
        <f aca="false">IF(AND(E1447&gt;0,L1447),J1447/E1447,"")</f>
        <v/>
      </c>
    </row>
    <row r="1448" customFormat="false" ht="15" hidden="false" customHeight="false" outlineLevel="0" collapsed="false">
      <c r="A1448" s="2" t="n">
        <v>2025</v>
      </c>
      <c r="B1448" s="2" t="s">
        <v>78</v>
      </c>
      <c r="C1448" s="2" t="s">
        <v>412</v>
      </c>
      <c r="D1448" s="2" t="s">
        <v>29</v>
      </c>
      <c r="E1448" s="2" t="n">
        <v>3</v>
      </c>
      <c r="F1448" s="2" t="n">
        <v>10</v>
      </c>
      <c r="G1448" s="2" t="n">
        <v>7</v>
      </c>
      <c r="H1448" s="2" t="n">
        <v>1</v>
      </c>
      <c r="I1448" s="2" t="n">
        <v>1</v>
      </c>
      <c r="J1448" s="2" t="n">
        <v>41</v>
      </c>
      <c r="K1448" s="2" t="n">
        <v>53</v>
      </c>
      <c r="L1448" s="11" t="b">
        <f aca="false">TRUE()</f>
        <v>1</v>
      </c>
      <c r="M1448" s="2" t="s">
        <v>406</v>
      </c>
      <c r="N1448" s="2" t="n">
        <f aca="false">IF(E1448&gt;0,F1448/E1448,"")</f>
        <v>3.33333333333333</v>
      </c>
      <c r="O1448" s="2" t="n">
        <f aca="false">IF(AND(E1448&gt;0,L1448),J1448/E1448,"")</f>
        <v>13.6666666666667</v>
      </c>
    </row>
    <row r="1449" customFormat="false" ht="15" hidden="false" customHeight="false" outlineLevel="0" collapsed="false">
      <c r="A1449" s="2" t="n">
        <v>2025</v>
      </c>
      <c r="B1449" s="2" t="s">
        <v>221</v>
      </c>
      <c r="C1449" s="2" t="s">
        <v>408</v>
      </c>
      <c r="D1449" s="2" t="s">
        <v>117</v>
      </c>
      <c r="E1449" s="2" t="n">
        <v>10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38</v>
      </c>
      <c r="K1449" s="2" t="n">
        <v>42</v>
      </c>
      <c r="L1449" s="11" t="b">
        <f aca="false">TRUE()</f>
        <v>1</v>
      </c>
      <c r="M1449" s="2" t="s">
        <v>406</v>
      </c>
      <c r="N1449" s="2" t="n">
        <f aca="false">IF(E1449&gt;0,F1449/E1449,"")</f>
        <v>0</v>
      </c>
      <c r="O1449" s="2" t="n">
        <f aca="false">IF(AND(E1449&gt;0,L1449),J1449/E1449,"")</f>
        <v>3.8</v>
      </c>
    </row>
    <row r="1450" customFormat="false" ht="15" hidden="false" customHeight="false" outlineLevel="0" collapsed="false">
      <c r="A1450" s="2" t="n">
        <v>2025</v>
      </c>
      <c r="B1450" s="2" t="s">
        <v>74</v>
      </c>
      <c r="C1450" s="2" t="s">
        <v>412</v>
      </c>
      <c r="D1450" s="2" t="s">
        <v>29</v>
      </c>
      <c r="E1450" s="2" t="n">
        <v>3</v>
      </c>
      <c r="F1450" s="2" t="n">
        <v>5</v>
      </c>
      <c r="G1450" s="2" t="n">
        <v>3</v>
      </c>
      <c r="H1450" s="2" t="n">
        <v>1</v>
      </c>
      <c r="I1450" s="2" t="n">
        <v>4</v>
      </c>
      <c r="J1450" s="2" t="n">
        <v>49</v>
      </c>
      <c r="K1450" s="2" t="n">
        <v>59</v>
      </c>
      <c r="L1450" s="11" t="b">
        <f aca="false">TRUE()</f>
        <v>1</v>
      </c>
      <c r="M1450" s="2" t="s">
        <v>406</v>
      </c>
      <c r="N1450" s="2" t="n">
        <f aca="false">IF(E1450&gt;0,F1450/E1450,"")</f>
        <v>1.66666666666667</v>
      </c>
      <c r="O1450" s="2" t="n">
        <f aca="false">IF(AND(E1450&gt;0,L1450),J1450/E1450,"")</f>
        <v>16.3333333333333</v>
      </c>
    </row>
    <row r="1451" customFormat="false" ht="15" hidden="false" customHeight="false" outlineLevel="0" collapsed="false">
      <c r="A1451" s="2" t="n">
        <v>2025</v>
      </c>
      <c r="B1451" s="2" t="s">
        <v>320</v>
      </c>
      <c r="C1451" s="2" t="s">
        <v>405</v>
      </c>
      <c r="D1451" s="2" t="s">
        <v>117</v>
      </c>
      <c r="E1451" s="2" t="n">
        <v>6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24</v>
      </c>
      <c r="K1451" s="2" t="n">
        <v>25</v>
      </c>
      <c r="L1451" s="11" t="b">
        <f aca="false">TRUE()</f>
        <v>1</v>
      </c>
      <c r="M1451" s="2" t="s">
        <v>406</v>
      </c>
      <c r="N1451" s="2" t="n">
        <f aca="false">IF(E1451&gt;0,F1451/E1451,"")</f>
        <v>0</v>
      </c>
      <c r="O1451" s="2" t="n">
        <f aca="false">IF(AND(E1451&gt;0,L1451),J1451/E1451,"")</f>
        <v>4</v>
      </c>
    </row>
    <row r="1452" customFormat="false" ht="15" hidden="false" customHeight="false" outlineLevel="0" collapsed="false">
      <c r="A1452" s="2" t="n">
        <v>2025</v>
      </c>
      <c r="B1452" s="2" t="s">
        <v>560</v>
      </c>
      <c r="C1452" s="2" t="s">
        <v>420</v>
      </c>
      <c r="D1452" s="2" t="s">
        <v>409</v>
      </c>
      <c r="E1452" s="2" t="n">
        <v>2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8</v>
      </c>
      <c r="K1452" s="2" t="n">
        <v>8</v>
      </c>
      <c r="L1452" s="11" t="b">
        <f aca="false">TRUE()</f>
        <v>1</v>
      </c>
      <c r="M1452" s="2" t="s">
        <v>410</v>
      </c>
      <c r="N1452" s="2" t="n">
        <f aca="false">IF(E1452&gt;0,F1452/E1452,"")</f>
        <v>0</v>
      </c>
      <c r="O1452" s="2" t="n">
        <f aca="false">IF(AND(E1452&gt;0,L1452),J1452/E1452,"")</f>
        <v>4</v>
      </c>
    </row>
    <row r="1453" customFormat="false" ht="15" hidden="false" customHeight="false" outlineLevel="0" collapsed="false">
      <c r="A1453" s="2" t="n">
        <v>2025</v>
      </c>
      <c r="B1453" s="2" t="s">
        <v>56</v>
      </c>
      <c r="C1453" s="2" t="s">
        <v>405</v>
      </c>
      <c r="D1453" s="2" t="s">
        <v>24</v>
      </c>
      <c r="E1453" s="2" t="n">
        <v>10</v>
      </c>
      <c r="F1453" s="2" t="n">
        <v>78</v>
      </c>
      <c r="G1453" s="2" t="n">
        <v>51</v>
      </c>
      <c r="H1453" s="2" t="n">
        <v>23</v>
      </c>
      <c r="I1453" s="2" t="n">
        <v>12</v>
      </c>
      <c r="J1453" s="2" t="n">
        <v>315</v>
      </c>
      <c r="K1453" s="2" t="n">
        <v>405</v>
      </c>
      <c r="L1453" s="11" t="b">
        <f aca="false">TRUE()</f>
        <v>1</v>
      </c>
      <c r="M1453" s="2" t="s">
        <v>406</v>
      </c>
      <c r="N1453" s="2" t="n">
        <f aca="false">IF(E1453&gt;0,F1453/E1453,"")</f>
        <v>7.8</v>
      </c>
      <c r="O1453" s="2" t="n">
        <f aca="false">IF(AND(E1453&gt;0,L1453),J1453/E1453,"")</f>
        <v>31.5</v>
      </c>
    </row>
    <row r="1454" customFormat="false" ht="15" hidden="false" customHeight="false" outlineLevel="0" collapsed="false">
      <c r="A1454" s="2" t="n">
        <v>2025</v>
      </c>
      <c r="B1454" s="2" t="s">
        <v>53</v>
      </c>
      <c r="C1454" s="2" t="s">
        <v>622</v>
      </c>
      <c r="D1454" s="2" t="s">
        <v>24</v>
      </c>
      <c r="E1454" s="2" t="n">
        <v>10</v>
      </c>
      <c r="F1454" s="2" t="n">
        <v>90</v>
      </c>
      <c r="G1454" s="2" t="n">
        <v>60</v>
      </c>
      <c r="H1454" s="2" t="n">
        <v>21</v>
      </c>
      <c r="I1454" s="2" t="n">
        <v>16</v>
      </c>
      <c r="J1454" s="2" t="n">
        <v>340</v>
      </c>
      <c r="K1454" s="2" t="n">
        <v>454</v>
      </c>
      <c r="L1454" s="11" t="b">
        <f aca="false">TRUE()</f>
        <v>1</v>
      </c>
      <c r="M1454" s="2" t="s">
        <v>406</v>
      </c>
      <c r="N1454" s="2" t="n">
        <f aca="false">IF(E1454&gt;0,F1454/E1454,"")</f>
        <v>9</v>
      </c>
      <c r="O1454" s="2" t="n">
        <f aca="false">IF(AND(E1454&gt;0,L1454),J1454/E1454,"")</f>
        <v>34</v>
      </c>
    </row>
    <row r="1455" customFormat="false" ht="15" hidden="false" customHeight="false" outlineLevel="0" collapsed="false">
      <c r="A1455" s="2" t="n">
        <v>2025</v>
      </c>
      <c r="B1455" s="2" t="s">
        <v>135</v>
      </c>
      <c r="C1455" s="2" t="s">
        <v>412</v>
      </c>
      <c r="D1455" s="2" t="s">
        <v>29</v>
      </c>
      <c r="E1455" s="2" t="n">
        <v>6</v>
      </c>
      <c r="F1455" s="2" t="n">
        <v>20</v>
      </c>
      <c r="G1455" s="2" t="n">
        <v>8</v>
      </c>
      <c r="H1455" s="2" t="n">
        <v>5</v>
      </c>
      <c r="I1455" s="2" t="n">
        <v>1</v>
      </c>
      <c r="J1455" s="2" t="n">
        <v>51</v>
      </c>
      <c r="K1455" s="2" t="n">
        <v>75</v>
      </c>
      <c r="L1455" s="11" t="b">
        <f aca="false">TRUE()</f>
        <v>1</v>
      </c>
      <c r="M1455" s="2" t="s">
        <v>406</v>
      </c>
      <c r="N1455" s="2" t="n">
        <f aca="false">IF(E1455&gt;0,F1455/E1455,"")</f>
        <v>3.33333333333333</v>
      </c>
      <c r="O1455" s="2" t="n">
        <f aca="false">IF(AND(E1455&gt;0,L1455),J1455/E1455,"")</f>
        <v>8.5</v>
      </c>
    </row>
    <row r="1456" customFormat="false" ht="15" hidden="false" customHeight="false" outlineLevel="0" collapsed="false">
      <c r="A1456" s="2" t="n">
        <v>2025</v>
      </c>
      <c r="B1456" s="2" t="s">
        <v>118</v>
      </c>
      <c r="C1456" s="2" t="s">
        <v>545</v>
      </c>
      <c r="D1456" s="2" t="s">
        <v>24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11" t="b">
        <f aca="false">TRUE()</f>
        <v>1</v>
      </c>
      <c r="M1456" s="2" t="s">
        <v>410</v>
      </c>
      <c r="N1456" s="2" t="str">
        <f aca="false">IF(E1456&gt;0,F1456/E1456,"")</f>
        <v/>
      </c>
      <c r="O1456" s="2" t="str">
        <f aca="false">IF(AND(E1456&gt;0,L1456),J1456/E1456,"")</f>
        <v/>
      </c>
    </row>
    <row r="1457" customFormat="false" ht="15" hidden="false" customHeight="false" outlineLevel="0" collapsed="false">
      <c r="A1457" s="2" t="n">
        <v>2025</v>
      </c>
      <c r="B1457" s="2" t="s">
        <v>39</v>
      </c>
      <c r="C1457" s="2" t="s">
        <v>518</v>
      </c>
      <c r="D1457" s="2" t="s">
        <v>29</v>
      </c>
      <c r="E1457" s="2" t="n">
        <v>10</v>
      </c>
      <c r="F1457" s="2" t="n">
        <v>61</v>
      </c>
      <c r="G1457" s="2" t="n">
        <v>25</v>
      </c>
      <c r="H1457" s="2" t="n">
        <v>10</v>
      </c>
      <c r="I1457" s="2" t="n">
        <v>4</v>
      </c>
      <c r="J1457" s="2" t="n">
        <v>152</v>
      </c>
      <c r="K1457" s="2" t="n">
        <v>224</v>
      </c>
      <c r="L1457" s="11" t="b">
        <f aca="false">TRUE()</f>
        <v>1</v>
      </c>
      <c r="M1457" s="2" t="s">
        <v>406</v>
      </c>
      <c r="N1457" s="2" t="n">
        <f aca="false">IF(E1457&gt;0,F1457/E1457,"")</f>
        <v>6.1</v>
      </c>
      <c r="O1457" s="2" t="n">
        <f aca="false">IF(AND(E1457&gt;0,L1457),J1457/E1457,"")</f>
        <v>15.2</v>
      </c>
    </row>
    <row r="1458" customFormat="false" ht="15" hidden="false" customHeight="false" outlineLevel="0" collapsed="false">
      <c r="A1458" s="2" t="n">
        <v>2025</v>
      </c>
      <c r="B1458" s="2" t="s">
        <v>451</v>
      </c>
      <c r="C1458" s="2" t="s">
        <v>405</v>
      </c>
      <c r="D1458" s="2" t="s">
        <v>409</v>
      </c>
      <c r="E1458" s="2" t="n">
        <v>0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11" t="b">
        <f aca="false">TRUE()</f>
        <v>1</v>
      </c>
      <c r="M1458" s="2" t="s">
        <v>410</v>
      </c>
      <c r="N1458" s="2" t="str">
        <f aca="false">IF(E1458&gt;0,F1458/E1458,"")</f>
        <v/>
      </c>
      <c r="O1458" s="2" t="str">
        <f aca="false">IF(AND(E1458&gt;0,L1458),J1458/E1458,"")</f>
        <v/>
      </c>
    </row>
    <row r="1459" customFormat="false" ht="15" hidden="false" customHeight="false" outlineLevel="0" collapsed="false">
      <c r="A1459" s="2" t="n">
        <v>2025</v>
      </c>
      <c r="B1459" s="2" t="s">
        <v>101</v>
      </c>
      <c r="C1459" s="2" t="s">
        <v>545</v>
      </c>
      <c r="D1459" s="2" t="s">
        <v>29</v>
      </c>
      <c r="E1459" s="2" t="n">
        <v>5</v>
      </c>
      <c r="F1459" s="2" t="n">
        <v>24</v>
      </c>
      <c r="G1459" s="2" t="n">
        <v>14</v>
      </c>
      <c r="H1459" s="2" t="n">
        <v>3</v>
      </c>
      <c r="I1459" s="2" t="n">
        <v>2</v>
      </c>
      <c r="J1459" s="2" t="n">
        <v>67</v>
      </c>
      <c r="K1459" s="2" t="n">
        <v>97</v>
      </c>
      <c r="L1459" s="11" t="b">
        <f aca="false">TRUE()</f>
        <v>1</v>
      </c>
      <c r="M1459" s="2" t="s">
        <v>406</v>
      </c>
      <c r="N1459" s="2" t="n">
        <f aca="false">IF(E1459&gt;0,F1459/E1459,"")</f>
        <v>4.8</v>
      </c>
      <c r="O1459" s="2" t="n">
        <f aca="false">IF(AND(E1459&gt;0,L1459),J1459/E1459,"")</f>
        <v>13.4</v>
      </c>
    </row>
    <row r="1460" customFormat="false" ht="15" hidden="false" customHeight="false" outlineLevel="0" collapsed="false">
      <c r="A1460" s="2" t="n">
        <v>2025</v>
      </c>
      <c r="B1460" s="2" t="s">
        <v>169</v>
      </c>
      <c r="C1460" s="2" t="s">
        <v>545</v>
      </c>
      <c r="D1460" s="2" t="s">
        <v>117</v>
      </c>
      <c r="E1460" s="2" t="n">
        <v>10</v>
      </c>
      <c r="F1460" s="2" t="n">
        <v>1</v>
      </c>
      <c r="G1460" s="2" t="n">
        <v>0</v>
      </c>
      <c r="H1460" s="2" t="n">
        <v>0</v>
      </c>
      <c r="I1460" s="2" t="n">
        <v>0</v>
      </c>
      <c r="J1460" s="2" t="n">
        <v>55</v>
      </c>
      <c r="K1460" s="2" t="n">
        <v>56</v>
      </c>
      <c r="L1460" s="11" t="b">
        <f aca="false">TRUE()</f>
        <v>1</v>
      </c>
      <c r="M1460" s="2" t="s">
        <v>406</v>
      </c>
      <c r="N1460" s="2" t="n">
        <f aca="false">IF(E1460&gt;0,F1460/E1460,"")</f>
        <v>0.1</v>
      </c>
      <c r="O1460" s="2" t="n">
        <f aca="false">IF(AND(E1460&gt;0,L1460),J1460/E1460,"")</f>
        <v>5.5</v>
      </c>
    </row>
    <row r="1461" customFormat="false" ht="15" hidden="false" customHeight="false" outlineLevel="0" collapsed="false">
      <c r="A1461" s="2" t="n">
        <v>2025</v>
      </c>
      <c r="B1461" s="2" t="s">
        <v>76</v>
      </c>
      <c r="C1461" s="2" t="s">
        <v>408</v>
      </c>
      <c r="D1461" s="2" t="s">
        <v>24</v>
      </c>
      <c r="E1461" s="2" t="n">
        <v>10</v>
      </c>
      <c r="F1461" s="2" t="n">
        <v>39</v>
      </c>
      <c r="G1461" s="2" t="n">
        <v>22</v>
      </c>
      <c r="H1461" s="2" t="n">
        <v>13</v>
      </c>
      <c r="I1461" s="2" t="n">
        <v>10</v>
      </c>
      <c r="J1461" s="2" t="n">
        <v>164</v>
      </c>
      <c r="K1461" s="2" t="n">
        <v>223</v>
      </c>
      <c r="L1461" s="11" t="b">
        <f aca="false">TRUE()</f>
        <v>1</v>
      </c>
      <c r="M1461" s="2" t="s">
        <v>406</v>
      </c>
      <c r="N1461" s="2" t="n">
        <f aca="false">IF(E1461&gt;0,F1461/E1461,"")</f>
        <v>3.9</v>
      </c>
      <c r="O1461" s="2" t="n">
        <f aca="false">IF(AND(E1461&gt;0,L1461),J1461/E1461,"")</f>
        <v>16.4</v>
      </c>
    </row>
    <row r="1462" customFormat="false" ht="15" hidden="false" customHeight="false" outlineLevel="0" collapsed="false">
      <c r="A1462" s="2" t="n">
        <v>2025</v>
      </c>
      <c r="B1462" s="2" t="s">
        <v>91</v>
      </c>
      <c r="C1462" s="2" t="s">
        <v>518</v>
      </c>
      <c r="D1462" s="2" t="s">
        <v>24</v>
      </c>
      <c r="E1462" s="2" t="n">
        <v>4</v>
      </c>
      <c r="F1462" s="2" t="n">
        <v>27</v>
      </c>
      <c r="G1462" s="2" t="n">
        <v>20</v>
      </c>
      <c r="H1462" s="2" t="n">
        <v>9</v>
      </c>
      <c r="I1462" s="2" t="n">
        <v>4</v>
      </c>
      <c r="J1462" s="2" t="n">
        <v>72</v>
      </c>
      <c r="K1462" s="2" t="n">
        <v>102</v>
      </c>
      <c r="L1462" s="11" t="b">
        <f aca="false">TRUE()</f>
        <v>1</v>
      </c>
      <c r="M1462" s="2" t="s">
        <v>406</v>
      </c>
      <c r="N1462" s="2" t="n">
        <f aca="false">IF(E1462&gt;0,F1462/E1462,"")</f>
        <v>6.75</v>
      </c>
      <c r="O1462" s="2" t="n">
        <f aca="false">IF(AND(E1462&gt;0,L1462),J1462/E1462,"")</f>
        <v>18</v>
      </c>
    </row>
    <row r="1463" customFormat="false" ht="15" hidden="false" customHeight="false" outlineLevel="0" collapsed="false">
      <c r="A1463" s="2" t="n">
        <v>2025</v>
      </c>
      <c r="B1463" s="2" t="s">
        <v>132</v>
      </c>
      <c r="C1463" s="2" t="s">
        <v>405</v>
      </c>
      <c r="D1463" s="2" t="s">
        <v>29</v>
      </c>
      <c r="E1463" s="2" t="n">
        <v>1</v>
      </c>
      <c r="F1463" s="2" t="n">
        <v>2</v>
      </c>
      <c r="G1463" s="2" t="n">
        <v>1</v>
      </c>
      <c r="H1463" s="2" t="n">
        <v>0</v>
      </c>
      <c r="I1463" s="2" t="n">
        <v>0</v>
      </c>
      <c r="J1463" s="2" t="n">
        <v>5</v>
      </c>
      <c r="K1463" s="2" t="n">
        <v>8</v>
      </c>
      <c r="L1463" s="11" t="b">
        <f aca="false">TRUE()</f>
        <v>1</v>
      </c>
      <c r="M1463" s="2" t="s">
        <v>410</v>
      </c>
      <c r="N1463" s="2" t="n">
        <f aca="false">IF(E1463&gt;0,F1463/E1463,"")</f>
        <v>2</v>
      </c>
      <c r="O1463" s="2" t="n">
        <f aca="false">IF(AND(E1463&gt;0,L1463),J1463/E1463,"")</f>
        <v>5</v>
      </c>
    </row>
    <row r="1464" customFormat="false" ht="15" hidden="false" customHeight="false" outlineLevel="0" collapsed="false">
      <c r="A1464" s="2" t="n">
        <v>2025</v>
      </c>
      <c r="B1464" s="2" t="s">
        <v>593</v>
      </c>
      <c r="C1464" s="2" t="s">
        <v>545</v>
      </c>
      <c r="D1464" s="2" t="s">
        <v>409</v>
      </c>
      <c r="E1464" s="2" t="n">
        <v>10</v>
      </c>
      <c r="F1464" s="2" t="n">
        <v>2</v>
      </c>
      <c r="G1464" s="2" t="n">
        <v>1</v>
      </c>
      <c r="H1464" s="2" t="n">
        <v>0</v>
      </c>
      <c r="I1464" s="2" t="n">
        <v>0</v>
      </c>
      <c r="J1464" s="2" t="n">
        <v>155</v>
      </c>
      <c r="K1464" s="2" t="n">
        <v>165</v>
      </c>
      <c r="L1464" s="11" t="b">
        <f aca="false">TRUE()</f>
        <v>1</v>
      </c>
      <c r="M1464" s="2" t="s">
        <v>410</v>
      </c>
      <c r="N1464" s="2" t="n">
        <f aca="false">IF(E1464&gt;0,F1464/E1464,"")</f>
        <v>0.2</v>
      </c>
      <c r="O1464" s="2" t="n">
        <f aca="false">IF(AND(E1464&gt;0,L1464),J1464/E1464,"")</f>
        <v>15.5</v>
      </c>
    </row>
    <row r="1465" customFormat="false" ht="15" hidden="false" customHeight="false" outlineLevel="0" collapsed="false">
      <c r="A1465" s="2" t="n">
        <v>2025</v>
      </c>
      <c r="B1465" s="2" t="s">
        <v>82</v>
      </c>
      <c r="C1465" s="2" t="s">
        <v>545</v>
      </c>
      <c r="D1465" s="2" t="s">
        <v>29</v>
      </c>
      <c r="E1465" s="2" t="n">
        <v>10</v>
      </c>
      <c r="F1465" s="2" t="n">
        <v>29</v>
      </c>
      <c r="G1465" s="2" t="n">
        <v>15</v>
      </c>
      <c r="H1465" s="2" t="n">
        <v>7</v>
      </c>
      <c r="I1465" s="2" t="n">
        <v>2</v>
      </c>
      <c r="J1465" s="2" t="n">
        <v>66</v>
      </c>
      <c r="K1465" s="2" t="n">
        <v>109</v>
      </c>
      <c r="L1465" s="11" t="b">
        <f aca="false">TRUE()</f>
        <v>1</v>
      </c>
      <c r="M1465" s="2" t="s">
        <v>406</v>
      </c>
      <c r="N1465" s="2" t="n">
        <f aca="false">IF(E1465&gt;0,F1465/E1465,"")</f>
        <v>2.9</v>
      </c>
      <c r="O1465" s="2" t="n">
        <f aca="false">IF(AND(E1465&gt;0,L1465),J1465/E1465,"")</f>
        <v>6.6</v>
      </c>
    </row>
    <row r="1466" customFormat="false" ht="15" hidden="false" customHeight="false" outlineLevel="0" collapsed="false">
      <c r="A1466" s="2" t="n">
        <v>2025</v>
      </c>
      <c r="B1466" s="2" t="s">
        <v>72</v>
      </c>
      <c r="C1466" s="2" t="s">
        <v>420</v>
      </c>
      <c r="D1466" s="2" t="s">
        <v>29</v>
      </c>
      <c r="E1466" s="2" t="n">
        <v>4</v>
      </c>
      <c r="F1466" s="2" t="n">
        <v>22</v>
      </c>
      <c r="G1466" s="2" t="n">
        <v>12</v>
      </c>
      <c r="H1466" s="2" t="n">
        <v>6</v>
      </c>
      <c r="I1466" s="2" t="n">
        <v>4</v>
      </c>
      <c r="J1466" s="2" t="n">
        <v>58</v>
      </c>
      <c r="K1466" s="2" t="n">
        <v>84</v>
      </c>
      <c r="L1466" s="11" t="b">
        <f aca="false">TRUE()</f>
        <v>1</v>
      </c>
      <c r="M1466" s="2" t="s">
        <v>406</v>
      </c>
      <c r="N1466" s="2" t="n">
        <f aca="false">IF(E1466&gt;0,F1466/E1466,"")</f>
        <v>5.5</v>
      </c>
      <c r="O1466" s="2" t="n">
        <f aca="false">IF(AND(E1466&gt;0,L1466),J1466/E1466,"")</f>
        <v>14.5</v>
      </c>
    </row>
    <row r="1467" customFormat="false" ht="15" hidden="false" customHeight="false" outlineLevel="0" collapsed="false">
      <c r="A1467" s="2" t="n">
        <v>2025</v>
      </c>
      <c r="B1467" s="2" t="s">
        <v>628</v>
      </c>
      <c r="C1467" s="2" t="s">
        <v>405</v>
      </c>
      <c r="D1467" s="2" t="s">
        <v>409</v>
      </c>
      <c r="E1467" s="2" t="n">
        <v>1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1</v>
      </c>
      <c r="K1467" s="2" t="n">
        <v>1</v>
      </c>
      <c r="L1467" s="11" t="b">
        <f aca="false">TRUE()</f>
        <v>1</v>
      </c>
      <c r="M1467" s="2" t="s">
        <v>410</v>
      </c>
      <c r="N1467" s="2" t="n">
        <f aca="false">IF(E1467&gt;0,F1467/E1467,"")</f>
        <v>0</v>
      </c>
      <c r="O1467" s="2" t="n">
        <f aca="false">IF(AND(E1467&gt;0,L1467),J1467/E1467,"")</f>
        <v>1</v>
      </c>
    </row>
    <row r="1468" customFormat="false" ht="15" hidden="false" customHeight="false" outlineLevel="0" collapsed="false">
      <c r="A1468" s="2" t="n">
        <v>2025</v>
      </c>
      <c r="B1468" s="2" t="s">
        <v>252</v>
      </c>
      <c r="C1468" s="2" t="s">
        <v>414</v>
      </c>
      <c r="D1468" s="2" t="s">
        <v>29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11" t="b">
        <f aca="false">TRUE()</f>
        <v>1</v>
      </c>
      <c r="M1468" s="2" t="s">
        <v>410</v>
      </c>
      <c r="N1468" s="2" t="str">
        <f aca="false">IF(E1468&gt;0,F1468/E1468,"")</f>
        <v/>
      </c>
      <c r="O1468" s="2" t="str">
        <f aca="false">IF(AND(E1468&gt;0,L1468),J1468/E1468,"")</f>
        <v/>
      </c>
    </row>
    <row r="1469" customFormat="false" ht="15" hidden="false" customHeight="false" outlineLevel="0" collapsed="false">
      <c r="A1469" s="2" t="n">
        <v>2025</v>
      </c>
      <c r="B1469" s="2" t="s">
        <v>610</v>
      </c>
      <c r="C1469" s="2" t="s">
        <v>414</v>
      </c>
      <c r="D1469" s="2" t="s">
        <v>409</v>
      </c>
      <c r="E1469" s="2" t="n">
        <v>4</v>
      </c>
      <c r="F1469" s="2" t="n">
        <v>1</v>
      </c>
      <c r="G1469" s="2" t="n">
        <v>0</v>
      </c>
      <c r="H1469" s="2" t="n">
        <v>0</v>
      </c>
      <c r="I1469" s="2" t="n">
        <v>0</v>
      </c>
      <c r="J1469" s="2" t="n">
        <v>45</v>
      </c>
      <c r="K1469" s="2" t="n">
        <v>47</v>
      </c>
      <c r="L1469" s="11" t="b">
        <f aca="false">TRUE()</f>
        <v>1</v>
      </c>
      <c r="M1469" s="2" t="s">
        <v>410</v>
      </c>
      <c r="N1469" s="2" t="n">
        <f aca="false">IF(E1469&gt;0,F1469/E1469,"")</f>
        <v>0.25</v>
      </c>
      <c r="O1469" s="2" t="n">
        <f aca="false">IF(AND(E1469&gt;0,L1469),J1469/E1469,"")</f>
        <v>11.25</v>
      </c>
    </row>
    <row r="1470" customFormat="false" ht="15" hidden="false" customHeight="false" outlineLevel="0" collapsed="false">
      <c r="A1470" s="2" t="n">
        <v>2025</v>
      </c>
      <c r="B1470" s="2" t="s">
        <v>211</v>
      </c>
      <c r="C1470" s="2" t="s">
        <v>412</v>
      </c>
      <c r="D1470" s="2" t="s">
        <v>83</v>
      </c>
      <c r="E1470" s="2" t="n">
        <v>8</v>
      </c>
      <c r="F1470" s="2" t="n">
        <v>5</v>
      </c>
      <c r="G1470" s="2" t="n">
        <v>3</v>
      </c>
      <c r="H1470" s="2" t="n">
        <v>0</v>
      </c>
      <c r="I1470" s="2" t="n">
        <v>2</v>
      </c>
      <c r="J1470" s="2" t="n">
        <v>51</v>
      </c>
      <c r="K1470" s="2" t="n">
        <v>63</v>
      </c>
      <c r="L1470" s="11" t="b">
        <f aca="false">TRUE()</f>
        <v>1</v>
      </c>
      <c r="M1470" s="2" t="s">
        <v>406</v>
      </c>
      <c r="N1470" s="2" t="n">
        <f aca="false">IF(E1470&gt;0,F1470/E1470,"")</f>
        <v>0.625</v>
      </c>
      <c r="O1470" s="2" t="n">
        <f aca="false">IF(AND(E1470&gt;0,L1470),J1470/E1470,"")</f>
        <v>6.375</v>
      </c>
    </row>
    <row r="1471" customFormat="false" ht="15" hidden="false" customHeight="false" outlineLevel="0" collapsed="false">
      <c r="A1471" s="2" t="n">
        <v>2025</v>
      </c>
      <c r="B1471" s="2" t="s">
        <v>641</v>
      </c>
      <c r="C1471" s="2" t="s">
        <v>412</v>
      </c>
      <c r="D1471" s="2" t="s">
        <v>413</v>
      </c>
      <c r="E1471" s="2" t="n">
        <v>0</v>
      </c>
      <c r="F1471" s="2" t="n">
        <v>0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11" t="b">
        <f aca="false">TRUE()</f>
        <v>1</v>
      </c>
      <c r="M1471" s="2" t="s">
        <v>410</v>
      </c>
      <c r="N1471" s="2" t="str">
        <f aca="false">IF(E1471&gt;0,F1471/E1471,"")</f>
        <v/>
      </c>
      <c r="O1471" s="2" t="str">
        <f aca="false">IF(AND(E1471&gt;0,L1471),J1471/E1471,"")</f>
        <v/>
      </c>
    </row>
    <row r="1472" customFormat="false" ht="15" hidden="false" customHeight="false" outlineLevel="0" collapsed="false">
      <c r="A1472" s="2" t="n">
        <v>2025</v>
      </c>
      <c r="B1472" s="2" t="s">
        <v>336</v>
      </c>
      <c r="C1472" s="2" t="s">
        <v>518</v>
      </c>
      <c r="D1472" s="2" t="s">
        <v>24</v>
      </c>
      <c r="E1472" s="2" t="n">
        <v>3</v>
      </c>
      <c r="F1472" s="2" t="n">
        <v>3</v>
      </c>
      <c r="G1472" s="2" t="n">
        <v>2</v>
      </c>
      <c r="H1472" s="2" t="n">
        <v>0</v>
      </c>
      <c r="I1472" s="2" t="n">
        <v>1</v>
      </c>
      <c r="J1472" s="2" t="n">
        <v>13</v>
      </c>
      <c r="K1472" s="2" t="n">
        <v>20</v>
      </c>
      <c r="L1472" s="11" t="b">
        <f aca="false">TRUE()</f>
        <v>1</v>
      </c>
      <c r="M1472" s="2" t="s">
        <v>406</v>
      </c>
      <c r="N1472" s="2" t="n">
        <f aca="false">IF(E1472&gt;0,F1472/E1472,"")</f>
        <v>1</v>
      </c>
      <c r="O1472" s="2" t="n">
        <f aca="false">IF(AND(E1472&gt;0,L1472),J1472/E1472,"")</f>
        <v>4.33333333333333</v>
      </c>
    </row>
    <row r="1473" customFormat="false" ht="15" hidden="false" customHeight="false" outlineLevel="0" collapsed="false">
      <c r="A1473" s="2" t="n">
        <v>2025</v>
      </c>
      <c r="B1473" s="2" t="s">
        <v>287</v>
      </c>
      <c r="C1473" s="2" t="s">
        <v>420</v>
      </c>
      <c r="D1473" s="2" t="s">
        <v>83</v>
      </c>
      <c r="E1473" s="2" t="n">
        <v>9</v>
      </c>
      <c r="F1473" s="2" t="n">
        <v>5</v>
      </c>
      <c r="G1473" s="2" t="n">
        <v>0</v>
      </c>
      <c r="H1473" s="2" t="n">
        <v>0</v>
      </c>
      <c r="I1473" s="2" t="n">
        <v>2</v>
      </c>
      <c r="J1473" s="2" t="n">
        <v>47</v>
      </c>
      <c r="K1473" s="2" t="n">
        <v>56</v>
      </c>
      <c r="L1473" s="11" t="b">
        <f aca="false">TRUE()</f>
        <v>1</v>
      </c>
      <c r="M1473" s="2" t="s">
        <v>406</v>
      </c>
      <c r="N1473" s="2" t="n">
        <f aca="false">IF(E1473&gt;0,F1473/E1473,"")</f>
        <v>0.555555555555556</v>
      </c>
      <c r="O1473" s="2" t="n">
        <f aca="false">IF(AND(E1473&gt;0,L1473),J1473/E1473,"")</f>
        <v>5.22222222222222</v>
      </c>
    </row>
    <row r="1474" customFormat="false" ht="15" hidden="false" customHeight="false" outlineLevel="0" collapsed="false">
      <c r="A1474" s="2" t="n">
        <v>2025</v>
      </c>
      <c r="B1474" s="2" t="s">
        <v>228</v>
      </c>
      <c r="C1474" s="2" t="s">
        <v>408</v>
      </c>
      <c r="D1474" s="2" t="s">
        <v>117</v>
      </c>
      <c r="E1474" s="2" t="n">
        <v>10</v>
      </c>
      <c r="F1474" s="2" t="n">
        <v>0</v>
      </c>
      <c r="G1474" s="2" t="n">
        <v>0</v>
      </c>
      <c r="H1474" s="2" t="n">
        <v>0</v>
      </c>
      <c r="I1474" s="2" t="n">
        <v>1</v>
      </c>
      <c r="J1474" s="2" t="n">
        <v>80</v>
      </c>
      <c r="K1474" s="2" t="n">
        <v>83</v>
      </c>
      <c r="L1474" s="11" t="b">
        <f aca="false">TRUE()</f>
        <v>1</v>
      </c>
      <c r="M1474" s="2" t="s">
        <v>406</v>
      </c>
      <c r="N1474" s="2" t="n">
        <f aca="false">IF(E1474&gt;0,F1474/E1474,"")</f>
        <v>0</v>
      </c>
      <c r="O1474" s="2" t="n">
        <f aca="false">IF(AND(E1474&gt;0,L1474),J1474/E1474,"")</f>
        <v>8</v>
      </c>
    </row>
    <row r="1475" customFormat="false" ht="15" hidden="false" customHeight="false" outlineLevel="0" collapsed="false">
      <c r="A1475" s="2" t="n">
        <v>2025</v>
      </c>
      <c r="B1475" s="2" t="s">
        <v>68</v>
      </c>
      <c r="C1475" s="2" t="s">
        <v>622</v>
      </c>
      <c r="D1475" s="2" t="s">
        <v>24</v>
      </c>
      <c r="E1475" s="2" t="n">
        <v>1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4</v>
      </c>
      <c r="K1475" s="2" t="n">
        <v>4</v>
      </c>
      <c r="L1475" s="11" t="b">
        <f aca="false">TRUE()</f>
        <v>1</v>
      </c>
      <c r="M1475" s="2" t="s">
        <v>410</v>
      </c>
      <c r="N1475" s="2" t="n">
        <f aca="false">IF(E1475&gt;0,F1475/E1475,"")</f>
        <v>0</v>
      </c>
      <c r="O1475" s="2" t="n">
        <f aca="false">IF(AND(E1475&gt;0,L1475),J1475/E1475,"")</f>
        <v>4</v>
      </c>
    </row>
    <row r="1476" customFormat="false" ht="15" hidden="false" customHeight="false" outlineLevel="0" collapsed="false">
      <c r="A1476" s="2" t="n">
        <v>2025</v>
      </c>
      <c r="B1476" s="2" t="s">
        <v>216</v>
      </c>
      <c r="C1476" s="2" t="s">
        <v>414</v>
      </c>
      <c r="D1476" s="2" t="s">
        <v>29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11" t="b">
        <f aca="false">TRUE()</f>
        <v>1</v>
      </c>
      <c r="M1476" s="2" t="s">
        <v>410</v>
      </c>
      <c r="N1476" s="2" t="str">
        <f aca="false">IF(E1476&gt;0,F1476/E1476,"")</f>
        <v/>
      </c>
      <c r="O1476" s="2" t="str">
        <f aca="false">IF(AND(E1476&gt;0,L1476),J1476/E1476,"")</f>
        <v/>
      </c>
    </row>
    <row r="1477" customFormat="false" ht="15" hidden="false" customHeight="false" outlineLevel="0" collapsed="false">
      <c r="A1477" s="2" t="n">
        <v>2025</v>
      </c>
      <c r="B1477" s="2" t="s">
        <v>48</v>
      </c>
      <c r="C1477" s="2" t="s">
        <v>408</v>
      </c>
      <c r="D1477" s="2" t="s">
        <v>29</v>
      </c>
      <c r="E1477" s="2" t="n">
        <v>5</v>
      </c>
      <c r="F1477" s="2" t="n">
        <v>23</v>
      </c>
      <c r="G1477" s="2" t="n">
        <v>16</v>
      </c>
      <c r="H1477" s="2" t="n">
        <v>5</v>
      </c>
      <c r="I1477" s="2" t="n">
        <v>1</v>
      </c>
      <c r="J1477" s="2" t="n">
        <v>70</v>
      </c>
      <c r="K1477" s="2" t="n">
        <v>101</v>
      </c>
      <c r="L1477" s="11" t="b">
        <f aca="false">TRUE()</f>
        <v>1</v>
      </c>
      <c r="M1477" s="2" t="s">
        <v>406</v>
      </c>
      <c r="N1477" s="2" t="n">
        <f aca="false">IF(E1477&gt;0,F1477/E1477,"")</f>
        <v>4.6</v>
      </c>
      <c r="O1477" s="2" t="n">
        <f aca="false">IF(AND(E1477&gt;0,L1477),J1477/E1477,"")</f>
        <v>14</v>
      </c>
    </row>
    <row r="1478" customFormat="false" ht="15" hidden="false" customHeight="false" outlineLevel="0" collapsed="false">
      <c r="A1478" s="2" t="n">
        <v>2025</v>
      </c>
      <c r="B1478" s="2" t="s">
        <v>123</v>
      </c>
      <c r="C1478" s="2" t="s">
        <v>412</v>
      </c>
      <c r="D1478" s="2" t="s">
        <v>83</v>
      </c>
      <c r="E1478" s="2" t="n">
        <v>9</v>
      </c>
      <c r="F1478" s="2" t="n">
        <v>3</v>
      </c>
      <c r="G1478" s="2" t="n">
        <v>1</v>
      </c>
      <c r="H1478" s="2" t="n">
        <v>1</v>
      </c>
      <c r="I1478" s="2" t="n">
        <v>1</v>
      </c>
      <c r="J1478" s="2" t="n">
        <v>55</v>
      </c>
      <c r="K1478" s="2" t="n">
        <v>61</v>
      </c>
      <c r="L1478" s="11" t="b">
        <f aca="false">TRUE()</f>
        <v>1</v>
      </c>
      <c r="M1478" s="2" t="s">
        <v>406</v>
      </c>
      <c r="N1478" s="2" t="n">
        <f aca="false">IF(E1478&gt;0,F1478/E1478,"")</f>
        <v>0.333333333333333</v>
      </c>
      <c r="O1478" s="2" t="n">
        <f aca="false">IF(AND(E1478&gt;0,L1478),J1478/E1478,"")</f>
        <v>6.11111111111111</v>
      </c>
    </row>
    <row r="1479" customFormat="false" ht="15" hidden="false" customHeight="false" outlineLevel="0" collapsed="false">
      <c r="A1479" s="2" t="n">
        <v>2025</v>
      </c>
      <c r="B1479" s="2" t="s">
        <v>642</v>
      </c>
      <c r="C1479" s="2" t="s">
        <v>408</v>
      </c>
      <c r="D1479" s="2" t="s">
        <v>413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11" t="b">
        <f aca="false">TRUE()</f>
        <v>1</v>
      </c>
      <c r="M1479" s="2" t="s">
        <v>410</v>
      </c>
      <c r="N1479" s="2" t="str">
        <f aca="false">IF(E1479&gt;0,F1479/E1479,"")</f>
        <v/>
      </c>
      <c r="O1479" s="2" t="str">
        <f aca="false">IF(AND(E1479&gt;0,L1479),J1479/E1479,"")</f>
        <v/>
      </c>
    </row>
    <row r="1480" customFormat="false" ht="15" hidden="false" customHeight="false" outlineLevel="0" collapsed="false">
      <c r="A1480" s="2" t="n">
        <v>2025</v>
      </c>
      <c r="B1480" s="2" t="s">
        <v>150</v>
      </c>
      <c r="C1480" s="2" t="s">
        <v>420</v>
      </c>
      <c r="D1480" s="2" t="s">
        <v>83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11" t="b">
        <f aca="false">TRUE()</f>
        <v>1</v>
      </c>
      <c r="M1480" s="2" t="s">
        <v>410</v>
      </c>
      <c r="N1480" s="2" t="str">
        <f aca="false">IF(E1480&gt;0,F1480/E1480,"")</f>
        <v/>
      </c>
      <c r="O1480" s="2" t="str">
        <f aca="false">IF(AND(E1480&gt;0,L1480),J1480/E1480,"")</f>
        <v/>
      </c>
    </row>
    <row r="1481" customFormat="false" ht="15" hidden="false" customHeight="false" outlineLevel="0" collapsed="false">
      <c r="A1481" s="2" t="n">
        <v>2025</v>
      </c>
      <c r="B1481" s="2" t="s">
        <v>61</v>
      </c>
      <c r="C1481" s="2" t="s">
        <v>545</v>
      </c>
      <c r="D1481" s="2" t="s">
        <v>24</v>
      </c>
      <c r="E1481" s="2" t="n">
        <v>8</v>
      </c>
      <c r="F1481" s="2" t="n">
        <v>54</v>
      </c>
      <c r="G1481" s="2" t="n">
        <v>35</v>
      </c>
      <c r="H1481" s="2" t="n">
        <v>15</v>
      </c>
      <c r="I1481" s="2" t="n">
        <v>5</v>
      </c>
      <c r="J1481" s="2" t="n">
        <v>182</v>
      </c>
      <c r="K1481" s="2" t="n">
        <v>247</v>
      </c>
      <c r="L1481" s="11" t="b">
        <f aca="false">TRUE()</f>
        <v>1</v>
      </c>
      <c r="M1481" s="2" t="s">
        <v>406</v>
      </c>
      <c r="N1481" s="2" t="n">
        <f aca="false">IF(E1481&gt;0,F1481/E1481,"")</f>
        <v>6.75</v>
      </c>
      <c r="O1481" s="2" t="n">
        <f aca="false">IF(AND(E1481&gt;0,L1481),J1481/E1481,"")</f>
        <v>22.75</v>
      </c>
    </row>
    <row r="1482" customFormat="false" ht="15" hidden="false" customHeight="false" outlineLevel="0" collapsed="false">
      <c r="A1482" s="2" t="n">
        <v>2025</v>
      </c>
      <c r="B1482" s="2" t="s">
        <v>160</v>
      </c>
      <c r="C1482" s="2" t="s">
        <v>408</v>
      </c>
      <c r="D1482" s="2" t="s">
        <v>83</v>
      </c>
      <c r="E1482" s="2" t="n">
        <v>10</v>
      </c>
      <c r="F1482" s="2" t="n">
        <v>2</v>
      </c>
      <c r="G1482" s="2" t="n">
        <v>1</v>
      </c>
      <c r="H1482" s="2" t="n">
        <v>1</v>
      </c>
      <c r="I1482" s="2" t="n">
        <v>2</v>
      </c>
      <c r="J1482" s="2" t="n">
        <v>52</v>
      </c>
      <c r="K1482" s="2" t="n">
        <v>57</v>
      </c>
      <c r="L1482" s="11" t="b">
        <f aca="false">TRUE()</f>
        <v>1</v>
      </c>
      <c r="M1482" s="2" t="s">
        <v>406</v>
      </c>
      <c r="N1482" s="2" t="n">
        <f aca="false">IF(E1482&gt;0,F1482/E1482,"")</f>
        <v>0.2</v>
      </c>
      <c r="O1482" s="2" t="n">
        <f aca="false">IF(AND(E1482&gt;0,L1482),J1482/E1482,"")</f>
        <v>5.2</v>
      </c>
    </row>
    <row r="1483" customFormat="false" ht="15" hidden="false" customHeight="false" outlineLevel="0" collapsed="false">
      <c r="A1483" s="2" t="n">
        <v>2025</v>
      </c>
      <c r="B1483" s="2" t="s">
        <v>128</v>
      </c>
      <c r="C1483" s="2" t="s">
        <v>412</v>
      </c>
      <c r="D1483" s="2" t="s">
        <v>117</v>
      </c>
      <c r="E1483" s="2" t="n">
        <v>9</v>
      </c>
      <c r="F1483" s="2" t="n">
        <v>8</v>
      </c>
      <c r="G1483" s="2" t="n">
        <v>3</v>
      </c>
      <c r="H1483" s="2" t="n">
        <v>2</v>
      </c>
      <c r="I1483" s="2" t="n">
        <v>0</v>
      </c>
      <c r="J1483" s="2" t="n">
        <v>66</v>
      </c>
      <c r="K1483" s="2" t="n">
        <v>76</v>
      </c>
      <c r="L1483" s="11" t="b">
        <f aca="false">TRUE()</f>
        <v>1</v>
      </c>
      <c r="M1483" s="2" t="s">
        <v>406</v>
      </c>
      <c r="N1483" s="2" t="n">
        <f aca="false">IF(E1483&gt;0,F1483/E1483,"")</f>
        <v>0.888888888888889</v>
      </c>
      <c r="O1483" s="2" t="n">
        <f aca="false">IF(AND(E1483&gt;0,L1483),J1483/E1483,"")</f>
        <v>7.33333333333333</v>
      </c>
    </row>
    <row r="1484" customFormat="false" ht="15" hidden="false" customHeight="false" outlineLevel="0" collapsed="false">
      <c r="A1484" s="2" t="n">
        <v>2025</v>
      </c>
      <c r="B1484" s="2" t="s">
        <v>41</v>
      </c>
      <c r="C1484" s="2" t="s">
        <v>414</v>
      </c>
      <c r="D1484" s="2" t="s">
        <v>24</v>
      </c>
      <c r="E1484" s="2" t="n">
        <v>10</v>
      </c>
      <c r="F1484" s="2" t="n">
        <v>62</v>
      </c>
      <c r="G1484" s="2" t="n">
        <v>42</v>
      </c>
      <c r="H1484" s="2" t="n">
        <v>18</v>
      </c>
      <c r="I1484" s="2" t="n">
        <v>14</v>
      </c>
      <c r="J1484" s="2" t="n">
        <v>237</v>
      </c>
      <c r="K1484" s="2" t="n">
        <v>314</v>
      </c>
      <c r="L1484" s="11" t="b">
        <f aca="false">TRUE()</f>
        <v>1</v>
      </c>
      <c r="M1484" s="2" t="s">
        <v>406</v>
      </c>
      <c r="N1484" s="2" t="n">
        <f aca="false">IF(E1484&gt;0,F1484/E1484,"")</f>
        <v>6.2</v>
      </c>
      <c r="O1484" s="2" t="n">
        <f aca="false">IF(AND(E1484&gt;0,L1484),J1484/E1484,"")</f>
        <v>23.7</v>
      </c>
    </row>
    <row r="1485" customFormat="false" ht="15" hidden="false" customHeight="false" outlineLevel="0" collapsed="false">
      <c r="A1485" s="2" t="n">
        <v>2025</v>
      </c>
      <c r="B1485" s="2" t="s">
        <v>116</v>
      </c>
      <c r="C1485" s="2" t="s">
        <v>622</v>
      </c>
      <c r="D1485" s="2" t="s">
        <v>117</v>
      </c>
      <c r="E1485" s="2" t="n">
        <v>10</v>
      </c>
      <c r="F1485" s="2" t="n">
        <v>6</v>
      </c>
      <c r="G1485" s="2" t="n">
        <v>3</v>
      </c>
      <c r="H1485" s="2" t="n">
        <v>3</v>
      </c>
      <c r="I1485" s="2" t="n">
        <v>1</v>
      </c>
      <c r="J1485" s="2" t="n">
        <v>57</v>
      </c>
      <c r="K1485" s="2" t="n">
        <v>68</v>
      </c>
      <c r="L1485" s="11" t="b">
        <f aca="false">TRUE()</f>
        <v>1</v>
      </c>
      <c r="M1485" s="2" t="s">
        <v>406</v>
      </c>
      <c r="N1485" s="2" t="n">
        <f aca="false">IF(E1485&gt;0,F1485/E1485,"")</f>
        <v>0.6</v>
      </c>
      <c r="O1485" s="2" t="n">
        <f aca="false">IF(AND(E1485&gt;0,L1485),J1485/E1485,"")</f>
        <v>5.7</v>
      </c>
    </row>
    <row r="1486" customFormat="false" ht="15" hidden="false" customHeight="false" outlineLevel="0" collapsed="false">
      <c r="A1486" s="2" t="n">
        <v>2025</v>
      </c>
      <c r="B1486" s="2" t="s">
        <v>64</v>
      </c>
      <c r="C1486" s="2" t="s">
        <v>545</v>
      </c>
      <c r="D1486" s="2" t="s">
        <v>24</v>
      </c>
      <c r="E1486" s="2" t="n">
        <v>5</v>
      </c>
      <c r="F1486" s="2" t="n">
        <v>23</v>
      </c>
      <c r="G1486" s="2" t="n">
        <v>16</v>
      </c>
      <c r="H1486" s="2" t="n">
        <v>7</v>
      </c>
      <c r="I1486" s="2" t="n">
        <v>3</v>
      </c>
      <c r="J1486" s="2" t="n">
        <v>66</v>
      </c>
      <c r="K1486" s="2" t="n">
        <v>94</v>
      </c>
      <c r="L1486" s="11" t="b">
        <f aca="false">TRUE()</f>
        <v>1</v>
      </c>
      <c r="M1486" s="2" t="s">
        <v>406</v>
      </c>
      <c r="N1486" s="2" t="n">
        <f aca="false">IF(E1486&gt;0,F1486/E1486,"")</f>
        <v>4.6</v>
      </c>
      <c r="O1486" s="2" t="n">
        <f aca="false">IF(AND(E1486&gt;0,L1486),J1486/E1486,"")</f>
        <v>13.2</v>
      </c>
    </row>
    <row r="1487" customFormat="false" ht="15" hidden="false" customHeight="false" outlineLevel="0" collapsed="false">
      <c r="A1487" s="2" t="n">
        <v>2025</v>
      </c>
      <c r="B1487" s="2" t="s">
        <v>643</v>
      </c>
      <c r="C1487" s="2" t="s">
        <v>412</v>
      </c>
      <c r="D1487" s="2" t="s">
        <v>409</v>
      </c>
      <c r="E1487" s="2" t="n">
        <v>2</v>
      </c>
      <c r="F1487" s="2" t="n">
        <v>0</v>
      </c>
      <c r="G1487" s="2" t="n">
        <v>0</v>
      </c>
      <c r="H1487" s="2" t="n">
        <v>0</v>
      </c>
      <c r="I1487" s="2" t="n">
        <v>0</v>
      </c>
      <c r="J1487" s="2" t="n">
        <v>1</v>
      </c>
      <c r="K1487" s="2" t="n">
        <v>1</v>
      </c>
      <c r="L1487" s="11" t="b">
        <f aca="false">TRUE()</f>
        <v>1</v>
      </c>
      <c r="M1487" s="2" t="s">
        <v>410</v>
      </c>
      <c r="N1487" s="2" t="n">
        <f aca="false">IF(E1487&gt;0,F1487/E1487,"")</f>
        <v>0</v>
      </c>
      <c r="O1487" s="2" t="n">
        <f aca="false">IF(AND(E1487&gt;0,L1487),J1487/E1487,"")</f>
        <v>0.5</v>
      </c>
    </row>
    <row r="1488" customFormat="false" ht="15" hidden="false" customHeight="false" outlineLevel="0" collapsed="false">
      <c r="A1488" s="2" t="n">
        <v>2025</v>
      </c>
      <c r="B1488" s="2" t="s">
        <v>351</v>
      </c>
      <c r="C1488" s="2" t="s">
        <v>543</v>
      </c>
      <c r="D1488" s="2" t="s">
        <v>24</v>
      </c>
      <c r="E1488" s="2" t="n">
        <v>2</v>
      </c>
      <c r="F1488" s="2" t="n">
        <v>2</v>
      </c>
      <c r="G1488" s="2" t="n">
        <v>2</v>
      </c>
      <c r="H1488" s="2" t="n">
        <v>0</v>
      </c>
      <c r="I1488" s="2" t="n">
        <v>2</v>
      </c>
      <c r="J1488" s="2" t="n">
        <v>16</v>
      </c>
      <c r="K1488" s="2" t="n">
        <v>22</v>
      </c>
      <c r="L1488" s="11" t="b">
        <f aca="false">TRUE()</f>
        <v>1</v>
      </c>
      <c r="M1488" s="2" t="s">
        <v>410</v>
      </c>
      <c r="N1488" s="2" t="n">
        <f aca="false">IF(E1488&gt;0,F1488/E1488,"")</f>
        <v>1</v>
      </c>
      <c r="O1488" s="2" t="n">
        <f aca="false">IF(AND(E1488&gt;0,L1488),J1488/E1488,"")</f>
        <v>8</v>
      </c>
    </row>
    <row r="1489" customFormat="false" ht="15" hidden="false" customHeight="false" outlineLevel="0" collapsed="false">
      <c r="A1489" s="2" t="n">
        <v>2025</v>
      </c>
      <c r="B1489" s="2" t="s">
        <v>274</v>
      </c>
      <c r="C1489" s="2" t="s">
        <v>414</v>
      </c>
      <c r="D1489" s="2" t="s">
        <v>83</v>
      </c>
      <c r="E1489" s="2" t="n">
        <v>10</v>
      </c>
      <c r="F1489" s="2" t="n">
        <v>5</v>
      </c>
      <c r="G1489" s="2" t="n">
        <v>2</v>
      </c>
      <c r="H1489" s="2" t="n">
        <v>1</v>
      </c>
      <c r="I1489" s="2" t="n">
        <v>0</v>
      </c>
      <c r="J1489" s="2" t="n">
        <v>63</v>
      </c>
      <c r="K1489" s="2" t="n">
        <v>69</v>
      </c>
      <c r="L1489" s="11" t="b">
        <f aca="false">TRUE()</f>
        <v>1</v>
      </c>
      <c r="M1489" s="2" t="s">
        <v>406</v>
      </c>
      <c r="N1489" s="2" t="n">
        <f aca="false">IF(E1489&gt;0,F1489/E1489,"")</f>
        <v>0.5</v>
      </c>
      <c r="O1489" s="2" t="n">
        <f aca="false">IF(AND(E1489&gt;0,L1489),J1489/E1489,"")</f>
        <v>6.3</v>
      </c>
    </row>
    <row r="1490" customFormat="false" ht="15" hidden="false" customHeight="false" outlineLevel="0" collapsed="false">
      <c r="A1490" s="2" t="n">
        <v>2025</v>
      </c>
      <c r="B1490" s="2" t="s">
        <v>281</v>
      </c>
      <c r="C1490" s="2" t="s">
        <v>414</v>
      </c>
      <c r="D1490" s="2" t="s">
        <v>115</v>
      </c>
      <c r="E1490" s="2" t="n">
        <v>5</v>
      </c>
      <c r="F1490" s="2" t="n">
        <v>2</v>
      </c>
      <c r="G1490" s="2" t="n">
        <v>1</v>
      </c>
      <c r="H1490" s="2" t="n">
        <v>0</v>
      </c>
      <c r="I1490" s="2" t="n">
        <v>0</v>
      </c>
      <c r="J1490" s="2" t="n">
        <v>9</v>
      </c>
      <c r="K1490" s="2" t="n">
        <v>11</v>
      </c>
      <c r="L1490" s="11" t="b">
        <f aca="false">TRUE()</f>
        <v>1</v>
      </c>
      <c r="M1490" s="2" t="s">
        <v>406</v>
      </c>
      <c r="N1490" s="2" t="n">
        <f aca="false">IF(E1490&gt;0,F1490/E1490,"")</f>
        <v>0.4</v>
      </c>
      <c r="O1490" s="2" t="n">
        <f aca="false">IF(AND(E1490&gt;0,L1490),J1490/E1490,"")</f>
        <v>1.8</v>
      </c>
    </row>
    <row r="1491" customFormat="false" ht="15" hidden="false" customHeight="false" outlineLevel="0" collapsed="false">
      <c r="A1491" s="2" t="n">
        <v>2025</v>
      </c>
      <c r="B1491" s="2" t="s">
        <v>80</v>
      </c>
      <c r="C1491" s="2" t="s">
        <v>405</v>
      </c>
      <c r="D1491" s="2" t="s">
        <v>29</v>
      </c>
      <c r="E1491" s="2" t="n">
        <v>10</v>
      </c>
      <c r="F1491" s="2" t="n">
        <v>41</v>
      </c>
      <c r="G1491" s="2" t="n">
        <v>27</v>
      </c>
      <c r="H1491" s="2" t="n">
        <v>14</v>
      </c>
      <c r="I1491" s="2" t="n">
        <v>9</v>
      </c>
      <c r="J1491" s="2" t="n">
        <v>210</v>
      </c>
      <c r="K1491" s="2" t="n">
        <v>263</v>
      </c>
      <c r="L1491" s="11" t="b">
        <f aca="false">TRUE()</f>
        <v>1</v>
      </c>
      <c r="M1491" s="2" t="s">
        <v>406</v>
      </c>
      <c r="N1491" s="2" t="n">
        <f aca="false">IF(E1491&gt;0,F1491/E1491,"")</f>
        <v>4.1</v>
      </c>
      <c r="O1491" s="2" t="n">
        <f aca="false">IF(AND(E1491&gt;0,L1491),J1491/E1491,"")</f>
        <v>21</v>
      </c>
    </row>
    <row r="1492" customFormat="false" ht="15" hidden="false" customHeight="false" outlineLevel="0" collapsed="false">
      <c r="A1492" s="2" t="n">
        <v>2025</v>
      </c>
      <c r="B1492" s="2" t="s">
        <v>27</v>
      </c>
      <c r="C1492" s="2" t="s">
        <v>518</v>
      </c>
      <c r="D1492" s="2" t="s">
        <v>24</v>
      </c>
      <c r="E1492" s="2" t="n">
        <v>10</v>
      </c>
      <c r="F1492" s="2" t="n">
        <v>52</v>
      </c>
      <c r="G1492" s="2" t="n">
        <v>40</v>
      </c>
      <c r="H1492" s="2" t="n">
        <v>19</v>
      </c>
      <c r="I1492" s="2" t="n">
        <v>12</v>
      </c>
      <c r="J1492" s="2" t="n">
        <v>209</v>
      </c>
      <c r="K1492" s="2" t="n">
        <v>284</v>
      </c>
      <c r="L1492" s="11" t="b">
        <f aca="false">TRUE()</f>
        <v>1</v>
      </c>
      <c r="M1492" s="2" t="s">
        <v>406</v>
      </c>
      <c r="N1492" s="2" t="n">
        <f aca="false">IF(E1492&gt;0,F1492/E1492,"")</f>
        <v>5.2</v>
      </c>
      <c r="O1492" s="2" t="n">
        <f aca="false">IF(AND(E1492&gt;0,L1492),J1492/E1492,"")</f>
        <v>20.9</v>
      </c>
    </row>
    <row r="1493" customFormat="false" ht="15" hidden="false" customHeight="false" outlineLevel="0" collapsed="false">
      <c r="A1493" s="2" t="n">
        <v>2025</v>
      </c>
      <c r="B1493" s="2" t="s">
        <v>119</v>
      </c>
      <c r="C1493" s="2" t="s">
        <v>518</v>
      </c>
      <c r="D1493" s="2" t="s">
        <v>29</v>
      </c>
      <c r="E1493" s="2" t="n">
        <v>10</v>
      </c>
      <c r="F1493" s="2" t="n">
        <v>30</v>
      </c>
      <c r="G1493" s="2" t="n">
        <v>23</v>
      </c>
      <c r="H1493" s="2" t="n">
        <v>13</v>
      </c>
      <c r="I1493" s="2" t="n">
        <v>2</v>
      </c>
      <c r="J1493" s="2" t="n">
        <v>136</v>
      </c>
      <c r="K1493" s="2" t="n">
        <v>171</v>
      </c>
      <c r="L1493" s="11" t="b">
        <f aca="false">TRUE()</f>
        <v>1</v>
      </c>
      <c r="M1493" s="2" t="s">
        <v>406</v>
      </c>
      <c r="N1493" s="2" t="n">
        <f aca="false">IF(E1493&gt;0,F1493/E1493,"")</f>
        <v>3</v>
      </c>
      <c r="O1493" s="2" t="n">
        <f aca="false">IF(AND(E1493&gt;0,L1493),J1493/E1493,"")</f>
        <v>13.6</v>
      </c>
    </row>
    <row r="1494" customFormat="false" ht="15" hidden="false" customHeight="false" outlineLevel="0" collapsed="false">
      <c r="A1494" s="2" t="n">
        <v>2025</v>
      </c>
      <c r="B1494" s="2" t="s">
        <v>308</v>
      </c>
      <c r="C1494" s="2" t="s">
        <v>414</v>
      </c>
      <c r="D1494" s="2" t="s">
        <v>115</v>
      </c>
      <c r="E1494" s="2" t="n">
        <v>4</v>
      </c>
      <c r="F1494" s="2" t="n">
        <v>2</v>
      </c>
      <c r="G1494" s="2" t="n">
        <v>2</v>
      </c>
      <c r="H1494" s="2" t="n">
        <v>2</v>
      </c>
      <c r="I1494" s="2" t="n">
        <v>0</v>
      </c>
      <c r="J1494" s="2" t="n">
        <v>12</v>
      </c>
      <c r="K1494" s="2" t="n">
        <v>15</v>
      </c>
      <c r="L1494" s="11" t="b">
        <f aca="false">TRUE()</f>
        <v>1</v>
      </c>
      <c r="M1494" s="2" t="s">
        <v>406</v>
      </c>
      <c r="N1494" s="2" t="n">
        <f aca="false">IF(E1494&gt;0,F1494/E1494,"")</f>
        <v>0.5</v>
      </c>
      <c r="O1494" s="2" t="n">
        <f aca="false">IF(AND(E1494&gt;0,L1494),J1494/E1494,"")</f>
        <v>3</v>
      </c>
    </row>
    <row r="1495" customFormat="false" ht="15" hidden="false" customHeight="false" outlineLevel="0" collapsed="false">
      <c r="A1495" s="2" t="n">
        <v>2025</v>
      </c>
      <c r="B1495" s="2" t="s">
        <v>595</v>
      </c>
      <c r="C1495" s="2" t="s">
        <v>622</v>
      </c>
      <c r="D1495" s="2" t="s">
        <v>409</v>
      </c>
      <c r="E1495" s="2" t="n">
        <v>2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21</v>
      </c>
      <c r="K1495" s="2" t="n">
        <v>21</v>
      </c>
      <c r="L1495" s="11" t="b">
        <f aca="false">TRUE()</f>
        <v>1</v>
      </c>
      <c r="M1495" s="2" t="s">
        <v>410</v>
      </c>
      <c r="N1495" s="2" t="n">
        <f aca="false">IF(E1495&gt;0,F1495/E1495,"")</f>
        <v>0</v>
      </c>
      <c r="O1495" s="2" t="n">
        <f aca="false">IF(AND(E1495&gt;0,L1495),J1495/E1495,"")</f>
        <v>10.5</v>
      </c>
    </row>
    <row r="1496" customFormat="false" ht="15" hidden="false" customHeight="false" outlineLevel="0" collapsed="false">
      <c r="A1496" s="2" t="n">
        <v>2025</v>
      </c>
      <c r="B1496" s="2" t="s">
        <v>629</v>
      </c>
      <c r="C1496" s="2" t="s">
        <v>408</v>
      </c>
      <c r="D1496" s="2" t="s">
        <v>24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11" t="b">
        <f aca="false">TRUE()</f>
        <v>1</v>
      </c>
      <c r="M1496" s="2" t="s">
        <v>410</v>
      </c>
      <c r="N1496" s="2" t="str">
        <f aca="false">IF(E1496&gt;0,F1496/E1496,"")</f>
        <v/>
      </c>
      <c r="O1496" s="2" t="str">
        <f aca="false">IF(AND(E1496&gt;0,L1496),J1496/E1496,"")</f>
        <v/>
      </c>
    </row>
    <row r="1497" customFormat="false" ht="15" hidden="false" customHeight="false" outlineLevel="0" collapsed="false">
      <c r="A1497" s="2" t="n">
        <v>2025</v>
      </c>
      <c r="B1497" s="2" t="s">
        <v>644</v>
      </c>
      <c r="C1497" s="2" t="s">
        <v>622</v>
      </c>
      <c r="D1497" s="2" t="s">
        <v>409</v>
      </c>
      <c r="E1497" s="2" t="n">
        <v>8</v>
      </c>
      <c r="F1497" s="2" t="n">
        <v>1</v>
      </c>
      <c r="G1497" s="2" t="n">
        <v>0</v>
      </c>
      <c r="H1497" s="2" t="n">
        <v>0</v>
      </c>
      <c r="I1497" s="2" t="n">
        <v>0</v>
      </c>
      <c r="J1497" s="2" t="n">
        <v>150</v>
      </c>
      <c r="K1497" s="2" t="n">
        <v>157</v>
      </c>
      <c r="L1497" s="11" t="b">
        <f aca="false">TRUE()</f>
        <v>1</v>
      </c>
      <c r="M1497" s="2" t="s">
        <v>410</v>
      </c>
      <c r="N1497" s="2" t="n">
        <f aca="false">IF(E1497&gt;0,F1497/E1497,"")</f>
        <v>0.125</v>
      </c>
      <c r="O1497" s="2" t="n">
        <f aca="false">IF(AND(E1497&gt;0,L1497),J1497/E1497,"")</f>
        <v>18.75</v>
      </c>
    </row>
    <row r="1498" customFormat="false" ht="15" hidden="false" customHeight="false" outlineLevel="0" collapsed="false">
      <c r="A1498" s="2" t="n">
        <v>2025</v>
      </c>
      <c r="B1498" s="2" t="s">
        <v>339</v>
      </c>
      <c r="C1498" s="2" t="s">
        <v>408</v>
      </c>
      <c r="D1498" s="2" t="s">
        <v>24</v>
      </c>
      <c r="E1498" s="2" t="n">
        <v>2</v>
      </c>
      <c r="F1498" s="2" t="n">
        <v>4</v>
      </c>
      <c r="G1498" s="2" t="n">
        <v>2</v>
      </c>
      <c r="H1498" s="2" t="n">
        <v>0</v>
      </c>
      <c r="I1498" s="2" t="n">
        <v>0</v>
      </c>
      <c r="J1498" s="2" t="n">
        <v>16</v>
      </c>
      <c r="K1498" s="2" t="n">
        <v>22</v>
      </c>
      <c r="L1498" s="11" t="b">
        <f aca="false">TRUE()</f>
        <v>1</v>
      </c>
      <c r="M1498" s="2" t="s">
        <v>410</v>
      </c>
      <c r="N1498" s="2" t="n">
        <f aca="false">IF(E1498&gt;0,F1498/E1498,"")</f>
        <v>2</v>
      </c>
      <c r="O1498" s="2" t="n">
        <f aca="false">IF(AND(E1498&gt;0,L1498),J1498/E1498,"")</f>
        <v>8</v>
      </c>
    </row>
    <row r="1499" customFormat="false" ht="15" hidden="false" customHeight="false" outlineLevel="0" collapsed="false">
      <c r="A1499" s="2" t="n">
        <v>2025</v>
      </c>
      <c r="B1499" s="2" t="s">
        <v>203</v>
      </c>
      <c r="C1499" s="2" t="s">
        <v>405</v>
      </c>
      <c r="D1499" s="2" t="s">
        <v>83</v>
      </c>
      <c r="E1499" s="2" t="n">
        <v>3</v>
      </c>
      <c r="F1499" s="2" t="n">
        <v>1</v>
      </c>
      <c r="G1499" s="2" t="n">
        <v>1</v>
      </c>
      <c r="H1499" s="2" t="n">
        <v>1</v>
      </c>
      <c r="I1499" s="2" t="n">
        <v>0</v>
      </c>
      <c r="J1499" s="2" t="n">
        <v>12</v>
      </c>
      <c r="K1499" s="2" t="n">
        <v>13</v>
      </c>
      <c r="L1499" s="11" t="b">
        <f aca="false">TRUE()</f>
        <v>1</v>
      </c>
      <c r="M1499" s="2" t="s">
        <v>406</v>
      </c>
      <c r="N1499" s="2" t="n">
        <f aca="false">IF(E1499&gt;0,F1499/E1499,"")</f>
        <v>0.333333333333333</v>
      </c>
      <c r="O1499" s="2" t="n">
        <f aca="false">IF(AND(E1499&gt;0,L1499),J1499/E1499,"")</f>
        <v>4</v>
      </c>
    </row>
    <row r="1500" customFormat="false" ht="15" hidden="false" customHeight="false" outlineLevel="0" collapsed="false">
      <c r="A1500" s="2" t="n">
        <v>2025</v>
      </c>
      <c r="B1500" s="2" t="s">
        <v>202</v>
      </c>
      <c r="C1500" s="2" t="s">
        <v>622</v>
      </c>
      <c r="D1500" s="2" t="s">
        <v>83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11" t="b">
        <f aca="false">TRUE()</f>
        <v>1</v>
      </c>
      <c r="M1500" s="2" t="s">
        <v>410</v>
      </c>
      <c r="N1500" s="2" t="str">
        <f aca="false">IF(E1500&gt;0,F1500/E1500,"")</f>
        <v/>
      </c>
      <c r="O1500" s="2" t="str">
        <f aca="false">IF(AND(E1500&gt;0,L1500),J1500/E1500,"")</f>
        <v/>
      </c>
    </row>
    <row r="1501" customFormat="false" ht="15" hidden="false" customHeight="false" outlineLevel="0" collapsed="false">
      <c r="A1501" s="2" t="n">
        <v>2025</v>
      </c>
      <c r="B1501" s="2" t="s">
        <v>92</v>
      </c>
      <c r="C1501" s="2" t="s">
        <v>420</v>
      </c>
      <c r="D1501" s="2" t="s">
        <v>29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11" t="b">
        <f aca="false">TRUE()</f>
        <v>1</v>
      </c>
      <c r="M1501" s="2" t="s">
        <v>410</v>
      </c>
      <c r="N1501" s="2" t="str">
        <f aca="false">IF(E1501&gt;0,F1501/E1501,"")</f>
        <v/>
      </c>
      <c r="O1501" s="2" t="str">
        <f aca="false">IF(AND(E1501&gt;0,L1501),J1501/E1501,"")</f>
        <v/>
      </c>
    </row>
    <row r="1502" customFormat="false" ht="15" hidden="false" customHeight="false" outlineLevel="0" collapsed="false">
      <c r="A1502" s="2" t="n">
        <v>2025</v>
      </c>
      <c r="B1502" s="2" t="s">
        <v>38</v>
      </c>
      <c r="C1502" s="2" t="s">
        <v>405</v>
      </c>
      <c r="D1502" s="2" t="s">
        <v>24</v>
      </c>
      <c r="E1502" s="2" t="n">
        <v>10</v>
      </c>
      <c r="F1502" s="2" t="n">
        <v>87</v>
      </c>
      <c r="G1502" s="2" t="n">
        <v>51</v>
      </c>
      <c r="H1502" s="2" t="n">
        <v>26</v>
      </c>
      <c r="I1502" s="2" t="n">
        <v>5</v>
      </c>
      <c r="J1502" s="2" t="n">
        <v>197</v>
      </c>
      <c r="K1502" s="2" t="n">
        <v>301</v>
      </c>
      <c r="L1502" s="11" t="b">
        <f aca="false">TRUE()</f>
        <v>1</v>
      </c>
      <c r="M1502" s="2" t="s">
        <v>406</v>
      </c>
      <c r="N1502" s="2" t="n">
        <f aca="false">IF(E1502&gt;0,F1502/E1502,"")</f>
        <v>8.7</v>
      </c>
      <c r="O1502" s="2" t="n">
        <f aca="false">IF(AND(E1502&gt;0,L1502),J1502/E1502,"")</f>
        <v>19.7</v>
      </c>
    </row>
    <row r="1503" customFormat="false" ht="15" hidden="false" customHeight="false" outlineLevel="0" collapsed="false">
      <c r="A1503" s="2" t="n">
        <v>2025</v>
      </c>
      <c r="B1503" s="2" t="s">
        <v>109</v>
      </c>
      <c r="C1503" s="2" t="s">
        <v>405</v>
      </c>
      <c r="D1503" s="2" t="s">
        <v>29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11" t="b">
        <f aca="false">TRUE()</f>
        <v>1</v>
      </c>
      <c r="M1503" s="2" t="s">
        <v>410</v>
      </c>
      <c r="N1503" s="2" t="str">
        <f aca="false">IF(E1503&gt;0,F1503/E1503,"")</f>
        <v/>
      </c>
      <c r="O1503" s="2" t="str">
        <f aca="false">IF(AND(E1503&gt;0,L1503),J1503/E1503,"")</f>
        <v/>
      </c>
    </row>
    <row r="1504" customFormat="false" ht="15" hidden="false" customHeight="false" outlineLevel="0" collapsed="false">
      <c r="A1504" s="2" t="n">
        <v>2025</v>
      </c>
      <c r="B1504" s="2" t="s">
        <v>67</v>
      </c>
      <c r="C1504" s="2" t="s">
        <v>408</v>
      </c>
      <c r="D1504" s="2" t="s">
        <v>24</v>
      </c>
      <c r="E1504" s="2" t="n">
        <v>4</v>
      </c>
      <c r="F1504" s="2" t="n">
        <v>25</v>
      </c>
      <c r="G1504" s="2" t="n">
        <v>15</v>
      </c>
      <c r="H1504" s="2" t="n">
        <v>6</v>
      </c>
      <c r="I1504" s="2" t="n">
        <v>1</v>
      </c>
      <c r="J1504" s="2" t="n">
        <v>83</v>
      </c>
      <c r="K1504" s="2" t="n">
        <v>115</v>
      </c>
      <c r="L1504" s="11" t="b">
        <f aca="false">TRUE()</f>
        <v>1</v>
      </c>
      <c r="M1504" s="2" t="s">
        <v>406</v>
      </c>
      <c r="N1504" s="2" t="n">
        <f aca="false">IF(E1504&gt;0,F1504/E1504,"")</f>
        <v>6.25</v>
      </c>
      <c r="O1504" s="2" t="n">
        <f aca="false">IF(AND(E1504&gt;0,L1504),J1504/E1504,"")</f>
        <v>20.75</v>
      </c>
    </row>
    <row r="1505" customFormat="false" ht="15" hidden="false" customHeight="false" outlineLevel="0" collapsed="false">
      <c r="A1505" s="2" t="n">
        <v>2025</v>
      </c>
      <c r="B1505" s="2" t="s">
        <v>143</v>
      </c>
      <c r="C1505" s="2" t="s">
        <v>414</v>
      </c>
      <c r="D1505" s="2" t="s">
        <v>117</v>
      </c>
      <c r="E1505" s="2" t="n">
        <v>10</v>
      </c>
      <c r="F1505" s="2" t="n">
        <v>2</v>
      </c>
      <c r="G1505" s="2" t="n">
        <v>1</v>
      </c>
      <c r="H1505" s="2" t="n">
        <v>0</v>
      </c>
      <c r="I1505" s="2" t="n">
        <v>0</v>
      </c>
      <c r="J1505" s="2" t="n">
        <v>68</v>
      </c>
      <c r="K1505" s="2" t="n">
        <v>70</v>
      </c>
      <c r="L1505" s="11" t="b">
        <f aca="false">TRUE()</f>
        <v>1</v>
      </c>
      <c r="M1505" s="2" t="s">
        <v>406</v>
      </c>
      <c r="N1505" s="2" t="n">
        <f aca="false">IF(E1505&gt;0,F1505/E1505,"")</f>
        <v>0.2</v>
      </c>
      <c r="O1505" s="2" t="n">
        <f aca="false">IF(AND(E1505&gt;0,L1505),J1505/E1505,"")</f>
        <v>6.8</v>
      </c>
    </row>
    <row r="1506" customFormat="false" ht="15" hidden="false" customHeight="false" outlineLevel="0" collapsed="false">
      <c r="A1506" s="2" t="n">
        <v>2025</v>
      </c>
      <c r="B1506" s="2" t="s">
        <v>214</v>
      </c>
      <c r="C1506" s="2" t="s">
        <v>622</v>
      </c>
      <c r="D1506" s="2" t="s">
        <v>24</v>
      </c>
      <c r="E1506" s="2" t="n">
        <v>0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11" t="b">
        <f aca="false">TRUE()</f>
        <v>1</v>
      </c>
      <c r="M1506" s="2" t="s">
        <v>410</v>
      </c>
      <c r="N1506" s="2" t="str">
        <f aca="false">IF(E1506&gt;0,F1506/E1506,"")</f>
        <v/>
      </c>
      <c r="O1506" s="2" t="str">
        <f aca="false">IF(AND(E1506&gt;0,L1506),J1506/E1506,"")</f>
        <v/>
      </c>
    </row>
    <row r="1507" customFormat="false" ht="15" hidden="false" customHeight="false" outlineLevel="0" collapsed="false">
      <c r="A1507" s="2" t="n">
        <v>2025</v>
      </c>
      <c r="B1507" s="2" t="s">
        <v>467</v>
      </c>
      <c r="C1507" s="2" t="s">
        <v>414</v>
      </c>
      <c r="D1507" s="2" t="s">
        <v>413</v>
      </c>
      <c r="E1507" s="2" t="n">
        <v>10</v>
      </c>
      <c r="F1507" s="2" t="n">
        <v>5</v>
      </c>
      <c r="G1507" s="2" t="n">
        <v>3</v>
      </c>
      <c r="H1507" s="2" t="n">
        <v>2</v>
      </c>
      <c r="I1507" s="2" t="n">
        <v>0</v>
      </c>
      <c r="J1507" s="2" t="n">
        <v>73</v>
      </c>
      <c r="K1507" s="2" t="n">
        <v>83</v>
      </c>
      <c r="L1507" s="11" t="b">
        <f aca="false">TRUE()</f>
        <v>1</v>
      </c>
      <c r="M1507" s="2" t="s">
        <v>410</v>
      </c>
      <c r="N1507" s="2" t="n">
        <f aca="false">IF(E1507&gt;0,F1507/E1507,"")</f>
        <v>0.5</v>
      </c>
      <c r="O1507" s="2" t="n">
        <f aca="false">IF(AND(E1507&gt;0,L1507),J1507/E1507,"")</f>
        <v>7.3</v>
      </c>
    </row>
    <row r="1508" customFormat="false" ht="15" hidden="false" customHeight="false" outlineLevel="0" collapsed="false">
      <c r="A1508" s="2" t="n">
        <v>2025</v>
      </c>
      <c r="B1508" s="2" t="s">
        <v>645</v>
      </c>
      <c r="C1508" s="2" t="s">
        <v>408</v>
      </c>
      <c r="D1508" s="2" t="s">
        <v>413</v>
      </c>
      <c r="E1508" s="2" t="n">
        <v>4</v>
      </c>
      <c r="F1508" s="2" t="n">
        <v>4</v>
      </c>
      <c r="G1508" s="2" t="n">
        <v>1</v>
      </c>
      <c r="H1508" s="2" t="n">
        <v>0</v>
      </c>
      <c r="I1508" s="2" t="n">
        <v>0</v>
      </c>
      <c r="J1508" s="2" t="n">
        <v>9</v>
      </c>
      <c r="K1508" s="2" t="n">
        <v>15</v>
      </c>
      <c r="L1508" s="11" t="b">
        <f aca="false">TRUE()</f>
        <v>1</v>
      </c>
      <c r="M1508" s="2" t="s">
        <v>410</v>
      </c>
      <c r="N1508" s="2" t="n">
        <f aca="false">IF(E1508&gt;0,F1508/E1508,"")</f>
        <v>1</v>
      </c>
      <c r="O1508" s="2" t="n">
        <f aca="false">IF(AND(E1508&gt;0,L1508),J1508/E1508,"")</f>
        <v>2.25</v>
      </c>
    </row>
    <row r="1509" customFormat="false" ht="15" hidden="false" customHeight="false" outlineLevel="0" collapsed="false">
      <c r="A1509" s="2" t="n">
        <v>2025</v>
      </c>
      <c r="B1509" s="2" t="s">
        <v>146</v>
      </c>
      <c r="C1509" s="2" t="s">
        <v>420</v>
      </c>
      <c r="D1509" s="2" t="s">
        <v>117</v>
      </c>
      <c r="E1509" s="2" t="n">
        <v>10</v>
      </c>
      <c r="F1509" s="2" t="n">
        <v>6</v>
      </c>
      <c r="G1509" s="2" t="n">
        <v>4</v>
      </c>
      <c r="H1509" s="2" t="n">
        <v>2</v>
      </c>
      <c r="I1509" s="2" t="n">
        <v>0</v>
      </c>
      <c r="J1509" s="2" t="n">
        <v>59</v>
      </c>
      <c r="K1509" s="2" t="n">
        <v>70</v>
      </c>
      <c r="L1509" s="11" t="b">
        <f aca="false">TRUE()</f>
        <v>1</v>
      </c>
      <c r="M1509" s="2" t="s">
        <v>406</v>
      </c>
      <c r="N1509" s="2" t="n">
        <f aca="false">IF(E1509&gt;0,F1509/E1509,"")</f>
        <v>0.6</v>
      </c>
      <c r="O1509" s="2" t="n">
        <f aca="false">IF(AND(E1509&gt;0,L1509),J1509/E1509,"")</f>
        <v>5.9</v>
      </c>
    </row>
    <row r="1510" customFormat="false" ht="15" hidden="false" customHeight="false" outlineLevel="0" collapsed="false">
      <c r="A1510" s="2" t="n">
        <v>2025</v>
      </c>
      <c r="B1510" s="2" t="s">
        <v>79</v>
      </c>
      <c r="C1510" s="2" t="s">
        <v>405</v>
      </c>
      <c r="D1510" s="2" t="s">
        <v>24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11" t="b">
        <f aca="false">TRUE()</f>
        <v>1</v>
      </c>
      <c r="M1510" s="2" t="s">
        <v>410</v>
      </c>
      <c r="N1510" s="2" t="str">
        <f aca="false">IF(E1510&gt;0,F1510/E1510,"")</f>
        <v/>
      </c>
      <c r="O1510" s="2" t="str">
        <f aca="false">IF(AND(E1510&gt;0,L1510),J1510/E1510,"")</f>
        <v/>
      </c>
    </row>
    <row r="1511" customFormat="false" ht="15" hidden="false" customHeight="false" outlineLevel="0" collapsed="false">
      <c r="A1511" s="2" t="n">
        <v>2025</v>
      </c>
      <c r="B1511" s="2" t="s">
        <v>37</v>
      </c>
      <c r="C1511" s="2" t="s">
        <v>545</v>
      </c>
      <c r="D1511" s="2" t="s">
        <v>24</v>
      </c>
      <c r="E1511" s="2" t="n">
        <v>10</v>
      </c>
      <c r="F1511" s="2" t="n">
        <v>37</v>
      </c>
      <c r="G1511" s="2" t="n">
        <v>23</v>
      </c>
      <c r="H1511" s="2" t="n">
        <v>10</v>
      </c>
      <c r="I1511" s="2" t="n">
        <v>26</v>
      </c>
      <c r="J1511" s="2" t="n">
        <v>233</v>
      </c>
      <c r="K1511" s="2" t="n">
        <v>292</v>
      </c>
      <c r="L1511" s="11" t="b">
        <f aca="false">TRUE()</f>
        <v>1</v>
      </c>
      <c r="M1511" s="2" t="s">
        <v>406</v>
      </c>
      <c r="N1511" s="2" t="n">
        <f aca="false">IF(E1511&gt;0,F1511/E1511,"")</f>
        <v>3.7</v>
      </c>
      <c r="O1511" s="2" t="n">
        <f aca="false">IF(AND(E1511&gt;0,L1511),J1511/E1511,"")</f>
        <v>23.3</v>
      </c>
    </row>
    <row r="1512" customFormat="false" ht="15" hidden="false" customHeight="false" outlineLevel="0" collapsed="false">
      <c r="A1512" s="2" t="n">
        <v>2025</v>
      </c>
      <c r="B1512" s="2" t="s">
        <v>33</v>
      </c>
      <c r="C1512" s="2" t="s">
        <v>408</v>
      </c>
      <c r="D1512" s="2" t="s">
        <v>24</v>
      </c>
      <c r="E1512" s="2" t="n">
        <v>10</v>
      </c>
      <c r="F1512" s="2" t="n">
        <v>48</v>
      </c>
      <c r="G1512" s="2" t="n">
        <v>35</v>
      </c>
      <c r="H1512" s="2" t="n">
        <v>10</v>
      </c>
      <c r="I1512" s="2" t="n">
        <v>7</v>
      </c>
      <c r="J1512" s="2" t="n">
        <v>148</v>
      </c>
      <c r="K1512" s="2" t="n">
        <v>205</v>
      </c>
      <c r="L1512" s="11" t="b">
        <f aca="false">TRUE()</f>
        <v>1</v>
      </c>
      <c r="M1512" s="2" t="s">
        <v>406</v>
      </c>
      <c r="N1512" s="2" t="n">
        <f aca="false">IF(E1512&gt;0,F1512/E1512,"")</f>
        <v>4.8</v>
      </c>
      <c r="O1512" s="2" t="n">
        <f aca="false">IF(AND(E1512&gt;0,L1512),J1512/E1512,"")</f>
        <v>14.8</v>
      </c>
    </row>
    <row r="1513" customFormat="false" ht="15" hidden="false" customHeight="false" outlineLevel="0" collapsed="false">
      <c r="A1513" s="2" t="n">
        <v>2025</v>
      </c>
      <c r="B1513" s="2" t="s">
        <v>35</v>
      </c>
      <c r="C1513" s="2" t="s">
        <v>622</v>
      </c>
      <c r="D1513" s="2" t="s">
        <v>24</v>
      </c>
      <c r="E1513" s="2" t="n">
        <v>10</v>
      </c>
      <c r="F1513" s="2" t="n">
        <v>85</v>
      </c>
      <c r="G1513" s="2" t="n">
        <v>49</v>
      </c>
      <c r="H1513" s="2" t="n">
        <v>23</v>
      </c>
      <c r="I1513" s="2" t="n">
        <v>8</v>
      </c>
      <c r="J1513" s="2" t="n">
        <v>268</v>
      </c>
      <c r="K1513" s="2" t="n">
        <v>365</v>
      </c>
      <c r="L1513" s="11" t="b">
        <f aca="false">TRUE()</f>
        <v>1</v>
      </c>
      <c r="M1513" s="2" t="s">
        <v>406</v>
      </c>
      <c r="N1513" s="2" t="n">
        <f aca="false">IF(E1513&gt;0,F1513/E1513,"")</f>
        <v>8.5</v>
      </c>
      <c r="O1513" s="2" t="n">
        <f aca="false">IF(AND(E1513&gt;0,L1513),J1513/E1513,"")</f>
        <v>26.8</v>
      </c>
    </row>
    <row r="1514" customFormat="false" ht="15" hidden="false" customHeight="false" outlineLevel="0" collapsed="false">
      <c r="A1514" s="2" t="n">
        <v>2025</v>
      </c>
      <c r="B1514" s="2" t="s">
        <v>26</v>
      </c>
      <c r="C1514" s="2" t="s">
        <v>414</v>
      </c>
      <c r="D1514" s="2" t="s">
        <v>24</v>
      </c>
      <c r="E1514" s="2" t="n">
        <v>8</v>
      </c>
      <c r="F1514" s="2" t="n">
        <v>42</v>
      </c>
      <c r="G1514" s="2" t="n">
        <v>27</v>
      </c>
      <c r="H1514" s="2" t="n">
        <v>7</v>
      </c>
      <c r="I1514" s="2" t="n">
        <v>13</v>
      </c>
      <c r="J1514" s="2" t="n">
        <v>210</v>
      </c>
      <c r="K1514" s="2" t="n">
        <v>271</v>
      </c>
      <c r="L1514" s="11" t="b">
        <f aca="false">TRUE()</f>
        <v>1</v>
      </c>
      <c r="M1514" s="2" t="s">
        <v>406</v>
      </c>
      <c r="N1514" s="2" t="n">
        <f aca="false">IF(E1514&gt;0,F1514/E1514,"")</f>
        <v>5.25</v>
      </c>
      <c r="O1514" s="2" t="n">
        <f aca="false">IF(AND(E1514&gt;0,L1514),J1514/E1514,"")</f>
        <v>26.25</v>
      </c>
    </row>
    <row r="1515" customFormat="false" ht="15" hidden="false" customHeight="false" outlineLevel="0" collapsed="false">
      <c r="A1515" s="2" t="n">
        <v>2025</v>
      </c>
      <c r="B1515" s="2" t="s">
        <v>646</v>
      </c>
      <c r="C1515" s="2" t="s">
        <v>414</v>
      </c>
      <c r="D1515" s="2" t="s">
        <v>413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11" t="b">
        <f aca="false">TRUE()</f>
        <v>1</v>
      </c>
      <c r="M1515" s="2" t="s">
        <v>410</v>
      </c>
      <c r="N1515" s="2" t="str">
        <f aca="false">IF(E1515&gt;0,F1515/E1515,"")</f>
        <v/>
      </c>
      <c r="O1515" s="2" t="str">
        <f aca="false">IF(AND(E1515&gt;0,L1515),J1515/E1515,"")</f>
        <v/>
      </c>
    </row>
    <row r="1516" customFormat="false" ht="15" hidden="false" customHeight="false" outlineLevel="0" collapsed="false">
      <c r="A1516" s="2" t="n">
        <v>2025</v>
      </c>
      <c r="B1516" s="2" t="s">
        <v>383</v>
      </c>
      <c r="C1516" s="2" t="s">
        <v>405</v>
      </c>
      <c r="D1516" s="2" t="s">
        <v>83</v>
      </c>
      <c r="E1516" s="2" t="n">
        <v>1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5</v>
      </c>
      <c r="K1516" s="2" t="n">
        <v>5</v>
      </c>
      <c r="L1516" s="11" t="b">
        <f aca="false">TRUE()</f>
        <v>1</v>
      </c>
      <c r="M1516" s="2" t="s">
        <v>410</v>
      </c>
      <c r="N1516" s="2" t="n">
        <f aca="false">IF(E1516&gt;0,F1516/E1516,"")</f>
        <v>0</v>
      </c>
      <c r="O1516" s="2" t="n">
        <f aca="false">IF(AND(E1516&gt;0,L1516),J1516/E1516,"")</f>
        <v>5</v>
      </c>
    </row>
    <row r="1517" customFormat="false" ht="15" hidden="false" customHeight="false" outlineLevel="0" collapsed="false">
      <c r="A1517" s="2" t="n">
        <v>2025</v>
      </c>
      <c r="B1517" s="2" t="s">
        <v>332</v>
      </c>
      <c r="C1517" s="2" t="s">
        <v>622</v>
      </c>
      <c r="D1517" s="2" t="s">
        <v>117</v>
      </c>
      <c r="E1517" s="2" t="n">
        <v>0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11" t="b">
        <f aca="false">TRUE()</f>
        <v>1</v>
      </c>
      <c r="M1517" s="2" t="s">
        <v>410</v>
      </c>
      <c r="N1517" s="2" t="str">
        <f aca="false">IF(E1517&gt;0,F1517/E1517,"")</f>
        <v/>
      </c>
      <c r="O1517" s="2" t="str">
        <f aca="false">IF(AND(E1517&gt;0,L1517),J1517/E1517,"")</f>
        <v/>
      </c>
    </row>
    <row r="1518" customFormat="false" ht="15" hidden="false" customHeight="false" outlineLevel="0" collapsed="false">
      <c r="A1518" s="2" t="n">
        <v>2025</v>
      </c>
      <c r="B1518" s="2" t="s">
        <v>174</v>
      </c>
      <c r="C1518" s="2" t="s">
        <v>408</v>
      </c>
      <c r="D1518" s="2" t="s">
        <v>83</v>
      </c>
      <c r="E1518" s="2" t="n">
        <v>10</v>
      </c>
      <c r="F1518" s="2" t="n">
        <v>10</v>
      </c>
      <c r="G1518" s="2" t="n">
        <v>6</v>
      </c>
      <c r="H1518" s="2" t="n">
        <v>4</v>
      </c>
      <c r="I1518" s="2" t="n">
        <v>1</v>
      </c>
      <c r="J1518" s="2" t="n">
        <v>63</v>
      </c>
      <c r="K1518" s="2" t="n">
        <v>79</v>
      </c>
      <c r="L1518" s="11" t="b">
        <f aca="false">TRUE()</f>
        <v>1</v>
      </c>
      <c r="M1518" s="2" t="s">
        <v>406</v>
      </c>
      <c r="N1518" s="2" t="n">
        <f aca="false">IF(E1518&gt;0,F1518/E1518,"")</f>
        <v>1</v>
      </c>
      <c r="O1518" s="2" t="n">
        <f aca="false">IF(AND(E1518&gt;0,L1518),J1518/E1518,"")</f>
        <v>6.3</v>
      </c>
    </row>
    <row r="1519" customFormat="false" ht="15" hidden="false" customHeight="false" outlineLevel="0" collapsed="false">
      <c r="A1519" s="2" t="n">
        <v>2025</v>
      </c>
      <c r="B1519" s="2" t="s">
        <v>86</v>
      </c>
      <c r="C1519" s="2" t="s">
        <v>420</v>
      </c>
      <c r="D1519" s="2" t="s">
        <v>29</v>
      </c>
      <c r="E1519" s="2" t="n">
        <v>7</v>
      </c>
      <c r="F1519" s="2" t="n">
        <v>31</v>
      </c>
      <c r="G1519" s="2" t="n">
        <v>19</v>
      </c>
      <c r="H1519" s="2" t="n">
        <v>5</v>
      </c>
      <c r="I1519" s="2" t="n">
        <v>1</v>
      </c>
      <c r="J1519" s="2" t="n">
        <v>84</v>
      </c>
      <c r="K1519" s="2" t="n">
        <v>121</v>
      </c>
      <c r="L1519" s="11" t="b">
        <f aca="false">TRUE()</f>
        <v>1</v>
      </c>
      <c r="M1519" s="2" t="s">
        <v>406</v>
      </c>
      <c r="N1519" s="2" t="n">
        <f aca="false">IF(E1519&gt;0,F1519/E1519,"")</f>
        <v>4.42857142857143</v>
      </c>
      <c r="O1519" s="2" t="n">
        <f aca="false">IF(AND(E1519&gt;0,L1519),J1519/E1519,"")</f>
        <v>12</v>
      </c>
    </row>
    <row r="1520" customFormat="false" ht="15" hidden="false" customHeight="false" outlineLevel="0" collapsed="false">
      <c r="A1520" s="2" t="n">
        <v>2025</v>
      </c>
      <c r="B1520" s="2" t="s">
        <v>375</v>
      </c>
      <c r="C1520" s="2" t="s">
        <v>622</v>
      </c>
      <c r="D1520" s="2" t="s">
        <v>117</v>
      </c>
      <c r="E1520" s="2" t="n">
        <v>3</v>
      </c>
      <c r="F1520" s="2" t="n">
        <v>1</v>
      </c>
      <c r="G1520" s="2" t="n">
        <v>0</v>
      </c>
      <c r="H1520" s="2" t="n">
        <v>0</v>
      </c>
      <c r="I1520" s="2" t="n">
        <v>0</v>
      </c>
      <c r="J1520" s="2" t="n">
        <v>4</v>
      </c>
      <c r="K1520" s="2" t="n">
        <v>6</v>
      </c>
      <c r="L1520" s="11" t="b">
        <f aca="false">TRUE()</f>
        <v>1</v>
      </c>
      <c r="M1520" s="2" t="s">
        <v>406</v>
      </c>
      <c r="N1520" s="2" t="n">
        <f aca="false">IF(E1520&gt;0,F1520/E1520,"")</f>
        <v>0.333333333333333</v>
      </c>
      <c r="O1520" s="2" t="n">
        <f aca="false">IF(AND(E1520&gt;0,L1520),J1520/E1520,"")</f>
        <v>1.33333333333333</v>
      </c>
    </row>
    <row r="1521" customFormat="false" ht="15" hidden="false" customHeight="false" outlineLevel="0" collapsed="false">
      <c r="A1521" s="2" t="n">
        <v>2025</v>
      </c>
      <c r="B1521" s="2" t="s">
        <v>139</v>
      </c>
      <c r="C1521" s="2" t="s">
        <v>622</v>
      </c>
      <c r="D1521" s="2" t="s">
        <v>115</v>
      </c>
      <c r="E1521" s="2" t="n">
        <v>10</v>
      </c>
      <c r="F1521" s="2" t="n">
        <v>15</v>
      </c>
      <c r="G1521" s="2" t="n">
        <v>7</v>
      </c>
      <c r="H1521" s="2" t="n">
        <v>5</v>
      </c>
      <c r="I1521" s="2" t="n">
        <v>4</v>
      </c>
      <c r="J1521" s="2" t="n">
        <v>66</v>
      </c>
      <c r="K1521" s="2" t="n">
        <v>88</v>
      </c>
      <c r="L1521" s="11" t="b">
        <f aca="false">TRUE()</f>
        <v>1</v>
      </c>
      <c r="M1521" s="2" t="s">
        <v>406</v>
      </c>
      <c r="N1521" s="2" t="n">
        <f aca="false">IF(E1521&gt;0,F1521/E1521,"")</f>
        <v>1.5</v>
      </c>
      <c r="O1521" s="2" t="n">
        <f aca="false">IF(AND(E1521&gt;0,L1521),J1521/E1521,"")</f>
        <v>6.6</v>
      </c>
    </row>
    <row r="1522" customFormat="false" ht="15" hidden="false" customHeight="false" outlineLevel="0" collapsed="false">
      <c r="A1522" s="2" t="n">
        <v>2025</v>
      </c>
      <c r="B1522" s="2" t="s">
        <v>77</v>
      </c>
      <c r="C1522" s="2" t="s">
        <v>414</v>
      </c>
      <c r="D1522" s="2" t="s">
        <v>29</v>
      </c>
      <c r="E1522" s="2" t="n">
        <v>10</v>
      </c>
      <c r="F1522" s="2" t="n">
        <v>32</v>
      </c>
      <c r="G1522" s="2" t="n">
        <v>23</v>
      </c>
      <c r="H1522" s="2" t="n">
        <v>8</v>
      </c>
      <c r="I1522" s="2" t="n">
        <v>5</v>
      </c>
      <c r="J1522" s="2" t="n">
        <v>167</v>
      </c>
      <c r="K1522" s="2" t="n">
        <v>209</v>
      </c>
      <c r="L1522" s="11" t="b">
        <f aca="false">TRUE()</f>
        <v>1</v>
      </c>
      <c r="M1522" s="2" t="s">
        <v>406</v>
      </c>
      <c r="N1522" s="2" t="n">
        <f aca="false">IF(E1522&gt;0,F1522/E1522,"")</f>
        <v>3.2</v>
      </c>
      <c r="O1522" s="2" t="n">
        <f aca="false">IF(AND(E1522&gt;0,L1522),J1522/E1522,"")</f>
        <v>16.7</v>
      </c>
    </row>
    <row r="1523" customFormat="false" ht="15" hidden="false" customHeight="false" outlineLevel="0" collapsed="false">
      <c r="A1523" s="2" t="n">
        <v>2025</v>
      </c>
      <c r="B1523" s="2" t="s">
        <v>310</v>
      </c>
      <c r="C1523" s="2" t="s">
        <v>420</v>
      </c>
      <c r="D1523" s="2" t="s">
        <v>117</v>
      </c>
      <c r="E1523" s="2" t="n">
        <v>5</v>
      </c>
      <c r="F1523" s="2" t="n">
        <v>0</v>
      </c>
      <c r="G1523" s="2" t="n">
        <v>0</v>
      </c>
      <c r="H1523" s="2" t="n">
        <v>0</v>
      </c>
      <c r="I1523" s="2" t="n">
        <v>1</v>
      </c>
      <c r="J1523" s="2" t="n">
        <v>19</v>
      </c>
      <c r="K1523" s="2" t="n">
        <v>21</v>
      </c>
      <c r="L1523" s="11" t="b">
        <f aca="false">TRUE()</f>
        <v>1</v>
      </c>
      <c r="M1523" s="2" t="s">
        <v>406</v>
      </c>
      <c r="N1523" s="2" t="n">
        <f aca="false">IF(E1523&gt;0,F1523/E1523,"")</f>
        <v>0</v>
      </c>
      <c r="O1523" s="2" t="n">
        <f aca="false">IF(AND(E1523&gt;0,L1523),J1523/E1523,"")</f>
        <v>3.8</v>
      </c>
    </row>
    <row r="1524" customFormat="false" ht="15" hidden="false" customHeight="false" outlineLevel="0" collapsed="false">
      <c r="A1524" s="2" t="n">
        <v>2025</v>
      </c>
      <c r="B1524" s="2" t="s">
        <v>163</v>
      </c>
      <c r="C1524" s="2" t="s">
        <v>414</v>
      </c>
      <c r="D1524" s="2" t="s">
        <v>83</v>
      </c>
      <c r="E1524" s="2" t="n">
        <v>8</v>
      </c>
      <c r="F1524" s="2" t="n">
        <v>6</v>
      </c>
      <c r="G1524" s="2" t="n">
        <v>4</v>
      </c>
      <c r="H1524" s="2" t="n">
        <v>1</v>
      </c>
      <c r="I1524" s="2" t="n">
        <v>1</v>
      </c>
      <c r="J1524" s="2" t="n">
        <v>73</v>
      </c>
      <c r="K1524" s="2" t="n">
        <v>82</v>
      </c>
      <c r="L1524" s="11" t="b">
        <f aca="false">TRUE()</f>
        <v>1</v>
      </c>
      <c r="M1524" s="2" t="s">
        <v>406</v>
      </c>
      <c r="N1524" s="2" t="n">
        <f aca="false">IF(E1524&gt;0,F1524/E1524,"")</f>
        <v>0.75</v>
      </c>
      <c r="O1524" s="2" t="n">
        <f aca="false">IF(AND(E1524&gt;0,L1524),J1524/E1524,"")</f>
        <v>9.125</v>
      </c>
    </row>
    <row r="1525" customFormat="false" ht="15" hidden="false" customHeight="false" outlineLevel="0" collapsed="false">
      <c r="A1525" s="2" t="n">
        <v>2025</v>
      </c>
      <c r="B1525" s="2" t="s">
        <v>185</v>
      </c>
      <c r="C1525" s="2" t="s">
        <v>545</v>
      </c>
      <c r="D1525" s="2" t="s">
        <v>115</v>
      </c>
      <c r="E1525" s="2" t="n">
        <v>10</v>
      </c>
      <c r="F1525" s="2" t="n">
        <v>7</v>
      </c>
      <c r="G1525" s="2" t="n">
        <v>5</v>
      </c>
      <c r="H1525" s="2" t="n">
        <v>1</v>
      </c>
      <c r="I1525" s="2" t="n">
        <v>0</v>
      </c>
      <c r="J1525" s="2" t="n">
        <v>31</v>
      </c>
      <c r="K1525" s="2" t="n">
        <v>41</v>
      </c>
      <c r="L1525" s="11" t="b">
        <f aca="false">TRUE()</f>
        <v>1</v>
      </c>
      <c r="M1525" s="2" t="s">
        <v>406</v>
      </c>
      <c r="N1525" s="2" t="n">
        <f aca="false">IF(E1525&gt;0,F1525/E1525,"")</f>
        <v>0.7</v>
      </c>
      <c r="O1525" s="2" t="n">
        <f aca="false">IF(AND(E1525&gt;0,L1525),J1525/E1525,"")</f>
        <v>3.1</v>
      </c>
    </row>
    <row r="1526" customFormat="false" ht="15" hidden="false" customHeight="false" outlineLevel="0" collapsed="false">
      <c r="A1526" s="2" t="n">
        <v>2025</v>
      </c>
      <c r="B1526" s="2" t="s">
        <v>42</v>
      </c>
      <c r="C1526" s="2" t="s">
        <v>414</v>
      </c>
      <c r="D1526" s="2" t="s">
        <v>24</v>
      </c>
      <c r="E1526" s="2" t="n">
        <v>6</v>
      </c>
      <c r="F1526" s="2" t="n">
        <v>16</v>
      </c>
      <c r="G1526" s="2" t="n">
        <v>8</v>
      </c>
      <c r="H1526" s="2" t="n">
        <v>0</v>
      </c>
      <c r="I1526" s="2" t="n">
        <v>4</v>
      </c>
      <c r="J1526" s="2" t="n">
        <v>54</v>
      </c>
      <c r="K1526" s="2" t="n">
        <v>74</v>
      </c>
      <c r="L1526" s="11" t="b">
        <f aca="false">TRUE()</f>
        <v>1</v>
      </c>
      <c r="M1526" s="2" t="s">
        <v>406</v>
      </c>
      <c r="N1526" s="2" t="n">
        <f aca="false">IF(E1526&gt;0,F1526/E1526,"")</f>
        <v>2.66666666666667</v>
      </c>
      <c r="O1526" s="2" t="n">
        <f aca="false">IF(AND(E1526&gt;0,L1526),J1526/E1526,"")</f>
        <v>9</v>
      </c>
    </row>
    <row r="1527" customFormat="false" ht="15" hidden="false" customHeight="false" outlineLevel="0" collapsed="false">
      <c r="A1527" s="2" t="n">
        <v>2025</v>
      </c>
      <c r="B1527" s="2" t="s">
        <v>192</v>
      </c>
      <c r="C1527" s="2" t="s">
        <v>545</v>
      </c>
      <c r="D1527" s="2" t="s">
        <v>83</v>
      </c>
      <c r="E1527" s="2" t="n">
        <v>10</v>
      </c>
      <c r="F1527" s="2" t="n">
        <v>5</v>
      </c>
      <c r="G1527" s="2" t="n">
        <v>5</v>
      </c>
      <c r="H1527" s="2" t="n">
        <v>2</v>
      </c>
      <c r="I1527" s="2" t="n">
        <v>3</v>
      </c>
      <c r="J1527" s="2" t="n">
        <v>87</v>
      </c>
      <c r="K1527" s="2" t="n">
        <v>94</v>
      </c>
      <c r="L1527" s="11" t="b">
        <f aca="false">TRUE()</f>
        <v>1</v>
      </c>
      <c r="M1527" s="2" t="s">
        <v>406</v>
      </c>
      <c r="N1527" s="2" t="n">
        <f aca="false">IF(E1527&gt;0,F1527/E1527,"")</f>
        <v>0.5</v>
      </c>
      <c r="O1527" s="2" t="n">
        <f aca="false">IF(AND(E1527&gt;0,L1527),J1527/E1527,"")</f>
        <v>8.7</v>
      </c>
    </row>
    <row r="1528" customFormat="false" ht="15" hidden="false" customHeight="false" outlineLevel="0" collapsed="false">
      <c r="A1528" s="2" t="n">
        <v>2025</v>
      </c>
      <c r="B1528" s="2" t="s">
        <v>130</v>
      </c>
      <c r="C1528" s="2" t="s">
        <v>518</v>
      </c>
      <c r="D1528" s="2" t="s">
        <v>117</v>
      </c>
      <c r="E1528" s="2" t="n">
        <v>10</v>
      </c>
      <c r="F1528" s="2" t="n">
        <v>5</v>
      </c>
      <c r="G1528" s="2" t="n">
        <v>4</v>
      </c>
      <c r="H1528" s="2" t="n">
        <v>1</v>
      </c>
      <c r="I1528" s="2" t="n">
        <v>0</v>
      </c>
      <c r="J1528" s="2" t="n">
        <v>82</v>
      </c>
      <c r="K1528" s="2" t="n">
        <v>93</v>
      </c>
      <c r="L1528" s="11" t="b">
        <f aca="false">TRUE()</f>
        <v>1</v>
      </c>
      <c r="M1528" s="2" t="s">
        <v>406</v>
      </c>
      <c r="N1528" s="2" t="n">
        <f aca="false">IF(E1528&gt;0,F1528/E1528,"")</f>
        <v>0.5</v>
      </c>
      <c r="O1528" s="2" t="n">
        <f aca="false">IF(AND(E1528&gt;0,L1528),J1528/E1528,"")</f>
        <v>8.2</v>
      </c>
    </row>
    <row r="1529" customFormat="false" ht="15" hidden="false" customHeight="false" outlineLevel="0" collapsed="false">
      <c r="A1529" s="2" t="n">
        <v>2025</v>
      </c>
      <c r="B1529" s="2" t="s">
        <v>209</v>
      </c>
      <c r="C1529" s="2" t="s">
        <v>405</v>
      </c>
      <c r="D1529" s="2" t="s">
        <v>115</v>
      </c>
      <c r="E1529" s="2" t="n">
        <v>3</v>
      </c>
      <c r="F1529" s="2" t="n">
        <v>2</v>
      </c>
      <c r="G1529" s="2" t="n">
        <v>0</v>
      </c>
      <c r="H1529" s="2" t="n">
        <v>0</v>
      </c>
      <c r="I1529" s="2" t="n">
        <v>0</v>
      </c>
      <c r="J1529" s="2" t="n">
        <v>7</v>
      </c>
      <c r="K1529" s="2" t="n">
        <v>11</v>
      </c>
      <c r="L1529" s="11" t="b">
        <f aca="false">TRUE()</f>
        <v>1</v>
      </c>
      <c r="M1529" s="2" t="s">
        <v>406</v>
      </c>
      <c r="N1529" s="2" t="n">
        <f aca="false">IF(E1529&gt;0,F1529/E1529,"")</f>
        <v>0.666666666666667</v>
      </c>
      <c r="O1529" s="2" t="n">
        <f aca="false">IF(AND(E1529&gt;0,L1529),J1529/E1529,"")</f>
        <v>2.33333333333333</v>
      </c>
    </row>
    <row r="1530" customFormat="false" ht="15" hidden="false" customHeight="false" outlineLevel="0" collapsed="false">
      <c r="A1530" s="2" t="n">
        <v>2025</v>
      </c>
      <c r="B1530" s="2" t="s">
        <v>114</v>
      </c>
      <c r="C1530" s="2" t="s">
        <v>420</v>
      </c>
      <c r="D1530" s="2" t="s">
        <v>115</v>
      </c>
      <c r="E1530" s="2" t="n">
        <v>10</v>
      </c>
      <c r="F1530" s="2" t="n">
        <v>4</v>
      </c>
      <c r="G1530" s="2" t="n">
        <v>1</v>
      </c>
      <c r="H1530" s="2" t="n">
        <v>1</v>
      </c>
      <c r="I1530" s="2" t="n">
        <v>0</v>
      </c>
      <c r="J1530" s="2" t="n">
        <v>102</v>
      </c>
      <c r="K1530" s="2" t="n">
        <v>111</v>
      </c>
      <c r="L1530" s="11" t="b">
        <f aca="false">TRUE()</f>
        <v>1</v>
      </c>
      <c r="M1530" s="2" t="s">
        <v>406</v>
      </c>
      <c r="N1530" s="2" t="n">
        <f aca="false">IF(E1530&gt;0,F1530/E1530,"")</f>
        <v>0.4</v>
      </c>
      <c r="O1530" s="2" t="n">
        <f aca="false">IF(AND(E1530&gt;0,L1530),J1530/E1530,"")</f>
        <v>10.2</v>
      </c>
    </row>
    <row r="1531" customFormat="false" ht="15" hidden="false" customHeight="false" outlineLevel="0" collapsed="false">
      <c r="A1531" s="2" t="n">
        <v>2025</v>
      </c>
      <c r="B1531" s="2" t="s">
        <v>647</v>
      </c>
      <c r="C1531" s="2" t="s">
        <v>543</v>
      </c>
      <c r="D1531" s="2" t="s">
        <v>409</v>
      </c>
      <c r="E1531" s="2" t="n">
        <v>2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2</v>
      </c>
      <c r="K1531" s="2" t="n">
        <v>2</v>
      </c>
      <c r="L1531" s="11" t="b">
        <f aca="false">TRUE()</f>
        <v>1</v>
      </c>
      <c r="M1531" s="2" t="s">
        <v>410</v>
      </c>
      <c r="N1531" s="2" t="n">
        <f aca="false">IF(E1531&gt;0,F1531/E1531,"")</f>
        <v>0</v>
      </c>
      <c r="O1531" s="2" t="n">
        <f aca="false">IF(AND(E1531&gt;0,L1531),J1531/E1531,"")</f>
        <v>1</v>
      </c>
    </row>
    <row r="1532" customFormat="false" ht="15" hidden="false" customHeight="false" outlineLevel="0" collapsed="false">
      <c r="A1532" s="2" t="n">
        <v>2025</v>
      </c>
      <c r="B1532" s="2" t="s">
        <v>165</v>
      </c>
      <c r="C1532" s="2" t="s">
        <v>408</v>
      </c>
      <c r="D1532" s="2" t="s">
        <v>83</v>
      </c>
      <c r="E1532" s="2" t="n">
        <v>3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22</v>
      </c>
      <c r="K1532" s="2" t="n">
        <v>25</v>
      </c>
      <c r="L1532" s="11" t="b">
        <f aca="false">TRUE()</f>
        <v>1</v>
      </c>
      <c r="M1532" s="2" t="s">
        <v>406</v>
      </c>
      <c r="N1532" s="2" t="n">
        <f aca="false">IF(E1532&gt;0,F1532/E1532,"")</f>
        <v>0</v>
      </c>
      <c r="O1532" s="2" t="n">
        <f aca="false">IF(AND(E1532&gt;0,L1532),J1532/E1532,"")</f>
        <v>7.33333333333333</v>
      </c>
    </row>
    <row r="1533" customFormat="false" ht="15" hidden="false" customHeight="false" outlineLevel="0" collapsed="false">
      <c r="A1533" s="2" t="n">
        <v>2025</v>
      </c>
      <c r="B1533" s="2" t="s">
        <v>162</v>
      </c>
      <c r="C1533" s="2" t="s">
        <v>412</v>
      </c>
      <c r="D1533" s="2" t="s">
        <v>117</v>
      </c>
      <c r="E1533" s="2" t="n">
        <v>10</v>
      </c>
      <c r="F1533" s="2" t="n">
        <v>1</v>
      </c>
      <c r="G1533" s="2" t="n">
        <v>1</v>
      </c>
      <c r="H1533" s="2" t="n">
        <v>1</v>
      </c>
      <c r="I1533" s="2" t="n">
        <v>0</v>
      </c>
      <c r="J1533" s="2" t="n">
        <v>52</v>
      </c>
      <c r="K1533" s="2" t="n">
        <v>55</v>
      </c>
      <c r="L1533" s="11" t="b">
        <f aca="false">TRUE()</f>
        <v>1</v>
      </c>
      <c r="M1533" s="2" t="s">
        <v>406</v>
      </c>
      <c r="N1533" s="2" t="n">
        <f aca="false">IF(E1533&gt;0,F1533/E1533,"")</f>
        <v>0.1</v>
      </c>
      <c r="O1533" s="2" t="n">
        <f aca="false">IF(AND(E1533&gt;0,L1533),J1533/E1533,"")</f>
        <v>5.2</v>
      </c>
    </row>
    <row r="1534" customFormat="false" ht="15" hidden="false" customHeight="false" outlineLevel="0" collapsed="false">
      <c r="A1534" s="2" t="n">
        <v>2025</v>
      </c>
      <c r="B1534" s="2" t="s">
        <v>297</v>
      </c>
      <c r="C1534" s="2" t="s">
        <v>412</v>
      </c>
      <c r="D1534" s="2" t="s">
        <v>83</v>
      </c>
      <c r="E1534" s="2" t="n">
        <v>3</v>
      </c>
      <c r="F1534" s="2" t="n">
        <v>1</v>
      </c>
      <c r="G1534" s="2" t="n">
        <v>0</v>
      </c>
      <c r="H1534" s="2" t="n">
        <v>0</v>
      </c>
      <c r="I1534" s="2" t="n">
        <v>0</v>
      </c>
      <c r="J1534" s="2" t="n">
        <v>11</v>
      </c>
      <c r="K1534" s="2" t="n">
        <v>12</v>
      </c>
      <c r="L1534" s="11" t="b">
        <f aca="false">TRUE()</f>
        <v>1</v>
      </c>
      <c r="M1534" s="2" t="s">
        <v>406</v>
      </c>
      <c r="N1534" s="2" t="n">
        <f aca="false">IF(E1534&gt;0,F1534/E1534,"")</f>
        <v>0.333333333333333</v>
      </c>
      <c r="O1534" s="2" t="n">
        <f aca="false">IF(AND(E1534&gt;0,L1534),J1534/E1534,"")</f>
        <v>3.66666666666667</v>
      </c>
    </row>
    <row r="1535" customFormat="false" ht="15" hidden="false" customHeight="false" outlineLevel="0" collapsed="false">
      <c r="A1535" s="2" t="n">
        <v>2025</v>
      </c>
      <c r="B1535" s="2" t="s">
        <v>254</v>
      </c>
      <c r="C1535" s="2" t="s">
        <v>405</v>
      </c>
      <c r="D1535" s="2" t="s">
        <v>83</v>
      </c>
      <c r="E1535" s="2" t="n">
        <v>10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65</v>
      </c>
      <c r="K1535" s="2" t="n">
        <v>68</v>
      </c>
      <c r="L1535" s="11" t="b">
        <f aca="false">TRUE()</f>
        <v>1</v>
      </c>
      <c r="M1535" s="2" t="s">
        <v>406</v>
      </c>
      <c r="N1535" s="2" t="n">
        <f aca="false">IF(E1535&gt;0,F1535/E1535,"")</f>
        <v>0</v>
      </c>
      <c r="O1535" s="2" t="n">
        <f aca="false">IF(AND(E1535&gt;0,L1535),J1535/E1535,"")</f>
        <v>6.5</v>
      </c>
    </row>
    <row r="1536" customFormat="false" ht="15" hidden="false" customHeight="false" outlineLevel="0" collapsed="false">
      <c r="A1536" s="2" t="n">
        <v>2025</v>
      </c>
      <c r="B1536" s="2" t="s">
        <v>487</v>
      </c>
      <c r="C1536" s="2" t="s">
        <v>420</v>
      </c>
      <c r="D1536" s="2" t="s">
        <v>409</v>
      </c>
      <c r="E1536" s="2" t="n">
        <v>10</v>
      </c>
      <c r="F1536" s="2" t="n">
        <v>4</v>
      </c>
      <c r="G1536" s="2" t="n">
        <v>3</v>
      </c>
      <c r="H1536" s="2" t="n">
        <v>0</v>
      </c>
      <c r="I1536" s="2" t="n">
        <v>0</v>
      </c>
      <c r="J1536" s="2" t="n">
        <v>168</v>
      </c>
      <c r="K1536" s="2" t="n">
        <v>177</v>
      </c>
      <c r="L1536" s="11" t="b">
        <f aca="false">TRUE()</f>
        <v>1</v>
      </c>
      <c r="M1536" s="2" t="s">
        <v>410</v>
      </c>
      <c r="N1536" s="2" t="n">
        <f aca="false">IF(E1536&gt;0,F1536/E1536,"")</f>
        <v>0.4</v>
      </c>
      <c r="O1536" s="2" t="n">
        <f aca="false">IF(AND(E1536&gt;0,L1536),J1536/E1536,"")</f>
        <v>16.8</v>
      </c>
    </row>
    <row r="1537" customFormat="false" ht="15" hidden="false" customHeight="false" outlineLevel="0" collapsed="false">
      <c r="A1537" s="2" t="n">
        <v>2025</v>
      </c>
      <c r="B1537" s="2" t="s">
        <v>253</v>
      </c>
      <c r="C1537" s="2" t="s">
        <v>408</v>
      </c>
      <c r="D1537" s="2" t="s">
        <v>115</v>
      </c>
      <c r="E1537" s="2" t="n">
        <v>1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1</v>
      </c>
      <c r="K1537" s="2" t="n">
        <v>1</v>
      </c>
      <c r="L1537" s="11" t="b">
        <f aca="false">TRUE()</f>
        <v>1</v>
      </c>
      <c r="M1537" s="2" t="s">
        <v>410</v>
      </c>
      <c r="N1537" s="2" t="n">
        <f aca="false">IF(E1537&gt;0,F1537/E1537,"")</f>
        <v>0</v>
      </c>
      <c r="O1537" s="2" t="n">
        <f aca="false">IF(AND(E1537&gt;0,L1537),J1537/E1537,"")</f>
        <v>1</v>
      </c>
    </row>
    <row r="1538" customFormat="false" ht="15" hidden="false" customHeight="false" outlineLevel="0" collapsed="false">
      <c r="A1538" s="2" t="n">
        <v>2025</v>
      </c>
      <c r="B1538" s="2" t="s">
        <v>350</v>
      </c>
      <c r="C1538" s="2" t="s">
        <v>545</v>
      </c>
      <c r="D1538" s="2" t="s">
        <v>24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11" t="b">
        <f aca="false">TRUE()</f>
        <v>1</v>
      </c>
      <c r="M1538" s="2" t="s">
        <v>410</v>
      </c>
      <c r="N1538" s="2" t="str">
        <f aca="false">IF(E1538&gt;0,F1538/E1538,"")</f>
        <v/>
      </c>
      <c r="O1538" s="2" t="str">
        <f aca="false">IF(AND(E1538&gt;0,L1538),J1538/E1538,"")</f>
        <v/>
      </c>
    </row>
    <row r="1539" customFormat="false" ht="15" hidden="false" customHeight="false" outlineLevel="0" collapsed="false">
      <c r="A1539" s="2" t="n">
        <v>2025</v>
      </c>
      <c r="B1539" s="2" t="s">
        <v>219</v>
      </c>
      <c r="C1539" s="2" t="s">
        <v>420</v>
      </c>
      <c r="D1539" s="2" t="s">
        <v>29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11" t="b">
        <f aca="false">TRUE()</f>
        <v>1</v>
      </c>
      <c r="M1539" s="2" t="s">
        <v>410</v>
      </c>
      <c r="N1539" s="2" t="str">
        <f aca="false">IF(E1539&gt;0,F1539/E1539,"")</f>
        <v/>
      </c>
      <c r="O1539" s="2" t="str">
        <f aca="false">IF(AND(E1539&gt;0,L1539),J1539/E1539,"")</f>
        <v/>
      </c>
    </row>
    <row r="1540" customFormat="false" ht="15" hidden="false" customHeight="false" outlineLevel="0" collapsed="false">
      <c r="A1540" s="2" t="n">
        <v>2025</v>
      </c>
      <c r="B1540" s="2" t="s">
        <v>159</v>
      </c>
      <c r="C1540" s="2" t="s">
        <v>420</v>
      </c>
      <c r="D1540" s="2" t="s">
        <v>117</v>
      </c>
      <c r="E1540" s="2" t="n">
        <v>10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65</v>
      </c>
      <c r="K1540" s="2" t="n">
        <v>68</v>
      </c>
      <c r="L1540" s="11" t="b">
        <f aca="false">TRUE()</f>
        <v>1</v>
      </c>
      <c r="M1540" s="2" t="s">
        <v>406</v>
      </c>
      <c r="N1540" s="2" t="n">
        <f aca="false">IF(E1540&gt;0,F1540/E1540,"")</f>
        <v>0</v>
      </c>
      <c r="O1540" s="2" t="n">
        <f aca="false">IF(AND(E1540&gt;0,L1540),J1540/E1540,"")</f>
        <v>6.5</v>
      </c>
    </row>
    <row r="1541" customFormat="false" ht="15" hidden="false" customHeight="false" outlineLevel="0" collapsed="false">
      <c r="A1541" s="2" t="n">
        <v>2025</v>
      </c>
      <c r="B1541" s="2" t="s">
        <v>616</v>
      </c>
      <c r="C1541" s="2" t="s">
        <v>420</v>
      </c>
      <c r="D1541" s="2" t="s">
        <v>413</v>
      </c>
      <c r="E1541" s="2" t="n">
        <v>3</v>
      </c>
      <c r="F1541" s="2" t="n">
        <v>2</v>
      </c>
      <c r="G1541" s="2" t="n">
        <v>0</v>
      </c>
      <c r="H1541" s="2" t="n">
        <v>0</v>
      </c>
      <c r="I1541" s="2" t="n">
        <v>0</v>
      </c>
      <c r="J1541" s="2" t="n">
        <v>8</v>
      </c>
      <c r="K1541" s="2" t="n">
        <v>12</v>
      </c>
      <c r="L1541" s="11" t="b">
        <f aca="false">TRUE()</f>
        <v>1</v>
      </c>
      <c r="M1541" s="2" t="s">
        <v>410</v>
      </c>
      <c r="N1541" s="2" t="n">
        <f aca="false">IF(E1541&gt;0,F1541/E1541,"")</f>
        <v>0.666666666666667</v>
      </c>
      <c r="O1541" s="2" t="n">
        <f aca="false">IF(AND(E1541&gt;0,L1541),J1541/E1541,"")</f>
        <v>2.66666666666667</v>
      </c>
    </row>
    <row r="1542" customFormat="false" ht="15" hidden="false" customHeight="false" outlineLevel="0" collapsed="false">
      <c r="A1542" s="2" t="n">
        <v>2025</v>
      </c>
      <c r="B1542" s="2" t="s">
        <v>171</v>
      </c>
      <c r="C1542" s="2" t="s">
        <v>518</v>
      </c>
      <c r="D1542" s="2" t="s">
        <v>83</v>
      </c>
      <c r="E1542" s="2" t="n">
        <v>5</v>
      </c>
      <c r="F1542" s="2" t="n">
        <v>3</v>
      </c>
      <c r="G1542" s="2" t="n">
        <v>3</v>
      </c>
      <c r="H1542" s="2" t="n">
        <v>3</v>
      </c>
      <c r="I1542" s="2" t="n">
        <v>0</v>
      </c>
      <c r="J1542" s="2" t="n">
        <v>20</v>
      </c>
      <c r="K1542" s="2" t="n">
        <v>26</v>
      </c>
      <c r="L1542" s="11" t="b">
        <f aca="false">TRUE()</f>
        <v>1</v>
      </c>
      <c r="M1542" s="2" t="s">
        <v>406</v>
      </c>
      <c r="N1542" s="2" t="n">
        <f aca="false">IF(E1542&gt;0,F1542/E1542,"")</f>
        <v>0.6</v>
      </c>
      <c r="O1542" s="2" t="n">
        <f aca="false">IF(AND(E1542&gt;0,L1542),J1542/E1542,"")</f>
        <v>4</v>
      </c>
    </row>
    <row r="1543" customFormat="false" ht="15" hidden="false" customHeight="false" outlineLevel="0" collapsed="false">
      <c r="A1543" s="2" t="n">
        <v>2025</v>
      </c>
      <c r="B1543" s="2" t="s">
        <v>180</v>
      </c>
      <c r="C1543" s="2" t="s">
        <v>518</v>
      </c>
      <c r="D1543" s="2" t="s">
        <v>29</v>
      </c>
      <c r="E1543" s="2" t="n">
        <v>3</v>
      </c>
      <c r="F1543" s="2" t="n">
        <v>6</v>
      </c>
      <c r="G1543" s="2" t="n">
        <v>5</v>
      </c>
      <c r="H1543" s="2" t="n">
        <v>2</v>
      </c>
      <c r="I1543" s="2" t="n">
        <v>0</v>
      </c>
      <c r="J1543" s="2" t="n">
        <v>22</v>
      </c>
      <c r="K1543" s="2" t="n">
        <v>30</v>
      </c>
      <c r="L1543" s="11" t="b">
        <f aca="false">TRUE()</f>
        <v>1</v>
      </c>
      <c r="M1543" s="2" t="s">
        <v>406</v>
      </c>
      <c r="N1543" s="2" t="n">
        <f aca="false">IF(E1543&gt;0,F1543/E1543,"")</f>
        <v>2</v>
      </c>
      <c r="O1543" s="2" t="n">
        <f aca="false">IF(AND(E1543&gt;0,L1543),J1543/E1543,"")</f>
        <v>7.33333333333333</v>
      </c>
    </row>
    <row r="1544" customFormat="false" ht="15" hidden="false" customHeight="false" outlineLevel="0" collapsed="false">
      <c r="A1544" s="2" t="n">
        <v>2025</v>
      </c>
      <c r="B1544" s="2" t="s">
        <v>34</v>
      </c>
      <c r="C1544" s="2" t="s">
        <v>408</v>
      </c>
      <c r="D1544" s="2" t="s">
        <v>29</v>
      </c>
      <c r="E1544" s="2" t="n">
        <v>8</v>
      </c>
      <c r="F1544" s="2" t="n">
        <v>34</v>
      </c>
      <c r="G1544" s="2" t="n">
        <v>18</v>
      </c>
      <c r="H1544" s="2" t="n">
        <v>6</v>
      </c>
      <c r="I1544" s="2" t="n">
        <v>9</v>
      </c>
      <c r="J1544" s="2" t="n">
        <v>152</v>
      </c>
      <c r="K1544" s="2" t="n">
        <v>207</v>
      </c>
      <c r="L1544" s="11" t="b">
        <f aca="false">TRUE()</f>
        <v>1</v>
      </c>
      <c r="M1544" s="2" t="s">
        <v>406</v>
      </c>
      <c r="N1544" s="2" t="n">
        <f aca="false">IF(E1544&gt;0,F1544/E1544,"")</f>
        <v>4.25</v>
      </c>
      <c r="O1544" s="2" t="n">
        <f aca="false">IF(AND(E1544&gt;0,L1544),J1544/E1544,"")</f>
        <v>19</v>
      </c>
    </row>
    <row r="1545" customFormat="false" ht="15" hidden="false" customHeight="false" outlineLevel="0" collapsed="false">
      <c r="A1545" s="2" t="n">
        <v>2025</v>
      </c>
      <c r="B1545" s="2" t="s">
        <v>648</v>
      </c>
      <c r="C1545" s="2" t="s">
        <v>405</v>
      </c>
      <c r="D1545" s="2" t="s">
        <v>29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11" t="b">
        <f aca="false">TRUE()</f>
        <v>1</v>
      </c>
      <c r="M1545" s="2" t="s">
        <v>410</v>
      </c>
      <c r="N1545" s="2" t="str">
        <f aca="false">IF(E1545&gt;0,F1545/E1545,"")</f>
        <v/>
      </c>
      <c r="O1545" s="2" t="str">
        <f aca="false">IF(AND(E1545&gt;0,L1545),J1545/E1545,"")</f>
        <v/>
      </c>
    </row>
    <row r="1546" customFormat="false" ht="15" hidden="false" customHeight="false" outlineLevel="0" collapsed="false">
      <c r="A1546" s="2" t="n">
        <v>2025</v>
      </c>
      <c r="B1546" s="2" t="s">
        <v>63</v>
      </c>
      <c r="C1546" s="2" t="s">
        <v>420</v>
      </c>
      <c r="D1546" s="2" t="s">
        <v>29</v>
      </c>
      <c r="E1546" s="2" t="n">
        <v>10</v>
      </c>
      <c r="F1546" s="2" t="n">
        <v>38</v>
      </c>
      <c r="G1546" s="2" t="n">
        <v>25</v>
      </c>
      <c r="H1546" s="2" t="n">
        <v>12</v>
      </c>
      <c r="I1546" s="2" t="n">
        <v>8</v>
      </c>
      <c r="J1546" s="2" t="n">
        <v>194</v>
      </c>
      <c r="K1546" s="2" t="n">
        <v>247</v>
      </c>
      <c r="L1546" s="11" t="b">
        <f aca="false">TRUE()</f>
        <v>1</v>
      </c>
      <c r="M1546" s="2" t="s">
        <v>406</v>
      </c>
      <c r="N1546" s="2" t="n">
        <f aca="false">IF(E1546&gt;0,F1546/E1546,"")</f>
        <v>3.8</v>
      </c>
      <c r="O1546" s="2" t="n">
        <f aca="false">IF(AND(E1546&gt;0,L1546),J1546/E1546,"")</f>
        <v>19.4</v>
      </c>
    </row>
    <row r="1547" customFormat="false" ht="15" hidden="false" customHeight="false" outlineLevel="0" collapsed="false">
      <c r="A1547" s="2" t="n">
        <v>2025</v>
      </c>
      <c r="B1547" s="2" t="s">
        <v>51</v>
      </c>
      <c r="C1547" s="2" t="s">
        <v>412</v>
      </c>
      <c r="D1547" s="2" t="s">
        <v>24</v>
      </c>
      <c r="E1547" s="2" t="n">
        <v>10</v>
      </c>
      <c r="F1547" s="2" t="n">
        <v>48</v>
      </c>
      <c r="G1547" s="2" t="n">
        <v>37</v>
      </c>
      <c r="H1547" s="2" t="n">
        <v>23</v>
      </c>
      <c r="I1547" s="2" t="n">
        <v>23</v>
      </c>
      <c r="J1547" s="2" t="n">
        <v>298</v>
      </c>
      <c r="K1547" s="2" t="n">
        <v>361</v>
      </c>
      <c r="L1547" s="11" t="b">
        <f aca="false">TRUE()</f>
        <v>1</v>
      </c>
      <c r="M1547" s="2" t="s">
        <v>406</v>
      </c>
      <c r="N1547" s="2" t="n">
        <f aca="false">IF(E1547&gt;0,F1547/E1547,"")</f>
        <v>4.8</v>
      </c>
      <c r="O1547" s="2" t="n">
        <f aca="false">IF(AND(E1547&gt;0,L1547),J1547/E1547,"")</f>
        <v>29.8</v>
      </c>
    </row>
    <row r="1548" customFormat="false" ht="15" hidden="false" customHeight="false" outlineLevel="0" collapsed="false">
      <c r="A1548" s="2" t="n">
        <v>2025</v>
      </c>
      <c r="B1548" s="2" t="s">
        <v>354</v>
      </c>
      <c r="C1548" s="2" t="s">
        <v>408</v>
      </c>
      <c r="D1548" s="2" t="s">
        <v>29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11" t="b">
        <f aca="false">TRUE()</f>
        <v>1</v>
      </c>
      <c r="M1548" s="2" t="s">
        <v>410</v>
      </c>
      <c r="N1548" s="2" t="str">
        <f aca="false">IF(E1548&gt;0,F1548/E1548,"")</f>
        <v/>
      </c>
      <c r="O1548" s="2" t="str">
        <f aca="false">IF(AND(E1548&gt;0,L1548),J1548/E1548,"")</f>
        <v/>
      </c>
    </row>
    <row r="1549" customFormat="false" ht="15" hidden="false" customHeight="false" outlineLevel="0" collapsed="false">
      <c r="A1549" s="2" t="n">
        <v>2025</v>
      </c>
      <c r="B1549" s="2" t="s">
        <v>618</v>
      </c>
      <c r="C1549" s="2" t="s">
        <v>408</v>
      </c>
      <c r="D1549" s="2" t="s">
        <v>117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11" t="b">
        <f aca="false">TRUE()</f>
        <v>1</v>
      </c>
      <c r="M1549" s="2" t="s">
        <v>410</v>
      </c>
      <c r="N1549" s="2" t="str">
        <f aca="false">IF(E1549&gt;0,F1549/E1549,"")</f>
        <v/>
      </c>
      <c r="O1549" s="2" t="str">
        <f aca="false">IF(AND(E1549&gt;0,L1549),J1549/E1549,"")</f>
        <v/>
      </c>
    </row>
    <row r="1550" customFormat="false" ht="15" hidden="false" customHeight="false" outlineLevel="0" collapsed="false">
      <c r="A1550" s="2" t="n">
        <v>2025</v>
      </c>
      <c r="B1550" s="2" t="s">
        <v>204</v>
      </c>
      <c r="C1550" s="2" t="s">
        <v>420</v>
      </c>
      <c r="D1550" s="2" t="s">
        <v>29</v>
      </c>
      <c r="E1550" s="2" t="n">
        <v>10</v>
      </c>
      <c r="F1550" s="2" t="n">
        <v>22</v>
      </c>
      <c r="G1550" s="2" t="n">
        <v>18</v>
      </c>
      <c r="H1550" s="2" t="n">
        <v>5</v>
      </c>
      <c r="I1550" s="2" t="n">
        <v>3</v>
      </c>
      <c r="J1550" s="2" t="n">
        <v>110</v>
      </c>
      <c r="K1550" s="2" t="n">
        <v>141</v>
      </c>
      <c r="L1550" s="11" t="b">
        <f aca="false">TRUE()</f>
        <v>1</v>
      </c>
      <c r="M1550" s="2" t="s">
        <v>406</v>
      </c>
      <c r="N1550" s="2" t="n">
        <f aca="false">IF(E1550&gt;0,F1550/E1550,"")</f>
        <v>2.2</v>
      </c>
      <c r="O1550" s="2" t="n">
        <f aca="false">IF(AND(E1550&gt;0,L1550),J1550/E1550,"")</f>
        <v>11</v>
      </c>
    </row>
    <row r="1551" customFormat="false" ht="15" hidden="false" customHeight="false" outlineLevel="0" collapsed="false">
      <c r="A1551" s="2" t="n">
        <v>2025</v>
      </c>
      <c r="B1551" s="2" t="s">
        <v>361</v>
      </c>
      <c r="C1551" s="2" t="s">
        <v>405</v>
      </c>
      <c r="D1551" s="2" t="s">
        <v>24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11" t="b">
        <f aca="false">TRUE()</f>
        <v>1</v>
      </c>
      <c r="M1551" s="2" t="s">
        <v>410</v>
      </c>
      <c r="N1551" s="2" t="str">
        <f aca="false">IF(E1551&gt;0,F1551/E1551,"")</f>
        <v/>
      </c>
      <c r="O1551" s="2" t="str">
        <f aca="false">IF(AND(E1551&gt;0,L1551),J1551/E1551,"")</f>
        <v/>
      </c>
    </row>
    <row r="1552" customFormat="false" ht="15" hidden="false" customHeight="false" outlineLevel="0" collapsed="false">
      <c r="A1552" s="2" t="n">
        <v>2025</v>
      </c>
      <c r="B1552" s="2" t="s">
        <v>619</v>
      </c>
      <c r="C1552" s="2" t="s">
        <v>408</v>
      </c>
      <c r="D1552" s="2" t="s">
        <v>413</v>
      </c>
      <c r="E1552" s="2" t="n">
        <v>5</v>
      </c>
      <c r="F1552" s="2" t="n">
        <v>5</v>
      </c>
      <c r="G1552" s="2" t="n">
        <v>3</v>
      </c>
      <c r="H1552" s="2" t="n">
        <v>1</v>
      </c>
      <c r="I1552" s="2" t="n">
        <v>1</v>
      </c>
      <c r="J1552" s="2" t="n">
        <v>11</v>
      </c>
      <c r="K1552" s="2" t="n">
        <v>19</v>
      </c>
      <c r="L1552" s="11" t="b">
        <f aca="false">TRUE()</f>
        <v>1</v>
      </c>
      <c r="M1552" s="2" t="s">
        <v>410</v>
      </c>
      <c r="N1552" s="2" t="n">
        <f aca="false">IF(E1552&gt;0,F1552/E1552,"")</f>
        <v>1</v>
      </c>
      <c r="O1552" s="2" t="n">
        <f aca="false">IF(AND(E1552&gt;0,L1552),J1552/E1552,"")</f>
        <v>2.2</v>
      </c>
    </row>
    <row r="1553" customFormat="false" ht="15" hidden="false" customHeight="false" outlineLevel="0" collapsed="false">
      <c r="A1553" s="2" t="n">
        <v>2025</v>
      </c>
      <c r="B1553" s="2" t="s">
        <v>241</v>
      </c>
      <c r="C1553" s="2" t="s">
        <v>622</v>
      </c>
      <c r="D1553" s="2" t="s">
        <v>83</v>
      </c>
      <c r="E1553" s="2" t="n">
        <v>6</v>
      </c>
      <c r="F1553" s="2" t="n">
        <v>1</v>
      </c>
      <c r="G1553" s="2" t="n">
        <v>0</v>
      </c>
      <c r="H1553" s="2" t="n">
        <v>0</v>
      </c>
      <c r="I1553" s="2" t="n">
        <v>0</v>
      </c>
      <c r="J1553" s="2" t="n">
        <v>27</v>
      </c>
      <c r="K1553" s="2" t="n">
        <v>30</v>
      </c>
      <c r="L1553" s="11" t="b">
        <f aca="false">TRUE()</f>
        <v>1</v>
      </c>
      <c r="M1553" s="2" t="s">
        <v>406</v>
      </c>
      <c r="N1553" s="2" t="n">
        <f aca="false">IF(E1553&gt;0,F1553/E1553,"")</f>
        <v>0.166666666666667</v>
      </c>
      <c r="O1553" s="2" t="n">
        <f aca="false">IF(AND(E1553&gt;0,L1553),J1553/E1553,"")</f>
        <v>4.5</v>
      </c>
    </row>
    <row r="1554" customFormat="false" ht="15" hidden="false" customHeight="false" outlineLevel="0" collapsed="false">
      <c r="A1554" s="2" t="n">
        <v>2025</v>
      </c>
      <c r="B1554" s="2" t="s">
        <v>70</v>
      </c>
      <c r="C1554" s="2" t="s">
        <v>414</v>
      </c>
      <c r="D1554" s="2" t="s">
        <v>29</v>
      </c>
      <c r="E1554" s="2" t="n">
        <v>10</v>
      </c>
      <c r="F1554" s="2" t="n">
        <v>46</v>
      </c>
      <c r="G1554" s="2" t="n">
        <v>24</v>
      </c>
      <c r="H1554" s="2" t="n">
        <v>10</v>
      </c>
      <c r="I1554" s="2" t="n">
        <v>1</v>
      </c>
      <c r="J1554" s="2" t="n">
        <v>198</v>
      </c>
      <c r="K1554" s="2" t="n">
        <v>258</v>
      </c>
      <c r="L1554" s="11" t="b">
        <f aca="false">TRUE()</f>
        <v>1</v>
      </c>
      <c r="M1554" s="2" t="s">
        <v>406</v>
      </c>
      <c r="N1554" s="2" t="n">
        <f aca="false">IF(E1554&gt;0,F1554/E1554,"")</f>
        <v>4.6</v>
      </c>
      <c r="O1554" s="2" t="n">
        <f aca="false">IF(AND(E1554&gt;0,L1554),J1554/E1554,"")</f>
        <v>19.8</v>
      </c>
    </row>
    <row r="1555" customFormat="false" ht="15" hidden="false" customHeight="false" outlineLevel="0" collapsed="false">
      <c r="A1555" s="2" t="n">
        <v>2025</v>
      </c>
      <c r="B1555" s="2" t="s">
        <v>98</v>
      </c>
      <c r="C1555" s="2" t="s">
        <v>420</v>
      </c>
      <c r="D1555" s="2" t="s">
        <v>29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11" t="b">
        <f aca="false">TRUE()</f>
        <v>1</v>
      </c>
      <c r="M1555" s="2" t="s">
        <v>410</v>
      </c>
      <c r="N1555" s="2" t="str">
        <f aca="false">IF(E1555&gt;0,F1555/E1555,"")</f>
        <v/>
      </c>
      <c r="O1555" s="2" t="str">
        <f aca="false">IF(AND(E1555&gt;0,L1555),J1555/E1555,"")</f>
        <v/>
      </c>
    </row>
    <row r="1556" customFormat="false" ht="15" hidden="false" customHeight="false" outlineLevel="0" collapsed="false">
      <c r="A1556" s="2" t="n">
        <v>2025</v>
      </c>
      <c r="B1556" s="2" t="s">
        <v>231</v>
      </c>
      <c r="C1556" s="2" t="s">
        <v>412</v>
      </c>
      <c r="D1556" s="2" t="s">
        <v>115</v>
      </c>
      <c r="E1556" s="2" t="n">
        <v>2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6</v>
      </c>
      <c r="K1556" s="2" t="n">
        <v>8</v>
      </c>
      <c r="L1556" s="11" t="b">
        <f aca="false">TRUE()</f>
        <v>1</v>
      </c>
      <c r="M1556" s="2" t="s">
        <v>410</v>
      </c>
      <c r="N1556" s="2" t="n">
        <f aca="false">IF(E1556&gt;0,F1556/E1556,"")</f>
        <v>0</v>
      </c>
      <c r="O1556" s="2" t="n">
        <f aca="false">IF(AND(E1556&gt;0,L1556),J1556/E1556,"")</f>
        <v>3</v>
      </c>
    </row>
    <row r="1557" customFormat="false" ht="15" hidden="false" customHeight="false" outlineLevel="0" collapsed="false">
      <c r="A1557" s="2" t="n">
        <v>2025</v>
      </c>
      <c r="B1557" s="2" t="s">
        <v>234</v>
      </c>
      <c r="C1557" s="2" t="s">
        <v>420</v>
      </c>
      <c r="D1557" s="2" t="s">
        <v>117</v>
      </c>
      <c r="E1557" s="2" t="n">
        <v>7</v>
      </c>
      <c r="F1557" s="2" t="n">
        <v>11</v>
      </c>
      <c r="G1557" s="2" t="n">
        <v>7</v>
      </c>
      <c r="H1557" s="2" t="n">
        <v>2</v>
      </c>
      <c r="I1557" s="2" t="n">
        <v>0</v>
      </c>
      <c r="J1557" s="2" t="n">
        <v>25</v>
      </c>
      <c r="K1557" s="2" t="n">
        <v>36</v>
      </c>
      <c r="L1557" s="11" t="b">
        <f aca="false">TRUE()</f>
        <v>1</v>
      </c>
      <c r="M1557" s="2" t="s">
        <v>406</v>
      </c>
      <c r="N1557" s="2" t="n">
        <f aca="false">IF(E1557&gt;0,F1557/E1557,"")</f>
        <v>1.57142857142857</v>
      </c>
      <c r="O1557" s="2" t="n">
        <f aca="false">IF(AND(E1557&gt;0,L1557),J1557/E1557,"")</f>
        <v>3.57142857142857</v>
      </c>
    </row>
    <row r="1558" customFormat="false" ht="15" hidden="false" customHeight="false" outlineLevel="0" collapsed="false">
      <c r="A1558" s="2" t="n">
        <v>2025</v>
      </c>
      <c r="B1558" s="2" t="s">
        <v>25</v>
      </c>
      <c r="C1558" s="2" t="s">
        <v>518</v>
      </c>
      <c r="D1558" s="2" t="s">
        <v>24</v>
      </c>
      <c r="E1558" s="2" t="n">
        <v>10</v>
      </c>
      <c r="F1558" s="2" t="n">
        <v>65</v>
      </c>
      <c r="G1558" s="2" t="n">
        <v>50</v>
      </c>
      <c r="H1558" s="2" t="n">
        <v>18</v>
      </c>
      <c r="I1558" s="2" t="n">
        <v>23</v>
      </c>
      <c r="J1558" s="2" t="n">
        <v>235</v>
      </c>
      <c r="K1558" s="2" t="n">
        <v>325</v>
      </c>
      <c r="L1558" s="11" t="b">
        <f aca="false">TRUE()</f>
        <v>1</v>
      </c>
      <c r="M1558" s="2" t="s">
        <v>406</v>
      </c>
      <c r="N1558" s="2" t="n">
        <f aca="false">IF(E1558&gt;0,F1558/E1558,"")</f>
        <v>6.5</v>
      </c>
      <c r="O1558" s="2" t="n">
        <f aca="false">IF(AND(E1558&gt;0,L1558),J1558/E1558,"")</f>
        <v>23.5</v>
      </c>
    </row>
    <row r="1559" customFormat="false" ht="15" hidden="false" customHeight="false" outlineLevel="0" collapsed="false">
      <c r="A1559" s="2" t="n">
        <v>2025</v>
      </c>
      <c r="B1559" s="2" t="s">
        <v>206</v>
      </c>
      <c r="C1559" s="2" t="s">
        <v>414</v>
      </c>
      <c r="D1559" s="2" t="s">
        <v>115</v>
      </c>
      <c r="E1559" s="2" t="n">
        <v>10</v>
      </c>
      <c r="F1559" s="2" t="n">
        <v>1</v>
      </c>
      <c r="G1559" s="2" t="n">
        <v>0</v>
      </c>
      <c r="H1559" s="2" t="n">
        <v>0</v>
      </c>
      <c r="I1559" s="2" t="n">
        <v>1</v>
      </c>
      <c r="J1559" s="2" t="n">
        <v>49</v>
      </c>
      <c r="K1559" s="2" t="n">
        <v>55</v>
      </c>
      <c r="L1559" s="11" t="b">
        <f aca="false">TRUE()</f>
        <v>1</v>
      </c>
      <c r="M1559" s="2" t="s">
        <v>406</v>
      </c>
      <c r="N1559" s="2" t="n">
        <f aca="false">IF(E1559&gt;0,F1559/E1559,"")</f>
        <v>0.1</v>
      </c>
      <c r="O1559" s="2" t="n">
        <f aca="false">IF(AND(E1559&gt;0,L1559),J1559/E1559,"")</f>
        <v>4.9</v>
      </c>
    </row>
    <row r="1560" customFormat="false" ht="15" hidden="false" customHeight="false" outlineLevel="0" collapsed="false">
      <c r="A1560" s="2" t="n">
        <v>2025</v>
      </c>
      <c r="B1560" s="2" t="s">
        <v>632</v>
      </c>
      <c r="C1560" s="2" t="s">
        <v>518</v>
      </c>
      <c r="D1560" s="2" t="s">
        <v>413</v>
      </c>
      <c r="E1560" s="2" t="n">
        <v>10</v>
      </c>
      <c r="F1560" s="2" t="n">
        <v>12</v>
      </c>
      <c r="G1560" s="2" t="n">
        <v>4</v>
      </c>
      <c r="H1560" s="2" t="n">
        <v>2</v>
      </c>
      <c r="I1560" s="2" t="n">
        <v>0</v>
      </c>
      <c r="J1560" s="2" t="n">
        <v>55</v>
      </c>
      <c r="K1560" s="2" t="n">
        <v>74</v>
      </c>
      <c r="L1560" s="11" t="b">
        <f aca="false">TRUE()</f>
        <v>1</v>
      </c>
      <c r="M1560" s="2" t="s">
        <v>410</v>
      </c>
      <c r="N1560" s="2" t="n">
        <f aca="false">IF(E1560&gt;0,F1560/E1560,"")</f>
        <v>1.2</v>
      </c>
      <c r="O1560" s="2" t="n">
        <f aca="false">IF(AND(E1560&gt;0,L1560),J1560/E1560,"")</f>
        <v>5.5</v>
      </c>
    </row>
    <row r="1561" customFormat="false" ht="15" hidden="false" customHeight="false" outlineLevel="0" collapsed="false">
      <c r="A1561" s="2" t="n">
        <v>2025</v>
      </c>
      <c r="B1561" s="2" t="s">
        <v>120</v>
      </c>
      <c r="C1561" s="2" t="s">
        <v>412</v>
      </c>
      <c r="D1561" s="2" t="s">
        <v>29</v>
      </c>
      <c r="E1561" s="2" t="n">
        <v>10</v>
      </c>
      <c r="F1561" s="2" t="n">
        <v>33</v>
      </c>
      <c r="G1561" s="2" t="n">
        <v>20</v>
      </c>
      <c r="H1561" s="2" t="n">
        <v>9</v>
      </c>
      <c r="I1561" s="2" t="n">
        <v>0</v>
      </c>
      <c r="J1561" s="2" t="n">
        <v>67</v>
      </c>
      <c r="K1561" s="2" t="n">
        <v>116</v>
      </c>
      <c r="L1561" s="11" t="b">
        <f aca="false">TRUE()</f>
        <v>1</v>
      </c>
      <c r="M1561" s="2" t="s">
        <v>406</v>
      </c>
      <c r="N1561" s="2" t="n">
        <f aca="false">IF(E1561&gt;0,F1561/E1561,"")</f>
        <v>3.3</v>
      </c>
      <c r="O1561" s="2" t="n">
        <f aca="false">IF(AND(E1561&gt;0,L1561),J1561/E1561,"")</f>
        <v>6.7</v>
      </c>
    </row>
    <row r="1562" customFormat="false" ht="15" hidden="false" customHeight="false" outlineLevel="0" collapsed="false">
      <c r="A1562" s="2" t="n">
        <v>2025</v>
      </c>
      <c r="B1562" s="2" t="s">
        <v>380</v>
      </c>
      <c r="C1562" s="2" t="s">
        <v>420</v>
      </c>
      <c r="D1562" s="2" t="s">
        <v>117</v>
      </c>
      <c r="E1562" s="2" t="n">
        <v>0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11" t="b">
        <f aca="false">TRUE()</f>
        <v>1</v>
      </c>
      <c r="M1562" s="2" t="s">
        <v>410</v>
      </c>
      <c r="N1562" s="2" t="str">
        <f aca="false">IF(E1562&gt;0,F1562/E1562,"")</f>
        <v/>
      </c>
      <c r="O1562" s="2" t="str">
        <f aca="false">IF(AND(E1562&gt;0,L1562),J1562/E1562,"")</f>
        <v/>
      </c>
    </row>
    <row r="1563" customFormat="false" ht="15" hidden="false" customHeight="false" outlineLevel="0" collapsed="false">
      <c r="A1563" s="2" t="n">
        <v>2025</v>
      </c>
      <c r="B1563" s="2" t="s">
        <v>166</v>
      </c>
      <c r="C1563" s="2" t="s">
        <v>518</v>
      </c>
      <c r="D1563" s="2" t="s">
        <v>24</v>
      </c>
      <c r="E1563" s="2" t="n">
        <v>9</v>
      </c>
      <c r="F1563" s="2" t="n">
        <v>33</v>
      </c>
      <c r="G1563" s="2" t="n">
        <v>25</v>
      </c>
      <c r="H1563" s="2" t="n">
        <v>11</v>
      </c>
      <c r="I1563" s="2" t="n">
        <v>3</v>
      </c>
      <c r="J1563" s="2" t="n">
        <v>45</v>
      </c>
      <c r="K1563" s="2" t="n">
        <v>87</v>
      </c>
      <c r="L1563" s="11" t="b">
        <f aca="false">TRUE()</f>
        <v>1</v>
      </c>
      <c r="M1563" s="2" t="s">
        <v>406</v>
      </c>
      <c r="N1563" s="2" t="n">
        <f aca="false">IF(E1563&gt;0,F1563/E1563,"")</f>
        <v>3.66666666666667</v>
      </c>
      <c r="O1563" s="2" t="n">
        <f aca="false">IF(AND(E1563&gt;0,L1563),J1563/E1563,"")</f>
        <v>5</v>
      </c>
    </row>
    <row r="1564" customFormat="false" ht="15" hidden="false" customHeight="false" outlineLevel="0" collapsed="false">
      <c r="A1564" s="2" t="n">
        <v>2025</v>
      </c>
      <c r="B1564" s="2" t="s">
        <v>31</v>
      </c>
      <c r="C1564" s="2" t="s">
        <v>412</v>
      </c>
      <c r="D1564" s="2" t="s">
        <v>24</v>
      </c>
      <c r="E1564" s="2" t="n">
        <v>10</v>
      </c>
      <c r="F1564" s="2" t="n">
        <v>69</v>
      </c>
      <c r="G1564" s="2" t="n">
        <v>42</v>
      </c>
      <c r="H1564" s="2" t="n">
        <v>17</v>
      </c>
      <c r="I1564" s="2" t="n">
        <v>23</v>
      </c>
      <c r="J1564" s="2" t="n">
        <v>284</v>
      </c>
      <c r="K1564" s="2" t="n">
        <v>376</v>
      </c>
      <c r="L1564" s="11" t="b">
        <f aca="false">TRUE()</f>
        <v>1</v>
      </c>
      <c r="M1564" s="2" t="s">
        <v>406</v>
      </c>
      <c r="N1564" s="2" t="n">
        <f aca="false">IF(E1564&gt;0,F1564/E1564,"")</f>
        <v>6.9</v>
      </c>
      <c r="O1564" s="2" t="n">
        <f aca="false">IF(AND(E1564&gt;0,L1564),J1564/E1564,"")</f>
        <v>28.4</v>
      </c>
    </row>
    <row r="1565" customFormat="false" ht="15" hidden="false" customHeight="false" outlineLevel="0" collapsed="false">
      <c r="A1565" s="2" t="n">
        <v>2025</v>
      </c>
      <c r="B1565" s="2" t="s">
        <v>90</v>
      </c>
      <c r="C1565" s="2" t="s">
        <v>622</v>
      </c>
      <c r="D1565" s="2" t="s">
        <v>83</v>
      </c>
      <c r="E1565" s="2" t="n">
        <v>10</v>
      </c>
      <c r="F1565" s="2" t="n">
        <v>15</v>
      </c>
      <c r="G1565" s="2" t="n">
        <v>10</v>
      </c>
      <c r="H1565" s="2" t="n">
        <v>5</v>
      </c>
      <c r="I1565" s="2" t="n">
        <v>2</v>
      </c>
      <c r="J1565" s="2" t="n">
        <v>119</v>
      </c>
      <c r="K1565" s="2" t="n">
        <v>142</v>
      </c>
      <c r="L1565" s="11" t="b">
        <f aca="false">TRUE()</f>
        <v>1</v>
      </c>
      <c r="M1565" s="2" t="s">
        <v>406</v>
      </c>
      <c r="N1565" s="2" t="n">
        <f aca="false">IF(E1565&gt;0,F1565/E1565,"")</f>
        <v>1.5</v>
      </c>
      <c r="O1565" s="2" t="n">
        <f aca="false">IF(AND(E1565&gt;0,L1565),J1565/E1565,"")</f>
        <v>11.9</v>
      </c>
    </row>
    <row r="1566" customFormat="false" ht="15" hidden="false" customHeight="false" outlineLevel="0" collapsed="false">
      <c r="A1566" s="2" t="n">
        <v>2025</v>
      </c>
      <c r="B1566" s="2" t="s">
        <v>105</v>
      </c>
      <c r="C1566" s="2" t="s">
        <v>405</v>
      </c>
      <c r="D1566" s="2" t="s">
        <v>83</v>
      </c>
      <c r="E1566" s="2" t="n">
        <v>10</v>
      </c>
      <c r="F1566" s="2" t="n">
        <v>13</v>
      </c>
      <c r="G1566" s="2" t="n">
        <v>4</v>
      </c>
      <c r="H1566" s="2" t="n">
        <v>2</v>
      </c>
      <c r="I1566" s="2" t="n">
        <v>2</v>
      </c>
      <c r="J1566" s="2" t="n">
        <v>111</v>
      </c>
      <c r="K1566" s="2" t="n">
        <v>127</v>
      </c>
      <c r="L1566" s="11" t="b">
        <f aca="false">TRUE()</f>
        <v>1</v>
      </c>
      <c r="M1566" s="2" t="s">
        <v>406</v>
      </c>
      <c r="N1566" s="2" t="n">
        <f aca="false">IF(E1566&gt;0,F1566/E1566,"")</f>
        <v>1.3</v>
      </c>
      <c r="O1566" s="2" t="n">
        <f aca="false">IF(AND(E1566&gt;0,L1566),J1566/E1566,"")</f>
        <v>11.1</v>
      </c>
    </row>
    <row r="1567" customFormat="false" ht="15" hidden="false" customHeight="false" outlineLevel="0" collapsed="false">
      <c r="A1567" s="2" t="n">
        <v>2025</v>
      </c>
      <c r="B1567" s="2" t="s">
        <v>207</v>
      </c>
      <c r="C1567" s="2" t="s">
        <v>405</v>
      </c>
      <c r="D1567" s="2" t="s">
        <v>29</v>
      </c>
      <c r="E1567" s="2" t="n">
        <v>0</v>
      </c>
      <c r="F1567" s="2" t="n">
        <v>0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11" t="b">
        <f aca="false">TRUE()</f>
        <v>1</v>
      </c>
      <c r="M1567" s="2" t="s">
        <v>410</v>
      </c>
      <c r="N1567" s="2" t="str">
        <f aca="false">IF(E1567&gt;0,F1567/E1567,"")</f>
        <v/>
      </c>
      <c r="O1567" s="2" t="str">
        <f aca="false">IF(AND(E1567&gt;0,L1567),J1567/E1567,"")</f>
        <v/>
      </c>
    </row>
    <row r="1568" customFormat="false" ht="15" hidden="false" customHeight="false" outlineLevel="0" collapsed="false">
      <c r="A1568" s="2" t="n">
        <v>2025</v>
      </c>
      <c r="B1568" s="2" t="s">
        <v>111</v>
      </c>
      <c r="C1568" s="2" t="s">
        <v>545</v>
      </c>
      <c r="D1568" s="2" t="s">
        <v>83</v>
      </c>
      <c r="E1568" s="2" t="n">
        <v>10</v>
      </c>
      <c r="F1568" s="2" t="n">
        <v>15</v>
      </c>
      <c r="G1568" s="2" t="n">
        <v>10</v>
      </c>
      <c r="H1568" s="2" t="n">
        <v>6</v>
      </c>
      <c r="I1568" s="2" t="n">
        <v>0</v>
      </c>
      <c r="J1568" s="2" t="n">
        <v>70</v>
      </c>
      <c r="K1568" s="2" t="n">
        <v>88</v>
      </c>
      <c r="L1568" s="11" t="b">
        <f aca="false">TRUE()</f>
        <v>1</v>
      </c>
      <c r="M1568" s="2" t="s">
        <v>406</v>
      </c>
      <c r="N1568" s="2" t="n">
        <f aca="false">IF(E1568&gt;0,F1568/E1568,"")</f>
        <v>1.5</v>
      </c>
      <c r="O1568" s="2" t="n">
        <f aca="false">IF(AND(E1568&gt;0,L1568),J1568/E1568,"")</f>
        <v>7</v>
      </c>
    </row>
    <row r="1569" customFormat="false" ht="15" hidden="false" customHeight="false" outlineLevel="0" collapsed="false">
      <c r="A1569" s="2" t="n">
        <v>2025</v>
      </c>
      <c r="B1569" s="2" t="s">
        <v>87</v>
      </c>
      <c r="C1569" s="2" t="s">
        <v>412</v>
      </c>
      <c r="D1569" s="2" t="s">
        <v>29</v>
      </c>
      <c r="E1569" s="2" t="n">
        <v>10</v>
      </c>
      <c r="F1569" s="2" t="n">
        <v>52</v>
      </c>
      <c r="G1569" s="2" t="n">
        <v>29</v>
      </c>
      <c r="H1569" s="2" t="n">
        <v>12</v>
      </c>
      <c r="I1569" s="2" t="n">
        <v>8</v>
      </c>
      <c r="J1569" s="2" t="n">
        <v>124</v>
      </c>
      <c r="K1569" s="2" t="n">
        <v>189</v>
      </c>
      <c r="L1569" s="11" t="b">
        <f aca="false">TRUE()</f>
        <v>1</v>
      </c>
      <c r="M1569" s="2" t="s">
        <v>406</v>
      </c>
      <c r="N1569" s="2" t="n">
        <f aca="false">IF(E1569&gt;0,F1569/E1569,"")</f>
        <v>5.2</v>
      </c>
      <c r="O1569" s="2" t="n">
        <f aca="false">IF(AND(E1569&gt;0,L1569),J1569/E1569,"")</f>
        <v>12.4</v>
      </c>
    </row>
    <row r="1570" customFormat="false" ht="15" hidden="false" customHeight="false" outlineLevel="0" collapsed="false">
      <c r="A1570" s="2" t="n">
        <v>2025</v>
      </c>
      <c r="B1570" s="2" t="s">
        <v>603</v>
      </c>
      <c r="C1570" s="2" t="s">
        <v>545</v>
      </c>
      <c r="D1570" s="2" t="s">
        <v>413</v>
      </c>
      <c r="E1570" s="2" t="n">
        <v>10</v>
      </c>
      <c r="F1570" s="2" t="n">
        <v>13</v>
      </c>
      <c r="G1570" s="2" t="n">
        <v>7</v>
      </c>
      <c r="H1570" s="2" t="n">
        <v>4</v>
      </c>
      <c r="I1570" s="2" t="n">
        <v>0</v>
      </c>
      <c r="J1570" s="2" t="n">
        <v>26</v>
      </c>
      <c r="K1570" s="2" t="n">
        <v>44</v>
      </c>
      <c r="L1570" s="11" t="b">
        <f aca="false">TRUE()</f>
        <v>1</v>
      </c>
      <c r="M1570" s="2" t="s">
        <v>410</v>
      </c>
      <c r="N1570" s="2" t="n">
        <f aca="false">IF(E1570&gt;0,F1570/E1570,"")</f>
        <v>1.3</v>
      </c>
      <c r="O1570" s="2" t="n">
        <f aca="false">IF(AND(E1570&gt;0,L1570),J1570/E1570,"")</f>
        <v>2.6</v>
      </c>
    </row>
    <row r="1571" customFormat="false" ht="15" hidden="false" customHeight="false" outlineLevel="0" collapsed="false">
      <c r="A1571" s="2" t="n">
        <v>2025</v>
      </c>
      <c r="B1571" s="2" t="s">
        <v>223</v>
      </c>
      <c r="C1571" s="2" t="s">
        <v>622</v>
      </c>
      <c r="D1571" s="2" t="s">
        <v>29</v>
      </c>
      <c r="E1571" s="2" t="n">
        <v>6</v>
      </c>
      <c r="F1571" s="2" t="n">
        <v>14</v>
      </c>
      <c r="G1571" s="2" t="n">
        <v>8</v>
      </c>
      <c r="H1571" s="2" t="n">
        <v>0</v>
      </c>
      <c r="I1571" s="2" t="n">
        <v>2</v>
      </c>
      <c r="J1571" s="2" t="n">
        <v>41</v>
      </c>
      <c r="K1571" s="2" t="n">
        <v>60</v>
      </c>
      <c r="L1571" s="11" t="b">
        <f aca="false">TRUE()</f>
        <v>1</v>
      </c>
      <c r="M1571" s="2" t="s">
        <v>406</v>
      </c>
      <c r="N1571" s="2" t="n">
        <f aca="false">IF(E1571&gt;0,F1571/E1571,"")</f>
        <v>2.33333333333333</v>
      </c>
      <c r="O1571" s="2" t="n">
        <f aca="false">IF(AND(E1571&gt;0,L1571),J1571/E1571,"")</f>
        <v>6.83333333333333</v>
      </c>
    </row>
    <row r="1572" customFormat="false" ht="15" hidden="false" customHeight="false" outlineLevel="0" collapsed="false">
      <c r="A1572" s="2" t="n">
        <v>2025</v>
      </c>
      <c r="B1572" s="2" t="s">
        <v>176</v>
      </c>
      <c r="C1572" s="2" t="s">
        <v>545</v>
      </c>
      <c r="D1572" s="2" t="s">
        <v>29</v>
      </c>
      <c r="E1572" s="2" t="n">
        <v>3</v>
      </c>
      <c r="F1572" s="2" t="n">
        <v>10</v>
      </c>
      <c r="G1572" s="2" t="n">
        <v>5</v>
      </c>
      <c r="H1572" s="2" t="n">
        <v>1</v>
      </c>
      <c r="I1572" s="2" t="n">
        <v>3</v>
      </c>
      <c r="J1572" s="2" t="n">
        <v>38</v>
      </c>
      <c r="K1572" s="2" t="n">
        <v>52</v>
      </c>
      <c r="L1572" s="11" t="b">
        <f aca="false">TRUE()</f>
        <v>1</v>
      </c>
      <c r="M1572" s="2" t="s">
        <v>406</v>
      </c>
      <c r="N1572" s="2" t="n">
        <f aca="false">IF(E1572&gt;0,F1572/E1572,"")</f>
        <v>3.33333333333333</v>
      </c>
      <c r="O1572" s="2" t="n">
        <f aca="false">IF(AND(E1572&gt;0,L1572),J1572/E1572,"")</f>
        <v>12.6666666666667</v>
      </c>
    </row>
    <row r="1573" customFormat="false" ht="15" hidden="false" customHeight="false" outlineLevel="0" collapsed="false">
      <c r="A1573" s="2" t="n">
        <v>2025</v>
      </c>
      <c r="B1573" s="2" t="s">
        <v>307</v>
      </c>
      <c r="C1573" s="2" t="s">
        <v>420</v>
      </c>
      <c r="D1573" s="2" t="s">
        <v>115</v>
      </c>
      <c r="E1573" s="2" t="n">
        <v>10</v>
      </c>
      <c r="F1573" s="2" t="n">
        <v>3</v>
      </c>
      <c r="G1573" s="2" t="n">
        <v>1</v>
      </c>
      <c r="H1573" s="2" t="n">
        <v>0</v>
      </c>
      <c r="I1573" s="2" t="n">
        <v>0</v>
      </c>
      <c r="J1573" s="2" t="n">
        <v>43</v>
      </c>
      <c r="K1573" s="2" t="n">
        <v>51</v>
      </c>
      <c r="L1573" s="11" t="b">
        <f aca="false">TRUE()</f>
        <v>1</v>
      </c>
      <c r="M1573" s="2" t="s">
        <v>406</v>
      </c>
      <c r="N1573" s="2" t="n">
        <f aca="false">IF(E1573&gt;0,F1573/E1573,"")</f>
        <v>0.3</v>
      </c>
      <c r="O1573" s="2" t="n">
        <f aca="false">IF(AND(E1573&gt;0,L1573),J1573/E1573,"")</f>
        <v>4.3</v>
      </c>
    </row>
    <row r="1574" customFormat="false" ht="15" hidden="false" customHeight="false" outlineLevel="0" collapsed="false">
      <c r="A1574" s="2" t="n">
        <v>2025</v>
      </c>
      <c r="B1574" s="2" t="s">
        <v>649</v>
      </c>
      <c r="C1574" s="2" t="s">
        <v>405</v>
      </c>
      <c r="D1574" s="2" t="s">
        <v>409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11" t="b">
        <f aca="false">TRUE()</f>
        <v>1</v>
      </c>
      <c r="M1574" s="2" t="s">
        <v>410</v>
      </c>
      <c r="N1574" s="2" t="str">
        <f aca="false">IF(E1574&gt;0,F1574/E1574,"")</f>
        <v/>
      </c>
      <c r="O1574" s="2" t="str">
        <f aca="false">IF(AND(E1574&gt;0,L1574),J1574/E1574,"")</f>
        <v/>
      </c>
    </row>
    <row r="1575" customFormat="false" ht="15" hidden="false" customHeight="false" outlineLevel="0" collapsed="false">
      <c r="A1575" s="2" t="n">
        <v>2025</v>
      </c>
      <c r="B1575" s="2" t="s">
        <v>57</v>
      </c>
      <c r="C1575" s="2" t="s">
        <v>518</v>
      </c>
      <c r="D1575" s="2" t="s">
        <v>24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11" t="b">
        <f aca="false">TRUE()</f>
        <v>1</v>
      </c>
      <c r="M1575" s="2" t="s">
        <v>410</v>
      </c>
      <c r="N1575" s="2" t="str">
        <f aca="false">IF(E1575&gt;0,F1575/E1575,"")</f>
        <v/>
      </c>
      <c r="O1575" s="2" t="str">
        <f aca="false">IF(AND(E1575&gt;0,L1575),J1575/E1575,"")</f>
        <v/>
      </c>
    </row>
    <row r="1576" customFormat="false" ht="15" hidden="false" customHeight="false" outlineLevel="0" collapsed="false">
      <c r="A1576" s="2" t="n">
        <v>2025</v>
      </c>
      <c r="B1576" s="2" t="s">
        <v>539</v>
      </c>
      <c r="C1576" s="2" t="s">
        <v>518</v>
      </c>
      <c r="D1576" s="2" t="s">
        <v>409</v>
      </c>
      <c r="E1576" s="2" t="n">
        <v>5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58</v>
      </c>
      <c r="K1576" s="2" t="n">
        <v>58</v>
      </c>
      <c r="L1576" s="11" t="b">
        <f aca="false">TRUE()</f>
        <v>1</v>
      </c>
      <c r="M1576" s="2" t="s">
        <v>410</v>
      </c>
      <c r="N1576" s="2" t="n">
        <f aca="false">IF(E1576&gt;0,F1576/E1576,"")</f>
        <v>0</v>
      </c>
      <c r="O1576" s="2" t="n">
        <f aca="false">IF(AND(E1576&gt;0,L1576),J1576/E1576,"")</f>
        <v>11.6</v>
      </c>
    </row>
    <row r="1577" customFormat="false" ht="15" hidden="false" customHeight="false" outlineLevel="0" collapsed="false">
      <c r="A1577" s="2" t="n">
        <v>2025</v>
      </c>
      <c r="B1577" s="2" t="s">
        <v>584</v>
      </c>
      <c r="C1577" s="2" t="s">
        <v>408</v>
      </c>
      <c r="D1577" s="2" t="s">
        <v>409</v>
      </c>
      <c r="E1577" s="2" t="n">
        <v>1</v>
      </c>
      <c r="F1577" s="2" t="n">
        <v>0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11" t="b">
        <f aca="false">TRUE()</f>
        <v>1</v>
      </c>
      <c r="M1577" s="2" t="s">
        <v>410</v>
      </c>
      <c r="N1577" s="2" t="n">
        <f aca="false">IF(E1577&gt;0,F1577/E1577,"")</f>
        <v>0</v>
      </c>
      <c r="O1577" s="2" t="n">
        <f aca="false">IF(AND(E1577&gt;0,L1577),J1577/E1577,"")</f>
        <v>0</v>
      </c>
    </row>
    <row r="1578" customFormat="false" ht="15" hidden="false" customHeight="false" outlineLevel="0" collapsed="false">
      <c r="A1578" s="2" t="n">
        <v>2025</v>
      </c>
      <c r="B1578" s="2" t="s">
        <v>233</v>
      </c>
      <c r="C1578" s="2" t="s">
        <v>518</v>
      </c>
      <c r="D1578" s="2" t="s">
        <v>115</v>
      </c>
      <c r="E1578" s="2" t="n">
        <v>10</v>
      </c>
      <c r="F1578" s="2" t="n">
        <v>14</v>
      </c>
      <c r="G1578" s="2" t="n">
        <v>7</v>
      </c>
      <c r="H1578" s="2" t="n">
        <v>3</v>
      </c>
      <c r="I1578" s="2" t="n">
        <v>2</v>
      </c>
      <c r="J1578" s="2" t="n">
        <v>56</v>
      </c>
      <c r="K1578" s="2" t="n">
        <v>76</v>
      </c>
      <c r="L1578" s="11" t="b">
        <f aca="false">TRUE()</f>
        <v>1</v>
      </c>
      <c r="M1578" s="2" t="s">
        <v>406</v>
      </c>
      <c r="N1578" s="2" t="n">
        <f aca="false">IF(E1578&gt;0,F1578/E1578,"")</f>
        <v>1.4</v>
      </c>
      <c r="O1578" s="2" t="n">
        <f aca="false">IF(AND(E1578&gt;0,L1578),J1578/E1578,"")</f>
        <v>5.6</v>
      </c>
    </row>
    <row r="1579" customFormat="false" ht="15" hidden="false" customHeight="false" outlineLevel="0" collapsed="false">
      <c r="A1579" s="2" t="n">
        <v>2025</v>
      </c>
      <c r="B1579" s="2" t="s">
        <v>282</v>
      </c>
      <c r="C1579" s="2" t="s">
        <v>622</v>
      </c>
      <c r="D1579" s="2" t="s">
        <v>117</v>
      </c>
      <c r="E1579" s="2" t="n">
        <v>2</v>
      </c>
      <c r="F1579" s="2" t="n">
        <v>0</v>
      </c>
      <c r="G1579" s="2" t="n">
        <v>0</v>
      </c>
      <c r="H1579" s="2" t="n">
        <v>0</v>
      </c>
      <c r="I1579" s="2" t="n">
        <v>0</v>
      </c>
      <c r="J1579" s="2" t="n">
        <v>1</v>
      </c>
      <c r="K1579" s="2" t="n">
        <v>1</v>
      </c>
      <c r="L1579" s="11" t="b">
        <f aca="false">TRUE()</f>
        <v>1</v>
      </c>
      <c r="M1579" s="2" t="s">
        <v>410</v>
      </c>
      <c r="N1579" s="2" t="n">
        <f aca="false">IF(E1579&gt;0,F1579/E1579,"")</f>
        <v>0</v>
      </c>
      <c r="O1579" s="2" t="n">
        <f aca="false">IF(AND(E1579&gt;0,L1579),J1579/E1579,"")</f>
        <v>0.5</v>
      </c>
    </row>
    <row r="1580" customFormat="false" ht="15" hidden="false" customHeight="false" outlineLevel="0" collapsed="false">
      <c r="A1580" s="2" t="n">
        <v>2025</v>
      </c>
      <c r="B1580" s="2" t="s">
        <v>124</v>
      </c>
      <c r="C1580" s="2" t="s">
        <v>518</v>
      </c>
      <c r="D1580" s="2" t="s">
        <v>83</v>
      </c>
      <c r="E1580" s="2" t="n">
        <v>9</v>
      </c>
      <c r="F1580" s="2" t="n">
        <v>6</v>
      </c>
      <c r="G1580" s="2" t="n">
        <v>4</v>
      </c>
      <c r="H1580" s="2" t="n">
        <v>1</v>
      </c>
      <c r="I1580" s="2" t="n">
        <v>0</v>
      </c>
      <c r="J1580" s="2" t="n">
        <v>54</v>
      </c>
      <c r="K1580" s="2" t="n">
        <v>62</v>
      </c>
      <c r="L1580" s="11" t="b">
        <f aca="false">TRUE()</f>
        <v>1</v>
      </c>
      <c r="M1580" s="2" t="s">
        <v>406</v>
      </c>
      <c r="N1580" s="2" t="n">
        <f aca="false">IF(E1580&gt;0,F1580/E1580,"")</f>
        <v>0.666666666666667</v>
      </c>
      <c r="O1580" s="2" t="n">
        <f aca="false">IF(AND(E1580&gt;0,L1580),J1580/E1580,"")</f>
        <v>6</v>
      </c>
    </row>
    <row r="1581" customFormat="false" ht="15" hidden="false" customHeight="false" outlineLevel="0" collapsed="false">
      <c r="A1581" s="2" t="n">
        <v>2025</v>
      </c>
      <c r="B1581" s="2" t="s">
        <v>650</v>
      </c>
      <c r="C1581" s="2" t="s">
        <v>405</v>
      </c>
      <c r="D1581" s="2" t="s">
        <v>83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11" t="b">
        <f aca="false">TRUE()</f>
        <v>1</v>
      </c>
      <c r="M1581" s="2" t="s">
        <v>410</v>
      </c>
      <c r="N1581" s="2" t="str">
        <f aca="false">IF(E1581&gt;0,F1581/E1581,"")</f>
        <v/>
      </c>
      <c r="O1581" s="2" t="str">
        <f aca="false">IF(AND(E1581&gt;0,L1581),J1581/E1581,"")</f>
        <v/>
      </c>
    </row>
    <row r="1582" customFormat="false" ht="15" hidden="false" customHeight="false" outlineLevel="0" collapsed="false">
      <c r="A1582" s="2" t="n">
        <v>2025</v>
      </c>
      <c r="B1582" s="2" t="s">
        <v>633</v>
      </c>
      <c r="C1582" s="2" t="s">
        <v>622</v>
      </c>
      <c r="D1582" s="2" t="s">
        <v>413</v>
      </c>
      <c r="E1582" s="2" t="n">
        <v>10</v>
      </c>
      <c r="F1582" s="2" t="n">
        <v>20</v>
      </c>
      <c r="G1582" s="2" t="n">
        <v>10</v>
      </c>
      <c r="H1582" s="2" t="n">
        <v>3</v>
      </c>
      <c r="I1582" s="2" t="n">
        <v>1</v>
      </c>
      <c r="J1582" s="2" t="n">
        <v>52</v>
      </c>
      <c r="K1582" s="2" t="n">
        <v>82</v>
      </c>
      <c r="L1582" s="11" t="b">
        <f aca="false">TRUE()</f>
        <v>1</v>
      </c>
      <c r="M1582" s="2" t="s">
        <v>410</v>
      </c>
      <c r="N1582" s="2" t="n">
        <f aca="false">IF(E1582&gt;0,F1582/E1582,"")</f>
        <v>2</v>
      </c>
      <c r="O1582" s="2" t="n">
        <f aca="false">IF(AND(E1582&gt;0,L1582),J1582/E1582,"")</f>
        <v>5.2</v>
      </c>
    </row>
    <row r="1583" customFormat="false" ht="15" hidden="false" customHeight="false" outlineLevel="0" collapsed="false">
      <c r="A1583" s="2" t="n">
        <v>2025</v>
      </c>
      <c r="B1583" s="2" t="s">
        <v>212</v>
      </c>
      <c r="C1583" s="2" t="s">
        <v>420</v>
      </c>
      <c r="D1583" s="2" t="s">
        <v>29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11" t="b">
        <f aca="false">TRUE()</f>
        <v>1</v>
      </c>
      <c r="M1583" s="2" t="s">
        <v>410</v>
      </c>
      <c r="N1583" s="2" t="str">
        <f aca="false">IF(E1583&gt;0,F1583/E1583,"")</f>
        <v/>
      </c>
      <c r="O1583" s="2" t="str">
        <f aca="false">IF(AND(E1583&gt;0,L1583),J1583/E1583,"")</f>
        <v/>
      </c>
    </row>
    <row r="1584" customFormat="false" ht="15" hidden="false" customHeight="false" outlineLevel="0" collapsed="false">
      <c r="A1584" s="2" t="n">
        <v>2025</v>
      </c>
      <c r="B1584" s="2" t="s">
        <v>189</v>
      </c>
      <c r="C1584" s="2" t="s">
        <v>408</v>
      </c>
      <c r="D1584" s="2" t="s">
        <v>29</v>
      </c>
      <c r="E1584" s="2" t="n">
        <v>10</v>
      </c>
      <c r="F1584" s="2" t="n">
        <v>28</v>
      </c>
      <c r="G1584" s="2" t="n">
        <v>23</v>
      </c>
      <c r="H1584" s="2" t="n">
        <v>12</v>
      </c>
      <c r="I1584" s="2" t="n">
        <v>1</v>
      </c>
      <c r="J1584" s="2" t="n">
        <v>42</v>
      </c>
      <c r="K1584" s="2" t="n">
        <v>76</v>
      </c>
      <c r="L1584" s="11" t="b">
        <f aca="false">TRUE()</f>
        <v>1</v>
      </c>
      <c r="M1584" s="2" t="s">
        <v>406</v>
      </c>
      <c r="N1584" s="2" t="n">
        <f aca="false">IF(E1584&gt;0,F1584/E1584,"")</f>
        <v>2.8</v>
      </c>
      <c r="O1584" s="2" t="n">
        <f aca="false">IF(AND(E1584&gt;0,L1584),J1584/E1584,"")</f>
        <v>4.2</v>
      </c>
    </row>
    <row r="1585" customFormat="false" ht="15" hidden="false" customHeight="false" outlineLevel="0" collapsed="false">
      <c r="A1585" s="2" t="n">
        <v>2025</v>
      </c>
      <c r="B1585" s="2" t="s">
        <v>50</v>
      </c>
      <c r="C1585" s="2" t="s">
        <v>518</v>
      </c>
      <c r="D1585" s="2" t="s">
        <v>24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11" t="b">
        <f aca="false">TRUE()</f>
        <v>1</v>
      </c>
      <c r="M1585" s="2" t="s">
        <v>410</v>
      </c>
      <c r="N1585" s="2" t="str">
        <f aca="false">IF(E1585&gt;0,F1585/E1585,"")</f>
        <v/>
      </c>
      <c r="O1585" s="2" t="str">
        <f aca="false">IF(AND(E1585&gt;0,L1585),J1585/E1585,"")</f>
        <v/>
      </c>
    </row>
    <row r="1586" customFormat="false" ht="15" hidden="false" customHeight="false" outlineLevel="0" collapsed="false">
      <c r="A1586" s="2" t="n">
        <v>2025</v>
      </c>
      <c r="B1586" s="2" t="s">
        <v>36</v>
      </c>
      <c r="C1586" s="2" t="s">
        <v>622</v>
      </c>
      <c r="D1586" s="2" t="s">
        <v>24</v>
      </c>
      <c r="E1586" s="2" t="n">
        <v>10</v>
      </c>
      <c r="F1586" s="2" t="n">
        <v>43</v>
      </c>
      <c r="G1586" s="2" t="n">
        <v>31</v>
      </c>
      <c r="H1586" s="2" t="n">
        <v>13</v>
      </c>
      <c r="I1586" s="2" t="n">
        <v>8</v>
      </c>
      <c r="J1586" s="2" t="n">
        <v>187</v>
      </c>
      <c r="K1586" s="2" t="n">
        <v>250</v>
      </c>
      <c r="L1586" s="11" t="b">
        <f aca="false">TRUE()</f>
        <v>1</v>
      </c>
      <c r="M1586" s="2" t="s">
        <v>406</v>
      </c>
      <c r="N1586" s="2" t="n">
        <f aca="false">IF(E1586&gt;0,F1586/E1586,"")</f>
        <v>4.3</v>
      </c>
      <c r="O1586" s="2" t="n">
        <f aca="false">IF(AND(E1586&gt;0,L1586),J1586/E1586,"")</f>
        <v>18.7</v>
      </c>
    </row>
    <row r="1587" customFormat="false" ht="15" hidden="false" customHeight="false" outlineLevel="0" collapsed="false">
      <c r="A1587" s="2" t="n">
        <v>2025</v>
      </c>
      <c r="B1587" s="2" t="s">
        <v>140</v>
      </c>
      <c r="C1587" s="2" t="s">
        <v>408</v>
      </c>
      <c r="D1587" s="2" t="s">
        <v>115</v>
      </c>
      <c r="E1587" s="2" t="n">
        <v>10</v>
      </c>
      <c r="F1587" s="2" t="n">
        <v>11</v>
      </c>
      <c r="G1587" s="2" t="n">
        <v>7</v>
      </c>
      <c r="H1587" s="2" t="n">
        <v>3</v>
      </c>
      <c r="I1587" s="2" t="n">
        <v>2</v>
      </c>
      <c r="J1587" s="2" t="n">
        <v>58</v>
      </c>
      <c r="K1587" s="2" t="n">
        <v>73</v>
      </c>
      <c r="L1587" s="11" t="b">
        <f aca="false">TRUE()</f>
        <v>1</v>
      </c>
      <c r="M1587" s="2" t="s">
        <v>406</v>
      </c>
      <c r="N1587" s="2" t="n">
        <f aca="false">IF(E1587&gt;0,F1587/E1587,"")</f>
        <v>1.1</v>
      </c>
      <c r="O1587" s="2" t="n">
        <f aca="false">IF(AND(E1587&gt;0,L1587),J1587/E1587,"")</f>
        <v>5.8</v>
      </c>
    </row>
    <row r="1588" customFormat="false" ht="15" hidden="false" customHeight="false" outlineLevel="0" collapsed="false">
      <c r="A1588" s="2" t="n">
        <v>2025</v>
      </c>
      <c r="B1588" s="2" t="s">
        <v>243</v>
      </c>
      <c r="C1588" s="2" t="s">
        <v>408</v>
      </c>
      <c r="D1588" s="2" t="s">
        <v>117</v>
      </c>
      <c r="E1588" s="2" t="n">
        <v>8</v>
      </c>
      <c r="F1588" s="2" t="n">
        <v>3</v>
      </c>
      <c r="G1588" s="2" t="n">
        <v>3</v>
      </c>
      <c r="H1588" s="2" t="n">
        <v>2</v>
      </c>
      <c r="I1588" s="2" t="n">
        <v>1</v>
      </c>
      <c r="J1588" s="2" t="n">
        <v>18</v>
      </c>
      <c r="K1588" s="2" t="n">
        <v>27</v>
      </c>
      <c r="L1588" s="11" t="b">
        <f aca="false">TRUE()</f>
        <v>1</v>
      </c>
      <c r="M1588" s="2" t="s">
        <v>406</v>
      </c>
      <c r="N1588" s="2" t="n">
        <f aca="false">IF(E1588&gt;0,F1588/E1588,"")</f>
        <v>0.375</v>
      </c>
      <c r="O1588" s="2" t="n">
        <f aca="false">IF(AND(E1588&gt;0,L1588),J1588/E1588,"")</f>
        <v>2.25</v>
      </c>
    </row>
    <row r="1589" customFormat="false" ht="15" hidden="false" customHeight="false" outlineLevel="0" collapsed="false">
      <c r="A1589" s="2" t="n">
        <v>2025</v>
      </c>
      <c r="B1589" s="2" t="s">
        <v>198</v>
      </c>
      <c r="C1589" s="2" t="s">
        <v>545</v>
      </c>
      <c r="D1589" s="2" t="s">
        <v>117</v>
      </c>
      <c r="E1589" s="2" t="n">
        <v>10</v>
      </c>
      <c r="F1589" s="2" t="n">
        <v>0</v>
      </c>
      <c r="G1589" s="2" t="n">
        <v>0</v>
      </c>
      <c r="H1589" s="2" t="n">
        <v>0</v>
      </c>
      <c r="I1589" s="2" t="n">
        <v>0</v>
      </c>
      <c r="J1589" s="2" t="n">
        <v>33</v>
      </c>
      <c r="K1589" s="2" t="n">
        <v>37</v>
      </c>
      <c r="L1589" s="11" t="b">
        <f aca="false">TRUE()</f>
        <v>1</v>
      </c>
      <c r="M1589" s="2" t="s">
        <v>406</v>
      </c>
      <c r="N1589" s="2" t="n">
        <f aca="false">IF(E1589&gt;0,F1589/E1589,"")</f>
        <v>0</v>
      </c>
      <c r="O1589" s="2" t="n">
        <f aca="false">IF(AND(E1589&gt;0,L1589),J1589/E1589,"")</f>
        <v>3.3</v>
      </c>
    </row>
    <row r="1590" customFormat="false" ht="15" hidden="false" customHeight="false" outlineLevel="0" collapsed="false">
      <c r="A1590" s="2" t="n">
        <v>2025</v>
      </c>
      <c r="B1590" s="2" t="s">
        <v>84</v>
      </c>
      <c r="C1590" s="2" t="s">
        <v>622</v>
      </c>
      <c r="D1590" s="2" t="s">
        <v>29</v>
      </c>
      <c r="E1590" s="2" t="n">
        <v>10</v>
      </c>
      <c r="F1590" s="2" t="n">
        <v>25</v>
      </c>
      <c r="G1590" s="2" t="n">
        <v>20</v>
      </c>
      <c r="H1590" s="2" t="n">
        <v>11</v>
      </c>
      <c r="I1590" s="2" t="n">
        <v>6</v>
      </c>
      <c r="J1590" s="2" t="n">
        <v>140</v>
      </c>
      <c r="K1590" s="2" t="n">
        <v>172</v>
      </c>
      <c r="L1590" s="11" t="b">
        <f aca="false">TRUE()</f>
        <v>1</v>
      </c>
      <c r="M1590" s="2" t="s">
        <v>406</v>
      </c>
      <c r="N1590" s="2" t="n">
        <f aca="false">IF(E1590&gt;0,F1590/E1590,"")</f>
        <v>2.5</v>
      </c>
      <c r="O1590" s="2" t="n">
        <f aca="false">IF(AND(E1590&gt;0,L1590),J1590/E1590,"")</f>
        <v>14</v>
      </c>
    </row>
    <row r="1591" customFormat="false" ht="15" hidden="false" customHeight="false" outlineLevel="0" collapsed="false">
      <c r="A1591" s="2" t="n">
        <v>2025</v>
      </c>
      <c r="B1591" s="2" t="s">
        <v>152</v>
      </c>
      <c r="C1591" s="2" t="s">
        <v>414</v>
      </c>
      <c r="D1591" s="2" t="s">
        <v>117</v>
      </c>
      <c r="E1591" s="2" t="n">
        <v>10</v>
      </c>
      <c r="F1591" s="2" t="n">
        <v>3</v>
      </c>
      <c r="G1591" s="2" t="n">
        <v>0</v>
      </c>
      <c r="H1591" s="2" t="n">
        <v>0</v>
      </c>
      <c r="I1591" s="2" t="n">
        <v>1</v>
      </c>
      <c r="J1591" s="2" t="n">
        <v>91</v>
      </c>
      <c r="K1591" s="2" t="n">
        <v>98</v>
      </c>
      <c r="L1591" s="11" t="b">
        <f aca="false">TRUE()</f>
        <v>1</v>
      </c>
      <c r="M1591" s="2" t="s">
        <v>406</v>
      </c>
      <c r="N1591" s="2" t="n">
        <f aca="false">IF(E1591&gt;0,F1591/E1591,"")</f>
        <v>0.3</v>
      </c>
      <c r="O1591" s="2" t="n">
        <f aca="false">IF(AND(E1591&gt;0,L1591),J1591/E1591,"")</f>
        <v>9.1</v>
      </c>
    </row>
    <row r="1592" customFormat="false" ht="15" hidden="false" customHeight="false" outlineLevel="0" collapsed="false">
      <c r="A1592" s="2" t="n">
        <v>2025</v>
      </c>
      <c r="B1592" s="2" t="s">
        <v>89</v>
      </c>
      <c r="C1592" s="2" t="s">
        <v>420</v>
      </c>
      <c r="D1592" s="2" t="s">
        <v>24</v>
      </c>
      <c r="E1592" s="2" t="n">
        <v>8</v>
      </c>
      <c r="F1592" s="2" t="n">
        <v>31</v>
      </c>
      <c r="G1592" s="2" t="n">
        <v>23</v>
      </c>
      <c r="H1592" s="2" t="n">
        <v>9</v>
      </c>
      <c r="I1592" s="2" t="n">
        <v>5</v>
      </c>
      <c r="J1592" s="2" t="n">
        <v>219</v>
      </c>
      <c r="K1592" s="2" t="n">
        <v>264</v>
      </c>
      <c r="L1592" s="11" t="b">
        <f aca="false">TRUE()</f>
        <v>1</v>
      </c>
      <c r="M1592" s="2" t="s">
        <v>406</v>
      </c>
      <c r="N1592" s="2" t="n">
        <f aca="false">IF(E1592&gt;0,F1592/E1592,"")</f>
        <v>3.875</v>
      </c>
      <c r="O1592" s="2" t="n">
        <f aca="false">IF(AND(E1592&gt;0,L1592),J1592/E1592,"")</f>
        <v>27.375</v>
      </c>
    </row>
    <row r="1593" customFormat="false" ht="15" hidden="false" customHeight="false" outlineLevel="0" collapsed="false">
      <c r="A1593" s="2" t="n">
        <v>2026</v>
      </c>
      <c r="B1593" s="2" t="s">
        <v>197</v>
      </c>
      <c r="C1593" s="2" t="s">
        <v>518</v>
      </c>
      <c r="D1593" s="2" t="s">
        <v>117</v>
      </c>
      <c r="E1593" s="2" t="n">
        <v>11</v>
      </c>
      <c r="F1593" s="2" t="n">
        <v>1</v>
      </c>
      <c r="G1593" s="2" t="n">
        <v>0</v>
      </c>
      <c r="H1593" s="2" t="n">
        <v>0</v>
      </c>
      <c r="I1593" s="2" t="n">
        <v>0</v>
      </c>
      <c r="J1593" s="2" t="n">
        <v>39</v>
      </c>
      <c r="K1593" s="2" t="n">
        <v>42</v>
      </c>
      <c r="L1593" s="11" t="b">
        <f aca="false">TRUE()</f>
        <v>1</v>
      </c>
      <c r="M1593" s="2" t="s">
        <v>406</v>
      </c>
      <c r="N1593" s="2" t="n">
        <f aca="false">IF(E1593&gt;0,F1593/E1593,"")</f>
        <v>0.0909090909090909</v>
      </c>
      <c r="O1593" s="2" t="n">
        <f aca="false">IF(AND(E1593&gt;0,L1593),J1593/E1593,"")</f>
        <v>3.54545454545455</v>
      </c>
    </row>
    <row r="1594" customFormat="false" ht="15" hidden="false" customHeight="false" outlineLevel="0" collapsed="false">
      <c r="A1594" s="2" t="n">
        <v>2026</v>
      </c>
      <c r="B1594" s="2" t="s">
        <v>102</v>
      </c>
      <c r="C1594" s="2" t="s">
        <v>518</v>
      </c>
      <c r="D1594" s="2" t="s">
        <v>29</v>
      </c>
      <c r="E1594" s="2" t="n">
        <v>1</v>
      </c>
      <c r="F1594" s="2" t="n">
        <v>2</v>
      </c>
      <c r="G1594" s="2" t="n">
        <v>2</v>
      </c>
      <c r="H1594" s="2" t="n">
        <v>1</v>
      </c>
      <c r="I1594" s="2" t="n">
        <v>0</v>
      </c>
      <c r="J1594" s="2" t="n">
        <v>4</v>
      </c>
      <c r="K1594" s="2" t="n">
        <v>6</v>
      </c>
      <c r="L1594" s="11" t="b">
        <f aca="false">TRUE()</f>
        <v>1</v>
      </c>
      <c r="M1594" s="2" t="s">
        <v>410</v>
      </c>
      <c r="N1594" s="2" t="n">
        <f aca="false">IF(E1594&gt;0,F1594/E1594,"")</f>
        <v>2</v>
      </c>
      <c r="O1594" s="2" t="n">
        <f aca="false">IF(AND(E1594&gt;0,L1594),J1594/E1594,"")</f>
        <v>4</v>
      </c>
    </row>
    <row r="1595" customFormat="false" ht="15" hidden="false" customHeight="false" outlineLevel="0" collapsed="false">
      <c r="A1595" s="2" t="n">
        <v>2026</v>
      </c>
      <c r="B1595" s="2" t="s">
        <v>52</v>
      </c>
      <c r="C1595" s="2" t="s">
        <v>408</v>
      </c>
      <c r="D1595" s="2" t="s">
        <v>29</v>
      </c>
      <c r="E1595" s="2" t="n">
        <v>12</v>
      </c>
      <c r="F1595" s="2" t="n">
        <v>28</v>
      </c>
      <c r="G1595" s="2" t="n">
        <v>13</v>
      </c>
      <c r="H1595" s="2" t="n">
        <v>4</v>
      </c>
      <c r="I1595" s="2" t="n">
        <v>4</v>
      </c>
      <c r="J1595" s="2" t="n">
        <v>170</v>
      </c>
      <c r="K1595" s="2" t="n">
        <v>216</v>
      </c>
      <c r="L1595" s="11" t="b">
        <f aca="false">TRUE()</f>
        <v>1</v>
      </c>
      <c r="M1595" s="2" t="s">
        <v>406</v>
      </c>
      <c r="N1595" s="2" t="n">
        <f aca="false">IF(E1595&gt;0,F1595/E1595,"")</f>
        <v>2.33333333333333</v>
      </c>
      <c r="O1595" s="2" t="n">
        <f aca="false">IF(AND(E1595&gt;0,L1595),J1595/E1595,"")</f>
        <v>14.1666666666667</v>
      </c>
    </row>
    <row r="1596" customFormat="false" ht="15" hidden="false" customHeight="false" outlineLevel="0" collapsed="false">
      <c r="A1596" s="2" t="n">
        <v>2026</v>
      </c>
      <c r="B1596" s="2" t="s">
        <v>54</v>
      </c>
      <c r="C1596" s="2" t="s">
        <v>408</v>
      </c>
      <c r="D1596" s="2" t="s">
        <v>29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11" t="b">
        <f aca="false">TRUE()</f>
        <v>1</v>
      </c>
      <c r="M1596" s="2" t="s">
        <v>410</v>
      </c>
      <c r="N1596" s="2" t="str">
        <f aca="false">IF(E1596&gt;0,F1596/E1596,"")</f>
        <v/>
      </c>
      <c r="O1596" s="2" t="str">
        <f aca="false">IF(AND(E1596&gt;0,L1596),J1596/E1596,"")</f>
        <v/>
      </c>
    </row>
    <row r="1597" customFormat="false" ht="15" hidden="false" customHeight="false" outlineLevel="0" collapsed="false">
      <c r="A1597" s="2" t="n">
        <v>2026</v>
      </c>
      <c r="B1597" s="2" t="s">
        <v>49</v>
      </c>
      <c r="C1597" s="2" t="s">
        <v>622</v>
      </c>
      <c r="D1597" s="2" t="s">
        <v>29</v>
      </c>
      <c r="E1597" s="2" t="n">
        <v>12</v>
      </c>
      <c r="F1597" s="2" t="n">
        <v>30</v>
      </c>
      <c r="G1597" s="2" t="n">
        <v>24</v>
      </c>
      <c r="H1597" s="2" t="n">
        <v>11</v>
      </c>
      <c r="I1597" s="2" t="n">
        <v>1</v>
      </c>
      <c r="J1597" s="2" t="n">
        <v>113</v>
      </c>
      <c r="K1597" s="2" t="n">
        <v>151</v>
      </c>
      <c r="L1597" s="11" t="b">
        <f aca="false">TRUE()</f>
        <v>1</v>
      </c>
      <c r="M1597" s="2" t="s">
        <v>406</v>
      </c>
      <c r="N1597" s="2" t="n">
        <f aca="false">IF(E1597&gt;0,F1597/E1597,"")</f>
        <v>2.5</v>
      </c>
      <c r="O1597" s="2" t="n">
        <f aca="false">IF(AND(E1597&gt;0,L1597),J1597/E1597,"")</f>
        <v>9.41666666666667</v>
      </c>
    </row>
    <row r="1598" customFormat="false" ht="15" hidden="false" customHeight="false" outlineLevel="0" collapsed="false">
      <c r="A1598" s="2" t="n">
        <v>2026</v>
      </c>
      <c r="B1598" s="2" t="s">
        <v>103</v>
      </c>
      <c r="C1598" s="2" t="s">
        <v>412</v>
      </c>
      <c r="D1598" s="2" t="s">
        <v>29</v>
      </c>
      <c r="E1598" s="2" t="n">
        <v>9</v>
      </c>
      <c r="F1598" s="2" t="n">
        <v>35</v>
      </c>
      <c r="G1598" s="2" t="n">
        <v>19</v>
      </c>
      <c r="H1598" s="2" t="n">
        <v>8</v>
      </c>
      <c r="I1598" s="2" t="n">
        <v>2</v>
      </c>
      <c r="J1598" s="2" t="n">
        <v>77</v>
      </c>
      <c r="K1598" s="2" t="n">
        <v>120</v>
      </c>
      <c r="L1598" s="11" t="b">
        <f aca="false">TRUE()</f>
        <v>1</v>
      </c>
      <c r="M1598" s="2" t="s">
        <v>406</v>
      </c>
      <c r="N1598" s="2" t="n">
        <f aca="false">IF(E1598&gt;0,F1598/E1598,"")</f>
        <v>3.88888888888889</v>
      </c>
      <c r="O1598" s="2" t="n">
        <f aca="false">IF(AND(E1598&gt;0,L1598),J1598/E1598,"")</f>
        <v>8.55555555555556</v>
      </c>
    </row>
    <row r="1599" customFormat="false" ht="15" hidden="false" customHeight="false" outlineLevel="0" collapsed="false">
      <c r="A1599" s="2" t="n">
        <v>2026</v>
      </c>
      <c r="B1599" s="2" t="s">
        <v>75</v>
      </c>
      <c r="C1599" s="2" t="s">
        <v>420</v>
      </c>
      <c r="D1599" s="2" t="s">
        <v>29</v>
      </c>
      <c r="E1599" s="2" t="n">
        <v>5</v>
      </c>
      <c r="F1599" s="2" t="n">
        <v>14</v>
      </c>
      <c r="G1599" s="2" t="n">
        <v>10</v>
      </c>
      <c r="H1599" s="2" t="n">
        <v>3</v>
      </c>
      <c r="I1599" s="2" t="n">
        <v>1</v>
      </c>
      <c r="J1599" s="2" t="n">
        <v>66</v>
      </c>
      <c r="K1599" s="2" t="n">
        <v>83</v>
      </c>
      <c r="L1599" s="11" t="b">
        <f aca="false">TRUE()</f>
        <v>1</v>
      </c>
      <c r="M1599" s="2" t="s">
        <v>406</v>
      </c>
      <c r="N1599" s="2" t="n">
        <f aca="false">IF(E1599&gt;0,F1599/E1599,"")</f>
        <v>2.8</v>
      </c>
      <c r="O1599" s="2" t="n">
        <f aca="false">IF(AND(E1599&gt;0,L1599),J1599/E1599,"")</f>
        <v>13.2</v>
      </c>
    </row>
    <row r="1600" customFormat="false" ht="15" hidden="false" customHeight="false" outlineLevel="0" collapsed="false">
      <c r="A1600" s="2" t="n">
        <v>2026</v>
      </c>
      <c r="B1600" s="2" t="s">
        <v>200</v>
      </c>
      <c r="C1600" s="2" t="s">
        <v>414</v>
      </c>
      <c r="D1600" s="2" t="s">
        <v>29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11" t="b">
        <f aca="false">TRUE()</f>
        <v>1</v>
      </c>
      <c r="M1600" s="2" t="s">
        <v>410</v>
      </c>
      <c r="N1600" s="2" t="str">
        <f aca="false">IF(E1600&gt;0,F1600/E1600,"")</f>
        <v/>
      </c>
      <c r="O1600" s="2" t="str">
        <f aca="false">IF(AND(E1600&gt;0,L1600),J1600/E1600,"")</f>
        <v/>
      </c>
    </row>
    <row r="1601" customFormat="false" ht="15" hidden="false" customHeight="false" outlineLevel="0" collapsed="false">
      <c r="A1601" s="2" t="n">
        <v>2026</v>
      </c>
      <c r="B1601" s="2" t="s">
        <v>136</v>
      </c>
      <c r="C1601" s="2" t="s">
        <v>405</v>
      </c>
      <c r="D1601" s="2" t="s">
        <v>29</v>
      </c>
      <c r="E1601" s="2" t="n">
        <v>9</v>
      </c>
      <c r="F1601" s="2" t="n">
        <v>28</v>
      </c>
      <c r="G1601" s="2" t="n">
        <v>17</v>
      </c>
      <c r="H1601" s="2" t="n">
        <v>11</v>
      </c>
      <c r="I1601" s="2" t="n">
        <v>5</v>
      </c>
      <c r="J1601" s="2" t="n">
        <v>82</v>
      </c>
      <c r="K1601" s="2" t="n">
        <v>117</v>
      </c>
      <c r="L1601" s="11" t="b">
        <f aca="false">TRUE()</f>
        <v>1</v>
      </c>
      <c r="M1601" s="2" t="s">
        <v>406</v>
      </c>
      <c r="N1601" s="2" t="n">
        <f aca="false">IF(E1601&gt;0,F1601/E1601,"")</f>
        <v>3.11111111111111</v>
      </c>
      <c r="O1601" s="2" t="n">
        <f aca="false">IF(AND(E1601&gt;0,L1601),J1601/E1601,"")</f>
        <v>9.11111111111111</v>
      </c>
    </row>
    <row r="1602" customFormat="false" ht="15" hidden="false" customHeight="false" outlineLevel="0" collapsed="false">
      <c r="A1602" s="2" t="n">
        <v>2026</v>
      </c>
      <c r="B1602" s="2" t="s">
        <v>411</v>
      </c>
      <c r="C1602" s="2" t="s">
        <v>412</v>
      </c>
      <c r="D1602" s="2" t="s">
        <v>413</v>
      </c>
      <c r="E1602" s="2" t="n">
        <v>7</v>
      </c>
      <c r="F1602" s="2" t="n">
        <v>8</v>
      </c>
      <c r="G1602" s="2" t="n">
        <v>4</v>
      </c>
      <c r="H1602" s="2" t="n">
        <v>0</v>
      </c>
      <c r="I1602" s="2" t="n">
        <v>0</v>
      </c>
      <c r="J1602" s="2" t="n">
        <v>46</v>
      </c>
      <c r="K1602" s="2" t="n">
        <v>61</v>
      </c>
      <c r="L1602" s="11" t="b">
        <f aca="false">TRUE()</f>
        <v>1</v>
      </c>
      <c r="M1602" s="2" t="s">
        <v>410</v>
      </c>
      <c r="N1602" s="2" t="n">
        <f aca="false">IF(E1602&gt;0,F1602/E1602,"")</f>
        <v>1.14285714285714</v>
      </c>
      <c r="O1602" s="2" t="n">
        <f aca="false">IF(AND(E1602&gt;0,L1602),J1602/E1602,"")</f>
        <v>6.57142857142857</v>
      </c>
    </row>
    <row r="1603" customFormat="false" ht="15" hidden="false" customHeight="false" outlineLevel="0" collapsed="false">
      <c r="A1603" s="2" t="n">
        <v>2026</v>
      </c>
      <c r="B1603" s="2" t="s">
        <v>341</v>
      </c>
      <c r="C1603" s="2" t="s">
        <v>420</v>
      </c>
      <c r="D1603" s="2" t="s">
        <v>117</v>
      </c>
      <c r="E1603" s="2" t="n">
        <v>5</v>
      </c>
      <c r="F1603" s="2" t="n">
        <v>1</v>
      </c>
      <c r="G1603" s="2" t="n">
        <v>1</v>
      </c>
      <c r="H1603" s="2" t="n">
        <v>1</v>
      </c>
      <c r="I1603" s="2" t="n">
        <v>0</v>
      </c>
      <c r="J1603" s="2" t="n">
        <v>27</v>
      </c>
      <c r="K1603" s="2" t="n">
        <v>30</v>
      </c>
      <c r="L1603" s="11" t="b">
        <f aca="false">TRUE()</f>
        <v>1</v>
      </c>
      <c r="M1603" s="2" t="s">
        <v>406</v>
      </c>
      <c r="N1603" s="2" t="n">
        <f aca="false">IF(E1603&gt;0,F1603/E1603,"")</f>
        <v>0.2</v>
      </c>
      <c r="O1603" s="2" t="n">
        <f aca="false">IF(AND(E1603&gt;0,L1603),J1603/E1603,"")</f>
        <v>5.4</v>
      </c>
    </row>
    <row r="1604" customFormat="false" ht="15" hidden="false" customHeight="false" outlineLevel="0" collapsed="false">
      <c r="A1604" s="2" t="n">
        <v>2026</v>
      </c>
      <c r="B1604" s="2" t="s">
        <v>388</v>
      </c>
      <c r="C1604" s="2" t="s">
        <v>545</v>
      </c>
      <c r="D1604" s="2" t="s">
        <v>117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11" t="b">
        <f aca="false">TRUE()</f>
        <v>1</v>
      </c>
      <c r="M1604" s="2" t="s">
        <v>410</v>
      </c>
      <c r="N1604" s="2" t="str">
        <f aca="false">IF(E1604&gt;0,F1604/E1604,"")</f>
        <v/>
      </c>
      <c r="O1604" s="2" t="str">
        <f aca="false">IF(AND(E1604&gt;0,L1604),J1604/E1604,"")</f>
        <v/>
      </c>
    </row>
    <row r="1605" customFormat="false" ht="15" hidden="false" customHeight="false" outlineLevel="0" collapsed="false">
      <c r="A1605" s="2" t="n">
        <v>2026</v>
      </c>
      <c r="B1605" s="2" t="s">
        <v>104</v>
      </c>
      <c r="C1605" s="2" t="s">
        <v>405</v>
      </c>
      <c r="D1605" s="2" t="s">
        <v>24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11" t="b">
        <f aca="false">TRUE()</f>
        <v>1</v>
      </c>
      <c r="M1605" s="2" t="s">
        <v>410</v>
      </c>
      <c r="N1605" s="2" t="str">
        <f aca="false">IF(E1605&gt;0,F1605/E1605,"")</f>
        <v/>
      </c>
      <c r="O1605" s="2" t="str">
        <f aca="false">IF(AND(E1605&gt;0,L1605),J1605/E1605,"")</f>
        <v/>
      </c>
    </row>
    <row r="1606" customFormat="false" ht="15" hidden="false" customHeight="false" outlineLevel="0" collapsed="false">
      <c r="A1606" s="2" t="n">
        <v>2026</v>
      </c>
      <c r="B1606" s="2" t="s">
        <v>179</v>
      </c>
      <c r="C1606" s="2" t="s">
        <v>414</v>
      </c>
      <c r="D1606" s="2" t="s">
        <v>83</v>
      </c>
      <c r="E1606" s="2" t="n">
        <v>2</v>
      </c>
      <c r="F1606" s="2" t="n">
        <v>1</v>
      </c>
      <c r="G1606" s="2" t="n">
        <v>0</v>
      </c>
      <c r="H1606" s="2" t="n">
        <v>0</v>
      </c>
      <c r="I1606" s="2" t="n">
        <v>0</v>
      </c>
      <c r="J1606" s="2" t="n">
        <v>9</v>
      </c>
      <c r="K1606" s="2" t="n">
        <v>12</v>
      </c>
      <c r="L1606" s="11" t="b">
        <f aca="false">TRUE()</f>
        <v>1</v>
      </c>
      <c r="M1606" s="2" t="s">
        <v>410</v>
      </c>
      <c r="N1606" s="2" t="n">
        <f aca="false">IF(E1606&gt;0,F1606/E1606,"")</f>
        <v>0.5</v>
      </c>
      <c r="O1606" s="2" t="n">
        <f aca="false">IF(AND(E1606&gt;0,L1606),J1606/E1606,"")</f>
        <v>4.5</v>
      </c>
    </row>
    <row r="1607" customFormat="false" ht="15" hidden="false" customHeight="false" outlineLevel="0" collapsed="false">
      <c r="A1607" s="2" t="n">
        <v>2026</v>
      </c>
      <c r="B1607" s="2" t="s">
        <v>94</v>
      </c>
      <c r="C1607" s="2" t="s">
        <v>622</v>
      </c>
      <c r="D1607" s="2" t="s">
        <v>24</v>
      </c>
      <c r="E1607" s="2" t="n">
        <v>8</v>
      </c>
      <c r="F1607" s="2" t="n">
        <v>49</v>
      </c>
      <c r="G1607" s="2" t="n">
        <v>31</v>
      </c>
      <c r="H1607" s="2" t="n">
        <v>14</v>
      </c>
      <c r="I1607" s="2" t="n">
        <v>5</v>
      </c>
      <c r="J1607" s="2" t="n">
        <v>156</v>
      </c>
      <c r="K1607" s="2" t="n">
        <v>221</v>
      </c>
      <c r="L1607" s="11" t="b">
        <f aca="false">TRUE()</f>
        <v>1</v>
      </c>
      <c r="M1607" s="2" t="s">
        <v>406</v>
      </c>
      <c r="N1607" s="2" t="n">
        <f aca="false">IF(E1607&gt;0,F1607/E1607,"")</f>
        <v>6.125</v>
      </c>
      <c r="O1607" s="2" t="n">
        <f aca="false">IF(AND(E1607&gt;0,L1607),J1607/E1607,"")</f>
        <v>19.5</v>
      </c>
    </row>
    <row r="1608" customFormat="false" ht="15" hidden="false" customHeight="false" outlineLevel="0" collapsed="false">
      <c r="A1608" s="2" t="n">
        <v>2026</v>
      </c>
      <c r="B1608" s="2" t="s">
        <v>59</v>
      </c>
      <c r="C1608" s="2" t="s">
        <v>420</v>
      </c>
      <c r="D1608" s="2" t="s">
        <v>29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11" t="b">
        <f aca="false">TRUE()</f>
        <v>1</v>
      </c>
      <c r="M1608" s="2" t="s">
        <v>410</v>
      </c>
      <c r="N1608" s="2" t="str">
        <f aca="false">IF(E1608&gt;0,F1608/E1608,"")</f>
        <v/>
      </c>
      <c r="O1608" s="2" t="str">
        <f aca="false">IF(AND(E1608&gt;0,L1608),J1608/E1608,"")</f>
        <v/>
      </c>
    </row>
    <row r="1609" customFormat="false" ht="15" hidden="false" customHeight="false" outlineLevel="0" collapsed="false">
      <c r="A1609" s="2" t="n">
        <v>2026</v>
      </c>
      <c r="B1609" s="2" t="s">
        <v>389</v>
      </c>
      <c r="C1609" s="2" t="s">
        <v>412</v>
      </c>
      <c r="D1609" s="2" t="s">
        <v>83</v>
      </c>
      <c r="E1609" s="2" t="n">
        <v>2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3</v>
      </c>
      <c r="K1609" s="2" t="n">
        <v>3</v>
      </c>
      <c r="L1609" s="11" t="b">
        <f aca="false">TRUE()</f>
        <v>1</v>
      </c>
      <c r="M1609" s="2" t="s">
        <v>410</v>
      </c>
      <c r="N1609" s="2" t="n">
        <f aca="false">IF(E1609&gt;0,F1609/E1609,"")</f>
        <v>0</v>
      </c>
      <c r="O1609" s="2" t="n">
        <f aca="false">IF(AND(E1609&gt;0,L1609),J1609/E1609,"")</f>
        <v>1.5</v>
      </c>
    </row>
    <row r="1610" customFormat="false" ht="15" hidden="false" customHeight="false" outlineLevel="0" collapsed="false">
      <c r="A1610" s="2" t="n">
        <v>2026</v>
      </c>
      <c r="B1610" s="2" t="s">
        <v>154</v>
      </c>
      <c r="C1610" s="2" t="s">
        <v>414</v>
      </c>
      <c r="D1610" s="2" t="s">
        <v>24</v>
      </c>
      <c r="E1610" s="2" t="n">
        <v>6</v>
      </c>
      <c r="F1610" s="2" t="n">
        <v>25</v>
      </c>
      <c r="G1610" s="2" t="n">
        <v>14</v>
      </c>
      <c r="H1610" s="2" t="n">
        <v>5</v>
      </c>
      <c r="I1610" s="2" t="n">
        <v>10</v>
      </c>
      <c r="J1610" s="2" t="n">
        <v>170</v>
      </c>
      <c r="K1610" s="2" t="n">
        <v>205</v>
      </c>
      <c r="L1610" s="11" t="b">
        <f aca="false">TRUE()</f>
        <v>1</v>
      </c>
      <c r="M1610" s="2" t="s">
        <v>406</v>
      </c>
      <c r="N1610" s="2" t="n">
        <f aca="false">IF(E1610&gt;0,F1610/E1610,"")</f>
        <v>4.16666666666667</v>
      </c>
      <c r="O1610" s="2" t="n">
        <f aca="false">IF(AND(E1610&gt;0,L1610),J1610/E1610,"")</f>
        <v>28.3333333333333</v>
      </c>
    </row>
    <row r="1611" customFormat="false" ht="15" hidden="false" customHeight="false" outlineLevel="0" collapsed="false">
      <c r="A1611" s="2" t="n">
        <v>2026</v>
      </c>
      <c r="B1611" s="2" t="s">
        <v>113</v>
      </c>
      <c r="C1611" s="2" t="s">
        <v>408</v>
      </c>
      <c r="D1611" s="2" t="s">
        <v>83</v>
      </c>
      <c r="E1611" s="2" t="n">
        <v>12</v>
      </c>
      <c r="F1611" s="2" t="n">
        <v>8</v>
      </c>
      <c r="G1611" s="2" t="n">
        <v>6</v>
      </c>
      <c r="H1611" s="2" t="n">
        <v>4</v>
      </c>
      <c r="I1611" s="2" t="n">
        <v>2</v>
      </c>
      <c r="J1611" s="2" t="n">
        <v>84</v>
      </c>
      <c r="K1611" s="2" t="n">
        <v>95</v>
      </c>
      <c r="L1611" s="11" t="b">
        <f aca="false">TRUE()</f>
        <v>1</v>
      </c>
      <c r="M1611" s="2" t="s">
        <v>406</v>
      </c>
      <c r="N1611" s="2" t="n">
        <f aca="false">IF(E1611&gt;0,F1611/E1611,"")</f>
        <v>0.666666666666667</v>
      </c>
      <c r="O1611" s="2" t="n">
        <f aca="false">IF(AND(E1611&gt;0,L1611),J1611/E1611,"")</f>
        <v>7</v>
      </c>
    </row>
    <row r="1612" customFormat="false" ht="15" hidden="false" customHeight="false" outlineLevel="0" collapsed="false">
      <c r="A1612" s="2" t="n">
        <v>2026</v>
      </c>
      <c r="B1612" s="2" t="s">
        <v>376</v>
      </c>
      <c r="C1612" s="2" t="s">
        <v>405</v>
      </c>
      <c r="D1612" s="2" t="s">
        <v>83</v>
      </c>
      <c r="E1612" s="2" t="n">
        <v>1</v>
      </c>
      <c r="F1612" s="2" t="n">
        <v>1</v>
      </c>
      <c r="G1612" s="2" t="n">
        <v>0</v>
      </c>
      <c r="H1612" s="2" t="n">
        <v>0</v>
      </c>
      <c r="I1612" s="2" t="n">
        <v>0</v>
      </c>
      <c r="J1612" s="2" t="n">
        <v>3</v>
      </c>
      <c r="K1612" s="2" t="n">
        <v>5</v>
      </c>
      <c r="L1612" s="11" t="b">
        <f aca="false">TRUE()</f>
        <v>1</v>
      </c>
      <c r="M1612" s="2" t="s">
        <v>410</v>
      </c>
      <c r="N1612" s="2" t="n">
        <f aca="false">IF(E1612&gt;0,F1612/E1612,"")</f>
        <v>1</v>
      </c>
      <c r="O1612" s="2" t="n">
        <f aca="false">IF(AND(E1612&gt;0,L1612),J1612/E1612,"")</f>
        <v>3</v>
      </c>
    </row>
    <row r="1613" customFormat="false" ht="15" hidden="false" customHeight="false" outlineLevel="0" collapsed="false">
      <c r="A1613" s="2" t="n">
        <v>2026</v>
      </c>
      <c r="B1613" s="2" t="s">
        <v>127</v>
      </c>
      <c r="C1613" s="2" t="s">
        <v>412</v>
      </c>
      <c r="D1613" s="2" t="s">
        <v>24</v>
      </c>
      <c r="E1613" s="2" t="n">
        <v>11</v>
      </c>
      <c r="F1613" s="2" t="n">
        <v>42</v>
      </c>
      <c r="G1613" s="2" t="n">
        <v>33</v>
      </c>
      <c r="H1613" s="2" t="n">
        <v>15</v>
      </c>
      <c r="I1613" s="2" t="n">
        <v>1</v>
      </c>
      <c r="J1613" s="2" t="n">
        <v>88</v>
      </c>
      <c r="K1613" s="2" t="n">
        <v>144</v>
      </c>
      <c r="L1613" s="11" t="b">
        <f aca="false">TRUE()</f>
        <v>1</v>
      </c>
      <c r="M1613" s="2" t="s">
        <v>406</v>
      </c>
      <c r="N1613" s="2" t="n">
        <f aca="false">IF(E1613&gt;0,F1613/E1613,"")</f>
        <v>3.81818181818182</v>
      </c>
      <c r="O1613" s="2" t="n">
        <f aca="false">IF(AND(E1613&gt;0,L1613),J1613/E1613,"")</f>
        <v>8</v>
      </c>
    </row>
    <row r="1614" customFormat="false" ht="15" hidden="false" customHeight="false" outlineLevel="0" collapsed="false">
      <c r="A1614" s="2" t="n">
        <v>2026</v>
      </c>
      <c r="B1614" s="2" t="s">
        <v>71</v>
      </c>
      <c r="C1614" s="2" t="s">
        <v>414</v>
      </c>
      <c r="D1614" s="2" t="s">
        <v>29</v>
      </c>
      <c r="E1614" s="2" t="n">
        <v>11</v>
      </c>
      <c r="F1614" s="2" t="n">
        <v>52</v>
      </c>
      <c r="G1614" s="2" t="n">
        <v>37</v>
      </c>
      <c r="H1614" s="2" t="n">
        <v>10</v>
      </c>
      <c r="I1614" s="2" t="n">
        <v>6</v>
      </c>
      <c r="J1614" s="2" t="n">
        <v>234</v>
      </c>
      <c r="K1614" s="2" t="n">
        <v>298</v>
      </c>
      <c r="L1614" s="11" t="b">
        <f aca="false">TRUE()</f>
        <v>1</v>
      </c>
      <c r="M1614" s="2" t="s">
        <v>406</v>
      </c>
      <c r="N1614" s="2" t="n">
        <f aca="false">IF(E1614&gt;0,F1614/E1614,"")</f>
        <v>4.72727272727273</v>
      </c>
      <c r="O1614" s="2" t="n">
        <f aca="false">IF(AND(E1614&gt;0,L1614),J1614/E1614,"")</f>
        <v>21.2727272727273</v>
      </c>
    </row>
    <row r="1615" customFormat="false" ht="15" hidden="false" customHeight="false" outlineLevel="0" collapsed="false">
      <c r="A1615" s="2" t="n">
        <v>2026</v>
      </c>
      <c r="B1615" s="2" t="s">
        <v>256</v>
      </c>
      <c r="C1615" s="2" t="s">
        <v>518</v>
      </c>
      <c r="D1615" s="2" t="s">
        <v>117</v>
      </c>
      <c r="E1615" s="2" t="n">
        <v>12</v>
      </c>
      <c r="F1615" s="2" t="n">
        <v>2</v>
      </c>
      <c r="G1615" s="2" t="n">
        <v>1</v>
      </c>
      <c r="H1615" s="2" t="n">
        <v>0</v>
      </c>
      <c r="I1615" s="2" t="n">
        <v>0</v>
      </c>
      <c r="J1615" s="2" t="n">
        <v>60</v>
      </c>
      <c r="K1615" s="2" t="n">
        <v>64</v>
      </c>
      <c r="L1615" s="11" t="b">
        <f aca="false">TRUE()</f>
        <v>1</v>
      </c>
      <c r="M1615" s="2" t="s">
        <v>406</v>
      </c>
      <c r="N1615" s="2" t="n">
        <f aca="false">IF(E1615&gt;0,F1615/E1615,"")</f>
        <v>0.166666666666667</v>
      </c>
      <c r="O1615" s="2" t="n">
        <f aca="false">IF(AND(E1615&gt;0,L1615),J1615/E1615,"")</f>
        <v>5</v>
      </c>
    </row>
    <row r="1616" customFormat="false" ht="15" hidden="false" customHeight="false" outlineLevel="0" collapsed="false">
      <c r="A1616" s="2" t="n">
        <v>2026</v>
      </c>
      <c r="B1616" s="2" t="s">
        <v>289</v>
      </c>
      <c r="C1616" s="2" t="s">
        <v>405</v>
      </c>
      <c r="D1616" s="2" t="s">
        <v>117</v>
      </c>
      <c r="E1616" s="2" t="n">
        <v>10</v>
      </c>
      <c r="F1616" s="2" t="n">
        <v>4</v>
      </c>
      <c r="G1616" s="2" t="n">
        <v>1</v>
      </c>
      <c r="H1616" s="2" t="n">
        <v>1</v>
      </c>
      <c r="I1616" s="2" t="n">
        <v>0</v>
      </c>
      <c r="J1616" s="2" t="n">
        <v>57</v>
      </c>
      <c r="K1616" s="2" t="n">
        <v>64</v>
      </c>
      <c r="L1616" s="11" t="b">
        <f aca="false">TRUE()</f>
        <v>1</v>
      </c>
      <c r="M1616" s="2" t="s">
        <v>406</v>
      </c>
      <c r="N1616" s="2" t="n">
        <f aca="false">IF(E1616&gt;0,F1616/E1616,"")</f>
        <v>0.4</v>
      </c>
      <c r="O1616" s="2" t="n">
        <f aca="false">IF(AND(E1616&gt;0,L1616),J1616/E1616,"")</f>
        <v>5.7</v>
      </c>
    </row>
    <row r="1617" customFormat="false" ht="15" hidden="false" customHeight="false" outlineLevel="0" collapsed="false">
      <c r="A1617" s="2" t="n">
        <v>2026</v>
      </c>
      <c r="B1617" s="2" t="s">
        <v>60</v>
      </c>
      <c r="C1617" s="2" t="s">
        <v>622</v>
      </c>
      <c r="D1617" s="2" t="s">
        <v>29</v>
      </c>
      <c r="E1617" s="2" t="n">
        <v>12</v>
      </c>
      <c r="F1617" s="2" t="n">
        <v>42</v>
      </c>
      <c r="G1617" s="2" t="n">
        <v>29</v>
      </c>
      <c r="H1617" s="2" t="n">
        <v>9</v>
      </c>
      <c r="I1617" s="2" t="n">
        <v>3</v>
      </c>
      <c r="J1617" s="2" t="n">
        <v>199</v>
      </c>
      <c r="K1617" s="2" t="n">
        <v>249</v>
      </c>
      <c r="L1617" s="11" t="b">
        <f aca="false">TRUE()</f>
        <v>1</v>
      </c>
      <c r="M1617" s="2" t="s">
        <v>406</v>
      </c>
      <c r="N1617" s="2" t="n">
        <f aca="false">IF(E1617&gt;0,F1617/E1617,"")</f>
        <v>3.5</v>
      </c>
      <c r="O1617" s="2" t="n">
        <f aca="false">IF(AND(E1617&gt;0,L1617),J1617/E1617,"")</f>
        <v>16.5833333333333</v>
      </c>
    </row>
    <row r="1618" customFormat="false" ht="15" hidden="false" customHeight="false" outlineLevel="0" collapsed="false">
      <c r="A1618" s="2" t="n">
        <v>2026</v>
      </c>
      <c r="B1618" s="2" t="s">
        <v>305</v>
      </c>
      <c r="C1618" s="2" t="s">
        <v>412</v>
      </c>
      <c r="D1618" s="2" t="s">
        <v>24</v>
      </c>
      <c r="E1618" s="2" t="n">
        <v>2</v>
      </c>
      <c r="F1618" s="2" t="n">
        <v>6</v>
      </c>
      <c r="G1618" s="2" t="n">
        <v>5</v>
      </c>
      <c r="H1618" s="2" t="n">
        <v>1</v>
      </c>
      <c r="I1618" s="2" t="n">
        <v>1</v>
      </c>
      <c r="J1618" s="2" t="n">
        <v>32</v>
      </c>
      <c r="K1618" s="2" t="n">
        <v>40</v>
      </c>
      <c r="L1618" s="11" t="b">
        <f aca="false">TRUE()</f>
        <v>1</v>
      </c>
      <c r="M1618" s="2" t="s">
        <v>410</v>
      </c>
      <c r="N1618" s="2" t="n">
        <f aca="false">IF(E1618&gt;0,F1618/E1618,"")</f>
        <v>3</v>
      </c>
      <c r="O1618" s="2" t="n">
        <f aca="false">IF(AND(E1618&gt;0,L1618),J1618/E1618,"")</f>
        <v>16</v>
      </c>
    </row>
    <row r="1619" customFormat="false" ht="15" hidden="false" customHeight="false" outlineLevel="0" collapsed="false">
      <c r="A1619" s="2" t="n">
        <v>2026</v>
      </c>
      <c r="B1619" s="2" t="s">
        <v>294</v>
      </c>
      <c r="C1619" s="2" t="s">
        <v>622</v>
      </c>
      <c r="D1619" s="2" t="s">
        <v>29</v>
      </c>
      <c r="E1619" s="2" t="n">
        <v>3</v>
      </c>
      <c r="F1619" s="2" t="n">
        <v>11</v>
      </c>
      <c r="G1619" s="2" t="n">
        <v>8</v>
      </c>
      <c r="H1619" s="2" t="n">
        <v>3</v>
      </c>
      <c r="I1619" s="2" t="n">
        <v>1</v>
      </c>
      <c r="J1619" s="2" t="n">
        <v>24</v>
      </c>
      <c r="K1619" s="2" t="n">
        <v>41</v>
      </c>
      <c r="L1619" s="11" t="b">
        <f aca="false">TRUE()</f>
        <v>1</v>
      </c>
      <c r="M1619" s="2" t="s">
        <v>406</v>
      </c>
      <c r="N1619" s="2" t="n">
        <f aca="false">IF(E1619&gt;0,F1619/E1619,"")</f>
        <v>3.66666666666667</v>
      </c>
      <c r="O1619" s="2" t="n">
        <f aca="false">IF(AND(E1619&gt;0,L1619),J1619/E1619,"")</f>
        <v>8</v>
      </c>
    </row>
    <row r="1620" customFormat="false" ht="15" hidden="false" customHeight="false" outlineLevel="0" collapsed="false">
      <c r="A1620" s="2" t="n">
        <v>2026</v>
      </c>
      <c r="B1620" s="2" t="s">
        <v>651</v>
      </c>
      <c r="C1620" s="2" t="s">
        <v>518</v>
      </c>
      <c r="D1620" s="2" t="s">
        <v>409</v>
      </c>
      <c r="E1620" s="2" t="n">
        <v>7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108</v>
      </c>
      <c r="K1620" s="2" t="n">
        <v>111</v>
      </c>
      <c r="L1620" s="11" t="b">
        <f aca="false">TRUE()</f>
        <v>1</v>
      </c>
      <c r="M1620" s="2" t="s">
        <v>410</v>
      </c>
      <c r="N1620" s="2" t="n">
        <f aca="false">IF(E1620&gt;0,F1620/E1620,"")</f>
        <v>0</v>
      </c>
      <c r="O1620" s="2" t="n">
        <f aca="false">IF(AND(E1620&gt;0,L1620),J1620/E1620,"")</f>
        <v>15.4285714285714</v>
      </c>
    </row>
    <row r="1621" customFormat="false" ht="15" hidden="false" customHeight="false" outlineLevel="0" collapsed="false">
      <c r="A1621" s="2" t="n">
        <v>2026</v>
      </c>
      <c r="B1621" s="2" t="s">
        <v>175</v>
      </c>
      <c r="C1621" s="2" t="s">
        <v>420</v>
      </c>
      <c r="D1621" s="2" t="s">
        <v>117</v>
      </c>
      <c r="E1621" s="2" t="n">
        <v>5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36</v>
      </c>
      <c r="K1621" s="2" t="n">
        <v>38</v>
      </c>
      <c r="L1621" s="11" t="b">
        <f aca="false">TRUE()</f>
        <v>1</v>
      </c>
      <c r="M1621" s="2" t="s">
        <v>406</v>
      </c>
      <c r="N1621" s="2" t="n">
        <f aca="false">IF(E1621&gt;0,F1621/E1621,"")</f>
        <v>0</v>
      </c>
      <c r="O1621" s="2" t="n">
        <f aca="false">IF(AND(E1621&gt;0,L1621),J1621/E1621,"")</f>
        <v>7.2</v>
      </c>
    </row>
    <row r="1622" customFormat="false" ht="15" hidden="false" customHeight="false" outlineLevel="0" collapsed="false">
      <c r="A1622" s="2" t="n">
        <v>2026</v>
      </c>
      <c r="B1622" s="2" t="s">
        <v>45</v>
      </c>
      <c r="C1622" s="2" t="s">
        <v>545</v>
      </c>
      <c r="D1622" s="2" t="s">
        <v>29</v>
      </c>
      <c r="E1622" s="2" t="n">
        <v>4</v>
      </c>
      <c r="F1622" s="2" t="n">
        <v>20</v>
      </c>
      <c r="G1622" s="2" t="n">
        <v>11</v>
      </c>
      <c r="H1622" s="2" t="n">
        <v>5</v>
      </c>
      <c r="I1622" s="2" t="n">
        <v>1</v>
      </c>
      <c r="J1622" s="2" t="n">
        <v>101</v>
      </c>
      <c r="K1622" s="2" t="n">
        <v>121</v>
      </c>
      <c r="L1622" s="11" t="b">
        <f aca="false">TRUE()</f>
        <v>1</v>
      </c>
      <c r="M1622" s="2" t="s">
        <v>406</v>
      </c>
      <c r="N1622" s="2" t="n">
        <f aca="false">IF(E1622&gt;0,F1622/E1622,"")</f>
        <v>5</v>
      </c>
      <c r="O1622" s="2" t="n">
        <f aca="false">IF(AND(E1622&gt;0,L1622),J1622/E1622,"")</f>
        <v>25.25</v>
      </c>
    </row>
    <row r="1623" customFormat="false" ht="15" hidden="false" customHeight="false" outlineLevel="0" collapsed="false">
      <c r="A1623" s="2" t="n">
        <v>2026</v>
      </c>
      <c r="B1623" s="2" t="s">
        <v>168</v>
      </c>
      <c r="C1623" s="2" t="s">
        <v>412</v>
      </c>
      <c r="D1623" s="2" t="s">
        <v>115</v>
      </c>
      <c r="E1623" s="2" t="n">
        <v>12</v>
      </c>
      <c r="F1623" s="2" t="n">
        <v>4</v>
      </c>
      <c r="G1623" s="2" t="n">
        <v>3</v>
      </c>
      <c r="H1623" s="2" t="n">
        <v>1</v>
      </c>
      <c r="I1623" s="2" t="n">
        <v>0</v>
      </c>
      <c r="J1623" s="2" t="n">
        <v>56</v>
      </c>
      <c r="K1623" s="2" t="n">
        <v>63</v>
      </c>
      <c r="L1623" s="11" t="b">
        <f aca="false">TRUE()</f>
        <v>1</v>
      </c>
      <c r="M1623" s="2" t="s">
        <v>406</v>
      </c>
      <c r="N1623" s="2" t="n">
        <f aca="false">IF(E1623&gt;0,F1623/E1623,"")</f>
        <v>0.333333333333333</v>
      </c>
      <c r="O1623" s="2" t="n">
        <f aca="false">IF(AND(E1623&gt;0,L1623),J1623/E1623,"")</f>
        <v>4.66666666666667</v>
      </c>
    </row>
    <row r="1624" customFormat="false" ht="15" hidden="false" customHeight="false" outlineLevel="0" collapsed="false">
      <c r="A1624" s="2" t="n">
        <v>2026</v>
      </c>
      <c r="B1624" s="2" t="s">
        <v>65</v>
      </c>
      <c r="C1624" s="2" t="s">
        <v>414</v>
      </c>
      <c r="D1624" s="2" t="s">
        <v>29</v>
      </c>
      <c r="E1624" s="2" t="n">
        <v>12</v>
      </c>
      <c r="F1624" s="2" t="n">
        <v>77</v>
      </c>
      <c r="G1624" s="2" t="n">
        <v>48</v>
      </c>
      <c r="H1624" s="2" t="n">
        <v>28</v>
      </c>
      <c r="I1624" s="2" t="n">
        <v>6</v>
      </c>
      <c r="J1624" s="2" t="n">
        <v>301</v>
      </c>
      <c r="K1624" s="2" t="n">
        <v>390</v>
      </c>
      <c r="L1624" s="11" t="b">
        <f aca="false">TRUE()</f>
        <v>1</v>
      </c>
      <c r="M1624" s="2" t="s">
        <v>406</v>
      </c>
      <c r="N1624" s="2" t="n">
        <f aca="false">IF(E1624&gt;0,F1624/E1624,"")</f>
        <v>6.41666666666667</v>
      </c>
      <c r="O1624" s="2" t="n">
        <f aca="false">IF(AND(E1624&gt;0,L1624),J1624/E1624,"")</f>
        <v>25.0833333333333</v>
      </c>
    </row>
    <row r="1625" customFormat="false" ht="15" hidden="false" customHeight="false" outlineLevel="0" collapsed="false">
      <c r="A1625" s="2" t="n">
        <v>2026</v>
      </c>
      <c r="B1625" s="2" t="s">
        <v>636</v>
      </c>
      <c r="C1625" s="2" t="s">
        <v>414</v>
      </c>
      <c r="D1625" s="2" t="s">
        <v>409</v>
      </c>
      <c r="E1625" s="2" t="n">
        <v>12</v>
      </c>
      <c r="F1625" s="2" t="n">
        <v>2</v>
      </c>
      <c r="G1625" s="2" t="n">
        <v>0</v>
      </c>
      <c r="H1625" s="2" t="n">
        <v>0</v>
      </c>
      <c r="I1625" s="2" t="n">
        <v>0</v>
      </c>
      <c r="J1625" s="2" t="n">
        <v>228</v>
      </c>
      <c r="K1625" s="2" t="n">
        <v>234</v>
      </c>
      <c r="L1625" s="11" t="b">
        <f aca="false">TRUE()</f>
        <v>1</v>
      </c>
      <c r="M1625" s="2" t="s">
        <v>410</v>
      </c>
      <c r="N1625" s="2" t="n">
        <f aca="false">IF(E1625&gt;0,F1625/E1625,"")</f>
        <v>0.166666666666667</v>
      </c>
      <c r="O1625" s="2" t="n">
        <f aca="false">IF(AND(E1625&gt;0,L1625),J1625/E1625,"")</f>
        <v>19</v>
      </c>
    </row>
    <row r="1626" customFormat="false" ht="15" hidden="false" customHeight="false" outlineLevel="0" collapsed="false">
      <c r="A1626" s="2" t="n">
        <v>2026</v>
      </c>
      <c r="B1626" s="2" t="s">
        <v>93</v>
      </c>
      <c r="C1626" s="2" t="s">
        <v>420</v>
      </c>
      <c r="D1626" s="2" t="s">
        <v>24</v>
      </c>
      <c r="E1626" s="2" t="n">
        <v>1</v>
      </c>
      <c r="F1626" s="2" t="n">
        <v>5</v>
      </c>
      <c r="G1626" s="2" t="n">
        <v>5</v>
      </c>
      <c r="H1626" s="2" t="n">
        <v>0</v>
      </c>
      <c r="I1626" s="2" t="n">
        <v>1</v>
      </c>
      <c r="J1626" s="2" t="n">
        <v>21</v>
      </c>
      <c r="K1626" s="2" t="n">
        <v>27</v>
      </c>
      <c r="L1626" s="11" t="b">
        <f aca="false">TRUE()</f>
        <v>1</v>
      </c>
      <c r="M1626" s="2" t="s">
        <v>410</v>
      </c>
      <c r="N1626" s="2" t="n">
        <f aca="false">IF(E1626&gt;0,F1626/E1626,"")</f>
        <v>5</v>
      </c>
      <c r="O1626" s="2" t="n">
        <f aca="false">IF(AND(E1626&gt;0,L1626),J1626/E1626,"")</f>
        <v>21</v>
      </c>
    </row>
    <row r="1627" customFormat="false" ht="15" hidden="false" customHeight="false" outlineLevel="0" collapsed="false">
      <c r="A1627" s="2" t="n">
        <v>2026</v>
      </c>
      <c r="B1627" s="2" t="s">
        <v>368</v>
      </c>
      <c r="C1627" s="2" t="s">
        <v>420</v>
      </c>
      <c r="D1627" s="2" t="s">
        <v>115</v>
      </c>
      <c r="E1627" s="2" t="n">
        <v>6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12</v>
      </c>
      <c r="K1627" s="2" t="n">
        <v>16</v>
      </c>
      <c r="L1627" s="11" t="b">
        <f aca="false">TRUE()</f>
        <v>1</v>
      </c>
      <c r="M1627" s="2" t="s">
        <v>406</v>
      </c>
      <c r="N1627" s="2" t="n">
        <f aca="false">IF(E1627&gt;0,F1627/E1627,"")</f>
        <v>0</v>
      </c>
      <c r="O1627" s="2" t="n">
        <f aca="false">IF(AND(E1627&gt;0,L1627),J1627/E1627,"")</f>
        <v>2</v>
      </c>
    </row>
    <row r="1628" customFormat="false" ht="15" hidden="false" customHeight="false" outlineLevel="0" collapsed="false">
      <c r="A1628" s="2" t="n">
        <v>2026</v>
      </c>
      <c r="B1628" s="2" t="s">
        <v>268</v>
      </c>
      <c r="C1628" s="2" t="s">
        <v>420</v>
      </c>
      <c r="D1628" s="2" t="s">
        <v>115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11" t="b">
        <f aca="false">TRUE()</f>
        <v>1</v>
      </c>
      <c r="M1628" s="2" t="s">
        <v>410</v>
      </c>
      <c r="N1628" s="2" t="str">
        <f aca="false">IF(E1628&gt;0,F1628/E1628,"")</f>
        <v/>
      </c>
      <c r="O1628" s="2" t="str">
        <f aca="false">IF(AND(E1628&gt;0,L1628),J1628/E1628,"")</f>
        <v/>
      </c>
    </row>
    <row r="1629" customFormat="false" ht="15" hidden="false" customHeight="false" outlineLevel="0" collapsed="false">
      <c r="A1629" s="2" t="n">
        <v>2026</v>
      </c>
      <c r="B1629" s="2" t="s">
        <v>129</v>
      </c>
      <c r="C1629" s="2" t="s">
        <v>420</v>
      </c>
      <c r="D1629" s="2" t="s">
        <v>24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11" t="b">
        <f aca="false">TRUE()</f>
        <v>1</v>
      </c>
      <c r="M1629" s="2" t="s">
        <v>410</v>
      </c>
      <c r="N1629" s="2" t="str">
        <f aca="false">IF(E1629&gt;0,F1629/E1629,"")</f>
        <v/>
      </c>
      <c r="O1629" s="2" t="str">
        <f aca="false">IF(AND(E1629&gt;0,L1629),J1629/E1629,"")</f>
        <v/>
      </c>
    </row>
    <row r="1630" customFormat="false" ht="15" hidden="false" customHeight="false" outlineLevel="0" collapsed="false">
      <c r="A1630" s="2" t="n">
        <v>2026</v>
      </c>
      <c r="B1630" s="2" t="s">
        <v>637</v>
      </c>
      <c r="C1630" s="2" t="s">
        <v>405</v>
      </c>
      <c r="D1630" s="2" t="s">
        <v>83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11" t="b">
        <f aca="false">TRUE()</f>
        <v>1</v>
      </c>
      <c r="M1630" s="2" t="s">
        <v>410</v>
      </c>
      <c r="N1630" s="2" t="str">
        <f aca="false">IF(E1630&gt;0,F1630/E1630,"")</f>
        <v/>
      </c>
      <c r="O1630" s="2" t="str">
        <f aca="false">IF(AND(E1630&gt;0,L1630),J1630/E1630,"")</f>
        <v/>
      </c>
    </row>
    <row r="1631" customFormat="false" ht="15" hidden="false" customHeight="false" outlineLevel="0" collapsed="false">
      <c r="A1631" s="2" t="n">
        <v>2026</v>
      </c>
      <c r="B1631" s="2" t="s">
        <v>220</v>
      </c>
      <c r="C1631" s="2" t="s">
        <v>405</v>
      </c>
      <c r="D1631" s="2" t="s">
        <v>115</v>
      </c>
      <c r="E1631" s="2" t="n">
        <v>1</v>
      </c>
      <c r="F1631" s="2" t="n">
        <v>0</v>
      </c>
      <c r="G1631" s="2" t="n">
        <v>0</v>
      </c>
      <c r="H1631" s="2" t="n">
        <v>0</v>
      </c>
      <c r="I1631" s="2" t="n">
        <v>0</v>
      </c>
      <c r="J1631" s="2" t="n">
        <v>2</v>
      </c>
      <c r="K1631" s="2" t="n">
        <v>2</v>
      </c>
      <c r="L1631" s="11" t="b">
        <f aca="false">TRUE()</f>
        <v>1</v>
      </c>
      <c r="M1631" s="2" t="s">
        <v>410</v>
      </c>
      <c r="N1631" s="2" t="n">
        <f aca="false">IF(E1631&gt;0,F1631/E1631,"")</f>
        <v>0</v>
      </c>
      <c r="O1631" s="2" t="n">
        <f aca="false">IF(AND(E1631&gt;0,L1631),J1631/E1631,"")</f>
        <v>2</v>
      </c>
    </row>
    <row r="1632" customFormat="false" ht="15" hidden="false" customHeight="false" outlineLevel="0" collapsed="false">
      <c r="A1632" s="2" t="n">
        <v>2026</v>
      </c>
      <c r="B1632" s="2" t="s">
        <v>652</v>
      </c>
      <c r="C1632" s="2" t="s">
        <v>414</v>
      </c>
      <c r="D1632" s="2" t="s">
        <v>24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11" t="b">
        <f aca="false">TRUE()</f>
        <v>1</v>
      </c>
      <c r="M1632" s="2" t="s">
        <v>410</v>
      </c>
      <c r="N1632" s="2" t="str">
        <f aca="false">IF(E1632&gt;0,F1632/E1632,"")</f>
        <v/>
      </c>
      <c r="O1632" s="2" t="str">
        <f aca="false">IF(AND(E1632&gt;0,L1632),J1632/E1632,"")</f>
        <v/>
      </c>
    </row>
    <row r="1633" customFormat="false" ht="15" hidden="false" customHeight="false" outlineLevel="0" collapsed="false">
      <c r="A1633" s="2" t="n">
        <v>2026</v>
      </c>
      <c r="B1633" s="2" t="s">
        <v>181</v>
      </c>
      <c r="C1633" s="2" t="s">
        <v>518</v>
      </c>
      <c r="D1633" s="2" t="s">
        <v>29</v>
      </c>
      <c r="E1633" s="2" t="n">
        <v>8</v>
      </c>
      <c r="F1633" s="2" t="n">
        <v>29</v>
      </c>
      <c r="G1633" s="2" t="n">
        <v>18</v>
      </c>
      <c r="H1633" s="2" t="n">
        <v>9</v>
      </c>
      <c r="I1633" s="2" t="n">
        <v>2</v>
      </c>
      <c r="J1633" s="2" t="n">
        <v>131</v>
      </c>
      <c r="K1633" s="2" t="n">
        <v>167</v>
      </c>
      <c r="L1633" s="11" t="b">
        <f aca="false">TRUE()</f>
        <v>1</v>
      </c>
      <c r="M1633" s="2" t="s">
        <v>406</v>
      </c>
      <c r="N1633" s="2" t="n">
        <f aca="false">IF(E1633&gt;0,F1633/E1633,"")</f>
        <v>3.625</v>
      </c>
      <c r="O1633" s="2" t="n">
        <f aca="false">IF(AND(E1633&gt;0,L1633),J1633/E1633,"")</f>
        <v>16.375</v>
      </c>
    </row>
    <row r="1634" customFormat="false" ht="15" hidden="false" customHeight="false" outlineLevel="0" collapsed="false">
      <c r="A1634" s="2" t="n">
        <v>2026</v>
      </c>
      <c r="B1634" s="2" t="s">
        <v>183</v>
      </c>
      <c r="C1634" s="2" t="s">
        <v>412</v>
      </c>
      <c r="D1634" s="2" t="s">
        <v>83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7</v>
      </c>
      <c r="K1634" s="2" t="n">
        <v>7</v>
      </c>
      <c r="L1634" s="11" t="b">
        <f aca="false">TRUE()</f>
        <v>1</v>
      </c>
      <c r="M1634" s="2" t="s">
        <v>410</v>
      </c>
      <c r="N1634" s="2" t="n">
        <f aca="false">IF(E1634&gt;0,F1634/E1634,"")</f>
        <v>0</v>
      </c>
      <c r="O1634" s="2" t="n">
        <f aca="false">IF(AND(E1634&gt;0,L1634),J1634/E1634,"")</f>
        <v>7</v>
      </c>
    </row>
    <row r="1635" customFormat="false" ht="15" hidden="false" customHeight="false" outlineLevel="0" collapsed="false">
      <c r="A1635" s="2" t="n">
        <v>2026</v>
      </c>
      <c r="B1635" s="2" t="s">
        <v>187</v>
      </c>
      <c r="C1635" s="2" t="s">
        <v>405</v>
      </c>
      <c r="D1635" s="2" t="s">
        <v>117</v>
      </c>
      <c r="E1635" s="2" t="n">
        <v>12</v>
      </c>
      <c r="F1635" s="2" t="n">
        <v>0</v>
      </c>
      <c r="G1635" s="2" t="n">
        <v>0</v>
      </c>
      <c r="H1635" s="2" t="n">
        <v>0</v>
      </c>
      <c r="I1635" s="2" t="n">
        <v>1</v>
      </c>
      <c r="J1635" s="2" t="n">
        <v>84</v>
      </c>
      <c r="K1635" s="2" t="n">
        <v>89</v>
      </c>
      <c r="L1635" s="11" t="b">
        <f aca="false">TRUE()</f>
        <v>1</v>
      </c>
      <c r="M1635" s="2" t="s">
        <v>406</v>
      </c>
      <c r="N1635" s="2" t="n">
        <f aca="false">IF(E1635&gt;0,F1635/E1635,"")</f>
        <v>0</v>
      </c>
      <c r="O1635" s="2" t="n">
        <f aca="false">IF(AND(E1635&gt;0,L1635),J1635/E1635,"")</f>
        <v>7</v>
      </c>
    </row>
    <row r="1636" customFormat="false" ht="15" hidden="false" customHeight="false" outlineLevel="0" collapsed="false">
      <c r="A1636" s="2" t="n">
        <v>2026</v>
      </c>
      <c r="B1636" s="2" t="s">
        <v>242</v>
      </c>
      <c r="C1636" s="2" t="s">
        <v>414</v>
      </c>
      <c r="D1636" s="2" t="s">
        <v>24</v>
      </c>
      <c r="E1636" s="2" t="n">
        <v>5</v>
      </c>
      <c r="F1636" s="2" t="n">
        <v>19</v>
      </c>
      <c r="G1636" s="2" t="n">
        <v>8</v>
      </c>
      <c r="H1636" s="2" t="n">
        <v>5</v>
      </c>
      <c r="I1636" s="2" t="n">
        <v>0</v>
      </c>
      <c r="J1636" s="2" t="n">
        <v>59</v>
      </c>
      <c r="K1636" s="2" t="n">
        <v>84</v>
      </c>
      <c r="L1636" s="11" t="b">
        <f aca="false">TRUE()</f>
        <v>1</v>
      </c>
      <c r="M1636" s="2" t="s">
        <v>406</v>
      </c>
      <c r="N1636" s="2" t="n">
        <f aca="false">IF(E1636&gt;0,F1636/E1636,"")</f>
        <v>3.8</v>
      </c>
      <c r="O1636" s="2" t="n">
        <f aca="false">IF(AND(E1636&gt;0,L1636),J1636/E1636,"")</f>
        <v>11.8</v>
      </c>
    </row>
    <row r="1637" customFormat="false" ht="15" hidden="false" customHeight="false" outlineLevel="0" collapsed="false">
      <c r="A1637" s="2" t="n">
        <v>2026</v>
      </c>
      <c r="B1637" s="2" t="s">
        <v>121</v>
      </c>
      <c r="C1637" s="2" t="s">
        <v>405</v>
      </c>
      <c r="D1637" s="2" t="s">
        <v>115</v>
      </c>
      <c r="E1637" s="2" t="n">
        <v>12</v>
      </c>
      <c r="F1637" s="2" t="n">
        <v>19</v>
      </c>
      <c r="G1637" s="2" t="n">
        <v>8</v>
      </c>
      <c r="H1637" s="2" t="n">
        <v>3</v>
      </c>
      <c r="I1637" s="2" t="n">
        <v>1</v>
      </c>
      <c r="J1637" s="2" t="n">
        <v>74</v>
      </c>
      <c r="K1637" s="2" t="n">
        <v>100</v>
      </c>
      <c r="L1637" s="11" t="b">
        <f aca="false">TRUE()</f>
        <v>1</v>
      </c>
      <c r="M1637" s="2" t="s">
        <v>406</v>
      </c>
      <c r="N1637" s="2" t="n">
        <f aca="false">IF(E1637&gt;0,F1637/E1637,"")</f>
        <v>1.58333333333333</v>
      </c>
      <c r="O1637" s="2" t="n">
        <f aca="false">IF(AND(E1637&gt;0,L1637),J1637/E1637,"")</f>
        <v>6.16666666666667</v>
      </c>
    </row>
    <row r="1638" customFormat="false" ht="15" hidden="false" customHeight="false" outlineLevel="0" collapsed="false">
      <c r="A1638" s="2" t="n">
        <v>2026</v>
      </c>
      <c r="B1638" s="2" t="s">
        <v>95</v>
      </c>
      <c r="C1638" s="2" t="s">
        <v>414</v>
      </c>
      <c r="D1638" s="2" t="s">
        <v>29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11" t="b">
        <f aca="false">TRUE()</f>
        <v>1</v>
      </c>
      <c r="M1638" s="2" t="s">
        <v>410</v>
      </c>
      <c r="N1638" s="2" t="str">
        <f aca="false">IF(E1638&gt;0,F1638/E1638,"")</f>
        <v/>
      </c>
      <c r="O1638" s="2" t="str">
        <f aca="false">IF(AND(E1638&gt;0,L1638),J1638/E1638,"")</f>
        <v/>
      </c>
    </row>
    <row r="1639" customFormat="false" ht="15" hidden="false" customHeight="false" outlineLevel="0" collapsed="false">
      <c r="A1639" s="2" t="n">
        <v>2026</v>
      </c>
      <c r="B1639" s="2" t="s">
        <v>32</v>
      </c>
      <c r="C1639" s="2" t="s">
        <v>412</v>
      </c>
      <c r="D1639" s="2" t="s">
        <v>29</v>
      </c>
      <c r="E1639" s="2" t="n">
        <v>11</v>
      </c>
      <c r="F1639" s="2" t="n">
        <v>62</v>
      </c>
      <c r="G1639" s="2" t="n">
        <v>39</v>
      </c>
      <c r="H1639" s="2" t="n">
        <v>17</v>
      </c>
      <c r="I1639" s="2" t="n">
        <v>4</v>
      </c>
      <c r="J1639" s="2" t="n">
        <v>227</v>
      </c>
      <c r="K1639" s="2" t="n">
        <v>310</v>
      </c>
      <c r="L1639" s="11" t="b">
        <f aca="false">TRUE()</f>
        <v>1</v>
      </c>
      <c r="M1639" s="2" t="s">
        <v>406</v>
      </c>
      <c r="N1639" s="2" t="n">
        <f aca="false">IF(E1639&gt;0,F1639/E1639,"")</f>
        <v>5.63636363636364</v>
      </c>
      <c r="O1639" s="2" t="n">
        <f aca="false">IF(AND(E1639&gt;0,L1639),J1639/E1639,"")</f>
        <v>20.6363636363636</v>
      </c>
    </row>
    <row r="1640" customFormat="false" ht="15" hidden="false" customHeight="false" outlineLevel="0" collapsed="false">
      <c r="A1640" s="2" t="n">
        <v>2026</v>
      </c>
      <c r="B1640" s="2" t="s">
        <v>653</v>
      </c>
      <c r="C1640" s="2" t="s">
        <v>405</v>
      </c>
      <c r="D1640" s="2" t="s">
        <v>409</v>
      </c>
      <c r="E1640" s="2" t="n">
        <v>4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20</v>
      </c>
      <c r="K1640" s="2" t="n">
        <v>24</v>
      </c>
      <c r="L1640" s="11" t="b">
        <f aca="false">TRUE()</f>
        <v>1</v>
      </c>
      <c r="M1640" s="2" t="s">
        <v>410</v>
      </c>
      <c r="N1640" s="2" t="n">
        <f aca="false">IF(E1640&gt;0,F1640/E1640,"")</f>
        <v>0</v>
      </c>
      <c r="O1640" s="2" t="n">
        <f aca="false">IF(AND(E1640&gt;0,L1640),J1640/E1640,"")</f>
        <v>5</v>
      </c>
    </row>
    <row r="1641" customFormat="false" ht="15" hidden="false" customHeight="false" outlineLevel="0" collapsed="false">
      <c r="A1641" s="2" t="n">
        <v>2026</v>
      </c>
      <c r="B1641" s="2" t="s">
        <v>46</v>
      </c>
      <c r="C1641" s="2" t="s">
        <v>518</v>
      </c>
      <c r="D1641" s="2" t="s">
        <v>83</v>
      </c>
      <c r="E1641" s="2" t="n">
        <v>11</v>
      </c>
      <c r="F1641" s="2" t="n">
        <v>10</v>
      </c>
      <c r="G1641" s="2" t="n">
        <v>8</v>
      </c>
      <c r="H1641" s="2" t="n">
        <v>2</v>
      </c>
      <c r="I1641" s="2" t="n">
        <v>11</v>
      </c>
      <c r="J1641" s="2" t="n">
        <v>171</v>
      </c>
      <c r="K1641" s="2" t="n">
        <v>186</v>
      </c>
      <c r="L1641" s="11" t="b">
        <f aca="false">TRUE()</f>
        <v>1</v>
      </c>
      <c r="M1641" s="2" t="s">
        <v>406</v>
      </c>
      <c r="N1641" s="2" t="n">
        <f aca="false">IF(E1641&gt;0,F1641/E1641,"")</f>
        <v>0.909090909090909</v>
      </c>
      <c r="O1641" s="2" t="n">
        <f aca="false">IF(AND(E1641&gt;0,L1641),J1641/E1641,"")</f>
        <v>15.5454545454545</v>
      </c>
    </row>
    <row r="1642" customFormat="false" ht="15" hidden="false" customHeight="false" outlineLevel="0" collapsed="false">
      <c r="A1642" s="2" t="n">
        <v>2026</v>
      </c>
      <c r="B1642" s="2" t="s">
        <v>205</v>
      </c>
      <c r="C1642" s="2" t="s">
        <v>412</v>
      </c>
      <c r="D1642" s="2" t="s">
        <v>29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11" t="b">
        <f aca="false">TRUE()</f>
        <v>1</v>
      </c>
      <c r="M1642" s="2" t="s">
        <v>410</v>
      </c>
      <c r="N1642" s="2" t="str">
        <f aca="false">IF(E1642&gt;0,F1642/E1642,"")</f>
        <v/>
      </c>
      <c r="O1642" s="2" t="str">
        <f aca="false">IF(AND(E1642&gt;0,L1642),J1642/E1642,"")</f>
        <v/>
      </c>
    </row>
    <row r="1643" customFormat="false" ht="15" hidden="false" customHeight="false" outlineLevel="0" collapsed="false">
      <c r="A1643" s="2" t="n">
        <v>2026</v>
      </c>
      <c r="B1643" s="2" t="s">
        <v>100</v>
      </c>
      <c r="C1643" s="2" t="s">
        <v>405</v>
      </c>
      <c r="D1643" s="2" t="s">
        <v>29</v>
      </c>
      <c r="E1643" s="2" t="n">
        <v>12</v>
      </c>
      <c r="F1643" s="2" t="n">
        <v>55</v>
      </c>
      <c r="G1643" s="2" t="n">
        <v>36</v>
      </c>
      <c r="H1643" s="2" t="n">
        <v>8</v>
      </c>
      <c r="I1643" s="2" t="n">
        <v>11</v>
      </c>
      <c r="J1643" s="2" t="n">
        <v>229</v>
      </c>
      <c r="K1643" s="2" t="n">
        <v>295</v>
      </c>
      <c r="L1643" s="11" t="b">
        <f aca="false">TRUE()</f>
        <v>1</v>
      </c>
      <c r="M1643" s="2" t="s">
        <v>406</v>
      </c>
      <c r="N1643" s="2" t="n">
        <f aca="false">IF(E1643&gt;0,F1643/E1643,"")</f>
        <v>4.58333333333333</v>
      </c>
      <c r="O1643" s="2" t="n">
        <f aca="false">IF(AND(E1643&gt;0,L1643),J1643/E1643,"")</f>
        <v>19.0833333333333</v>
      </c>
    </row>
    <row r="1644" customFormat="false" ht="15" hidden="false" customHeight="false" outlineLevel="0" collapsed="false">
      <c r="A1644" s="2" t="n">
        <v>2026</v>
      </c>
      <c r="B1644" s="2" t="s">
        <v>638</v>
      </c>
      <c r="C1644" s="2" t="s">
        <v>412</v>
      </c>
      <c r="D1644" s="2" t="s">
        <v>83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11" t="b">
        <f aca="false">TRUE()</f>
        <v>1</v>
      </c>
      <c r="M1644" s="2" t="s">
        <v>410</v>
      </c>
      <c r="N1644" s="2" t="str">
        <f aca="false">IF(E1644&gt;0,F1644/E1644,"")</f>
        <v/>
      </c>
      <c r="O1644" s="2" t="str">
        <f aca="false">IF(AND(E1644&gt;0,L1644),J1644/E1644,"")</f>
        <v/>
      </c>
    </row>
    <row r="1645" customFormat="false" ht="15" hidden="false" customHeight="false" outlineLevel="0" collapsed="false">
      <c r="A1645" s="2" t="n">
        <v>2026</v>
      </c>
      <c r="B1645" s="2" t="s">
        <v>522</v>
      </c>
      <c r="C1645" s="2" t="s">
        <v>518</v>
      </c>
      <c r="D1645" s="2" t="s">
        <v>409</v>
      </c>
      <c r="E1645" s="2" t="n">
        <v>8</v>
      </c>
      <c r="F1645" s="2" t="n">
        <v>2</v>
      </c>
      <c r="G1645" s="2" t="n">
        <v>0</v>
      </c>
      <c r="H1645" s="2" t="n">
        <v>0</v>
      </c>
      <c r="I1645" s="2" t="n">
        <v>0</v>
      </c>
      <c r="J1645" s="2" t="n">
        <v>93</v>
      </c>
      <c r="K1645" s="2" t="n">
        <v>98</v>
      </c>
      <c r="L1645" s="11" t="b">
        <f aca="false">TRUE()</f>
        <v>1</v>
      </c>
      <c r="M1645" s="2" t="s">
        <v>410</v>
      </c>
      <c r="N1645" s="2" t="n">
        <f aca="false">IF(E1645&gt;0,F1645/E1645,"")</f>
        <v>0.25</v>
      </c>
      <c r="O1645" s="2" t="n">
        <f aca="false">IF(AND(E1645&gt;0,L1645),J1645/E1645,"")</f>
        <v>11.625</v>
      </c>
    </row>
    <row r="1646" customFormat="false" ht="15" hidden="false" customHeight="false" outlineLevel="0" collapsed="false">
      <c r="A1646" s="2" t="n">
        <v>2026</v>
      </c>
      <c r="B1646" s="2" t="s">
        <v>251</v>
      </c>
      <c r="C1646" s="2" t="s">
        <v>420</v>
      </c>
      <c r="D1646" s="2" t="s">
        <v>83</v>
      </c>
      <c r="E1646" s="2" t="n">
        <v>12</v>
      </c>
      <c r="F1646" s="2" t="n">
        <v>3</v>
      </c>
      <c r="G1646" s="2" t="n">
        <v>2</v>
      </c>
      <c r="H1646" s="2" t="n">
        <v>1</v>
      </c>
      <c r="I1646" s="2" t="n">
        <v>0</v>
      </c>
      <c r="J1646" s="2" t="n">
        <v>63</v>
      </c>
      <c r="K1646" s="2" t="n">
        <v>67</v>
      </c>
      <c r="L1646" s="11" t="b">
        <f aca="false">TRUE()</f>
        <v>1</v>
      </c>
      <c r="M1646" s="2" t="s">
        <v>406</v>
      </c>
      <c r="N1646" s="2" t="n">
        <f aca="false">IF(E1646&gt;0,F1646/E1646,"")</f>
        <v>0.25</v>
      </c>
      <c r="O1646" s="2" t="n">
        <f aca="false">IF(AND(E1646&gt;0,L1646),J1646/E1646,"")</f>
        <v>5.25</v>
      </c>
    </row>
    <row r="1647" customFormat="false" ht="15" hidden="false" customHeight="false" outlineLevel="0" collapsed="false">
      <c r="A1647" s="2" t="n">
        <v>2026</v>
      </c>
      <c r="B1647" s="2" t="s">
        <v>173</v>
      </c>
      <c r="C1647" s="2" t="s">
        <v>414</v>
      </c>
      <c r="D1647" s="2" t="s">
        <v>29</v>
      </c>
      <c r="E1647" s="2" t="n">
        <v>1</v>
      </c>
      <c r="F1647" s="2" t="n">
        <v>4</v>
      </c>
      <c r="G1647" s="2" t="n">
        <v>2</v>
      </c>
      <c r="H1647" s="2" t="n">
        <v>0</v>
      </c>
      <c r="I1647" s="2" t="n">
        <v>0</v>
      </c>
      <c r="J1647" s="2" t="n">
        <v>12</v>
      </c>
      <c r="K1647" s="2" t="n">
        <v>17</v>
      </c>
      <c r="L1647" s="11" t="b">
        <f aca="false">TRUE()</f>
        <v>1</v>
      </c>
      <c r="M1647" s="2" t="s">
        <v>410</v>
      </c>
      <c r="N1647" s="2" t="n">
        <f aca="false">IF(E1647&gt;0,F1647/E1647,"")</f>
        <v>4</v>
      </c>
      <c r="O1647" s="2" t="n">
        <f aca="false">IF(AND(E1647&gt;0,L1647),J1647/E1647,"")</f>
        <v>12</v>
      </c>
    </row>
    <row r="1648" customFormat="false" ht="15" hidden="false" customHeight="false" outlineLevel="0" collapsed="false">
      <c r="A1648" s="2" t="n">
        <v>2026</v>
      </c>
      <c r="B1648" s="2" t="s">
        <v>58</v>
      </c>
      <c r="C1648" s="2" t="s">
        <v>405</v>
      </c>
      <c r="D1648" s="2" t="s">
        <v>29</v>
      </c>
      <c r="E1648" s="2" t="n">
        <v>2</v>
      </c>
      <c r="F1648" s="2" t="n">
        <v>7</v>
      </c>
      <c r="G1648" s="2" t="n">
        <v>3</v>
      </c>
      <c r="H1648" s="2" t="n">
        <v>0</v>
      </c>
      <c r="I1648" s="2" t="n">
        <v>0</v>
      </c>
      <c r="J1648" s="2" t="n">
        <v>14</v>
      </c>
      <c r="K1648" s="2" t="n">
        <v>21</v>
      </c>
      <c r="L1648" s="11" t="b">
        <f aca="false">TRUE()</f>
        <v>1</v>
      </c>
      <c r="M1648" s="2" t="s">
        <v>410</v>
      </c>
      <c r="N1648" s="2" t="n">
        <f aca="false">IF(E1648&gt;0,F1648/E1648,"")</f>
        <v>3.5</v>
      </c>
      <c r="O1648" s="2" t="n">
        <f aca="false">IF(AND(E1648&gt;0,L1648),J1648/E1648,"")</f>
        <v>7</v>
      </c>
    </row>
    <row r="1649" customFormat="false" ht="15" hidden="false" customHeight="false" outlineLevel="0" collapsed="false">
      <c r="A1649" s="2" t="n">
        <v>2026</v>
      </c>
      <c r="B1649" s="2" t="s">
        <v>267</v>
      </c>
      <c r="C1649" s="2" t="s">
        <v>420</v>
      </c>
      <c r="D1649" s="2" t="s">
        <v>83</v>
      </c>
      <c r="E1649" s="2" t="n">
        <v>12</v>
      </c>
      <c r="F1649" s="2" t="n">
        <v>5</v>
      </c>
      <c r="G1649" s="2" t="n">
        <v>5</v>
      </c>
      <c r="H1649" s="2" t="n">
        <v>2</v>
      </c>
      <c r="I1649" s="2" t="n">
        <v>0</v>
      </c>
      <c r="J1649" s="2" t="n">
        <v>80</v>
      </c>
      <c r="K1649" s="2" t="n">
        <v>88</v>
      </c>
      <c r="L1649" s="11" t="b">
        <f aca="false">TRUE()</f>
        <v>1</v>
      </c>
      <c r="M1649" s="2" t="s">
        <v>406</v>
      </c>
      <c r="N1649" s="2" t="n">
        <f aca="false">IF(E1649&gt;0,F1649/E1649,"")</f>
        <v>0.416666666666667</v>
      </c>
      <c r="O1649" s="2" t="n">
        <f aca="false">IF(AND(E1649&gt;0,L1649),J1649/E1649,"")</f>
        <v>6.66666666666667</v>
      </c>
    </row>
    <row r="1650" customFormat="false" ht="15" hidden="false" customHeight="false" outlineLevel="0" collapsed="false">
      <c r="A1650" s="2" t="n">
        <v>2026</v>
      </c>
      <c r="B1650" s="2" t="s">
        <v>355</v>
      </c>
      <c r="C1650" s="2" t="s">
        <v>408</v>
      </c>
      <c r="D1650" s="2" t="s">
        <v>117</v>
      </c>
      <c r="E1650" s="2" t="n">
        <v>2</v>
      </c>
      <c r="F1650" s="2" t="n">
        <v>1</v>
      </c>
      <c r="G1650" s="2" t="n">
        <v>0</v>
      </c>
      <c r="H1650" s="2" t="n">
        <v>0</v>
      </c>
      <c r="I1650" s="2" t="n">
        <v>0</v>
      </c>
      <c r="J1650" s="2" t="n">
        <v>14</v>
      </c>
      <c r="K1650" s="2" t="n">
        <v>15</v>
      </c>
      <c r="L1650" s="11" t="b">
        <f aca="false">TRUE()</f>
        <v>1</v>
      </c>
      <c r="M1650" s="2" t="s">
        <v>410</v>
      </c>
      <c r="N1650" s="2" t="n">
        <f aca="false">IF(E1650&gt;0,F1650/E1650,"")</f>
        <v>0.5</v>
      </c>
      <c r="O1650" s="2" t="n">
        <f aca="false">IF(AND(E1650&gt;0,L1650),J1650/E1650,"")</f>
        <v>7</v>
      </c>
    </row>
    <row r="1651" customFormat="false" ht="15" hidden="false" customHeight="false" outlineLevel="0" collapsed="false">
      <c r="A1651" s="2" t="n">
        <v>2026</v>
      </c>
      <c r="B1651" s="2" t="s">
        <v>47</v>
      </c>
      <c r="C1651" s="2" t="s">
        <v>412</v>
      </c>
      <c r="D1651" s="2" t="s">
        <v>24</v>
      </c>
      <c r="E1651" s="2" t="n">
        <v>12</v>
      </c>
      <c r="F1651" s="2" t="n">
        <v>65</v>
      </c>
      <c r="G1651" s="2" t="n">
        <v>47</v>
      </c>
      <c r="H1651" s="2" t="n">
        <v>20</v>
      </c>
      <c r="I1651" s="2" t="n">
        <v>4</v>
      </c>
      <c r="J1651" s="2" t="n">
        <v>174</v>
      </c>
      <c r="K1651" s="2" t="n">
        <v>251</v>
      </c>
      <c r="L1651" s="11" t="b">
        <f aca="false">TRUE()</f>
        <v>1</v>
      </c>
      <c r="M1651" s="2" t="s">
        <v>406</v>
      </c>
      <c r="N1651" s="2" t="n">
        <f aca="false">IF(E1651&gt;0,F1651/E1651,"")</f>
        <v>5.41666666666667</v>
      </c>
      <c r="O1651" s="2" t="n">
        <f aca="false">IF(AND(E1651&gt;0,L1651),J1651/E1651,"")</f>
        <v>14.5</v>
      </c>
    </row>
    <row r="1652" customFormat="false" ht="15" hidden="false" customHeight="false" outlineLevel="0" collapsed="false">
      <c r="A1652" s="2" t="n">
        <v>2026</v>
      </c>
      <c r="B1652" s="2" t="s">
        <v>587</v>
      </c>
      <c r="C1652" s="2" t="s">
        <v>408</v>
      </c>
      <c r="D1652" s="2" t="s">
        <v>409</v>
      </c>
      <c r="E1652" s="2" t="n">
        <v>10</v>
      </c>
      <c r="F1652" s="2" t="n">
        <v>5</v>
      </c>
      <c r="G1652" s="2" t="n">
        <v>1</v>
      </c>
      <c r="H1652" s="2" t="n">
        <v>0</v>
      </c>
      <c r="I1652" s="2" t="n">
        <v>0</v>
      </c>
      <c r="J1652" s="2" t="n">
        <v>163</v>
      </c>
      <c r="K1652" s="2" t="n">
        <v>171</v>
      </c>
      <c r="L1652" s="11" t="b">
        <f aca="false">TRUE()</f>
        <v>1</v>
      </c>
      <c r="M1652" s="2" t="s">
        <v>410</v>
      </c>
      <c r="N1652" s="2" t="n">
        <f aca="false">IF(E1652&gt;0,F1652/E1652,"")</f>
        <v>0.5</v>
      </c>
      <c r="O1652" s="2" t="n">
        <f aca="false">IF(AND(E1652&gt;0,L1652),J1652/E1652,"")</f>
        <v>16.3</v>
      </c>
    </row>
    <row r="1653" customFormat="false" ht="15" hidden="false" customHeight="false" outlineLevel="0" collapsed="false">
      <c r="A1653" s="2" t="n">
        <v>2026</v>
      </c>
      <c r="B1653" s="2" t="s">
        <v>324</v>
      </c>
      <c r="C1653" s="2" t="s">
        <v>545</v>
      </c>
      <c r="D1653" s="2" t="s">
        <v>117</v>
      </c>
      <c r="E1653" s="2" t="n">
        <v>9</v>
      </c>
      <c r="F1653" s="2" t="n">
        <v>1</v>
      </c>
      <c r="G1653" s="2" t="n">
        <v>1</v>
      </c>
      <c r="H1653" s="2" t="n">
        <v>0</v>
      </c>
      <c r="I1653" s="2" t="n">
        <v>0</v>
      </c>
      <c r="J1653" s="2" t="n">
        <v>41</v>
      </c>
      <c r="K1653" s="2" t="n">
        <v>44</v>
      </c>
      <c r="L1653" s="11" t="b">
        <f aca="false">TRUE()</f>
        <v>1</v>
      </c>
      <c r="M1653" s="2" t="s">
        <v>406</v>
      </c>
      <c r="N1653" s="2" t="n">
        <f aca="false">IF(E1653&gt;0,F1653/E1653,"")</f>
        <v>0.111111111111111</v>
      </c>
      <c r="O1653" s="2" t="n">
        <f aca="false">IF(AND(E1653&gt;0,L1653),J1653/E1653,"")</f>
        <v>4.55555555555556</v>
      </c>
    </row>
    <row r="1654" customFormat="false" ht="15" hidden="false" customHeight="false" outlineLevel="0" collapsed="false">
      <c r="A1654" s="2" t="n">
        <v>2026</v>
      </c>
      <c r="B1654" s="2" t="s">
        <v>99</v>
      </c>
      <c r="C1654" s="2" t="s">
        <v>622</v>
      </c>
      <c r="D1654" s="2" t="s">
        <v>29</v>
      </c>
      <c r="E1654" s="2" t="n">
        <v>3</v>
      </c>
      <c r="F1654" s="2" t="n">
        <v>3</v>
      </c>
      <c r="G1654" s="2" t="n">
        <v>2</v>
      </c>
      <c r="H1654" s="2" t="n">
        <v>1</v>
      </c>
      <c r="I1654" s="2" t="n">
        <v>1</v>
      </c>
      <c r="J1654" s="2" t="n">
        <v>44</v>
      </c>
      <c r="K1654" s="2" t="n">
        <v>49</v>
      </c>
      <c r="L1654" s="11" t="b">
        <f aca="false">TRUE()</f>
        <v>1</v>
      </c>
      <c r="M1654" s="2" t="s">
        <v>406</v>
      </c>
      <c r="N1654" s="2" t="n">
        <f aca="false">IF(E1654&gt;0,F1654/E1654,"")</f>
        <v>1</v>
      </c>
      <c r="O1654" s="2" t="n">
        <f aca="false">IF(AND(E1654&gt;0,L1654),J1654/E1654,"")</f>
        <v>14.6666666666667</v>
      </c>
    </row>
    <row r="1655" customFormat="false" ht="15" hidden="false" customHeight="false" outlineLevel="0" collapsed="false">
      <c r="A1655" s="2" t="n">
        <v>2026</v>
      </c>
      <c r="B1655" s="2" t="s">
        <v>43</v>
      </c>
      <c r="C1655" s="2" t="s">
        <v>545</v>
      </c>
      <c r="D1655" s="2" t="s">
        <v>29</v>
      </c>
      <c r="E1655" s="2" t="n">
        <v>0</v>
      </c>
      <c r="F1655" s="2" t="n">
        <v>0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11" t="b">
        <f aca="false">TRUE()</f>
        <v>1</v>
      </c>
      <c r="M1655" s="2" t="s">
        <v>410</v>
      </c>
      <c r="N1655" s="2" t="str">
        <f aca="false">IF(E1655&gt;0,F1655/E1655,"")</f>
        <v/>
      </c>
      <c r="O1655" s="2" t="str">
        <f aca="false">IF(AND(E1655&gt;0,L1655),J1655/E1655,"")</f>
        <v/>
      </c>
    </row>
    <row r="1656" customFormat="false" ht="15" hidden="false" customHeight="false" outlineLevel="0" collapsed="false">
      <c r="A1656" s="2" t="n">
        <v>2026</v>
      </c>
      <c r="B1656" s="2" t="s">
        <v>331</v>
      </c>
      <c r="C1656" s="2" t="s">
        <v>412</v>
      </c>
      <c r="D1656" s="2" t="s">
        <v>24</v>
      </c>
      <c r="E1656" s="2" t="n">
        <v>2</v>
      </c>
      <c r="F1656" s="2" t="n">
        <v>4</v>
      </c>
      <c r="G1656" s="2" t="n">
        <v>1</v>
      </c>
      <c r="H1656" s="2" t="n">
        <v>0</v>
      </c>
      <c r="I1656" s="2" t="n">
        <v>1</v>
      </c>
      <c r="J1656" s="2" t="n">
        <v>25</v>
      </c>
      <c r="K1656" s="2" t="n">
        <v>34</v>
      </c>
      <c r="L1656" s="11" t="b">
        <f aca="false">TRUE()</f>
        <v>1</v>
      </c>
      <c r="M1656" s="2" t="s">
        <v>410</v>
      </c>
      <c r="N1656" s="2" t="n">
        <f aca="false">IF(E1656&gt;0,F1656/E1656,"")</f>
        <v>2</v>
      </c>
      <c r="O1656" s="2" t="n">
        <f aca="false">IF(AND(E1656&gt;0,L1656),J1656/E1656,"")</f>
        <v>12.5</v>
      </c>
    </row>
    <row r="1657" customFormat="false" ht="15" hidden="false" customHeight="false" outlineLevel="0" collapsed="false">
      <c r="A1657" s="2" t="n">
        <v>2026</v>
      </c>
      <c r="B1657" s="2" t="s">
        <v>306</v>
      </c>
      <c r="C1657" s="2" t="s">
        <v>408</v>
      </c>
      <c r="D1657" s="2" t="s">
        <v>117</v>
      </c>
      <c r="E1657" s="2" t="n">
        <v>12</v>
      </c>
      <c r="F1657" s="2" t="n">
        <v>1</v>
      </c>
      <c r="G1657" s="2" t="n">
        <v>0</v>
      </c>
      <c r="H1657" s="2" t="n">
        <v>0</v>
      </c>
      <c r="I1657" s="2" t="n">
        <v>1</v>
      </c>
      <c r="J1657" s="2" t="n">
        <v>51</v>
      </c>
      <c r="K1657" s="2" t="n">
        <v>53</v>
      </c>
      <c r="L1657" s="11" t="b">
        <f aca="false">TRUE()</f>
        <v>1</v>
      </c>
      <c r="M1657" s="2" t="s">
        <v>406</v>
      </c>
      <c r="N1657" s="2" t="n">
        <f aca="false">IF(E1657&gt;0,F1657/E1657,"")</f>
        <v>0.0833333333333333</v>
      </c>
      <c r="O1657" s="2" t="n">
        <f aca="false">IF(AND(E1657&gt;0,L1657),J1657/E1657,"")</f>
        <v>4.25</v>
      </c>
    </row>
    <row r="1658" customFormat="false" ht="15" hidden="false" customHeight="false" outlineLevel="0" collapsed="false">
      <c r="A1658" s="2" t="n">
        <v>2026</v>
      </c>
      <c r="B1658" s="2" t="s">
        <v>142</v>
      </c>
      <c r="C1658" s="2" t="s">
        <v>414</v>
      </c>
      <c r="D1658" s="2" t="s">
        <v>117</v>
      </c>
      <c r="E1658" s="2" t="n">
        <v>11</v>
      </c>
      <c r="F1658" s="2" t="n">
        <v>4</v>
      </c>
      <c r="G1658" s="2" t="n">
        <v>2</v>
      </c>
      <c r="H1658" s="2" t="n">
        <v>1</v>
      </c>
      <c r="I1658" s="2" t="n">
        <v>1</v>
      </c>
      <c r="J1658" s="2" t="n">
        <v>79</v>
      </c>
      <c r="K1658" s="2" t="n">
        <v>86</v>
      </c>
      <c r="L1658" s="11" t="b">
        <f aca="false">TRUE()</f>
        <v>1</v>
      </c>
      <c r="M1658" s="2" t="s">
        <v>406</v>
      </c>
      <c r="N1658" s="2" t="n">
        <f aca="false">IF(E1658&gt;0,F1658/E1658,"")</f>
        <v>0.363636363636364</v>
      </c>
      <c r="O1658" s="2" t="n">
        <f aca="false">IF(AND(E1658&gt;0,L1658),J1658/E1658,"")</f>
        <v>7.18181818181818</v>
      </c>
    </row>
    <row r="1659" customFormat="false" ht="15" hidden="false" customHeight="false" outlineLevel="0" collapsed="false">
      <c r="A1659" s="2" t="n">
        <v>2026</v>
      </c>
      <c r="B1659" s="2" t="s">
        <v>301</v>
      </c>
      <c r="C1659" s="2" t="s">
        <v>622</v>
      </c>
      <c r="D1659" s="2" t="s">
        <v>29</v>
      </c>
      <c r="E1659" s="2" t="n">
        <v>4</v>
      </c>
      <c r="F1659" s="2" t="n">
        <v>6</v>
      </c>
      <c r="G1659" s="2" t="n">
        <v>4</v>
      </c>
      <c r="H1659" s="2" t="n">
        <v>1</v>
      </c>
      <c r="I1659" s="2" t="n">
        <v>0</v>
      </c>
      <c r="J1659" s="2" t="n">
        <v>35</v>
      </c>
      <c r="K1659" s="2" t="n">
        <v>51</v>
      </c>
      <c r="L1659" s="11" t="b">
        <f aca="false">TRUE()</f>
        <v>1</v>
      </c>
      <c r="M1659" s="2" t="s">
        <v>406</v>
      </c>
      <c r="N1659" s="2" t="n">
        <f aca="false">IF(E1659&gt;0,F1659/E1659,"")</f>
        <v>1.5</v>
      </c>
      <c r="O1659" s="2" t="n">
        <f aca="false">IF(AND(E1659&gt;0,L1659),J1659/E1659,"")</f>
        <v>8.75</v>
      </c>
    </row>
    <row r="1660" customFormat="false" ht="15" hidden="false" customHeight="false" outlineLevel="0" collapsed="false">
      <c r="A1660" s="2" t="n">
        <v>2026</v>
      </c>
      <c r="B1660" s="2" t="s">
        <v>333</v>
      </c>
      <c r="C1660" s="2" t="s">
        <v>414</v>
      </c>
      <c r="D1660" s="2" t="s">
        <v>117</v>
      </c>
      <c r="E1660" s="2" t="n">
        <v>8</v>
      </c>
      <c r="F1660" s="2" t="n">
        <v>4</v>
      </c>
      <c r="G1660" s="2" t="n">
        <v>3</v>
      </c>
      <c r="H1660" s="2" t="n">
        <v>1</v>
      </c>
      <c r="I1660" s="2" t="n">
        <v>1</v>
      </c>
      <c r="J1660" s="2" t="n">
        <v>24</v>
      </c>
      <c r="K1660" s="2" t="n">
        <v>30</v>
      </c>
      <c r="L1660" s="11" t="b">
        <f aca="false">TRUE()</f>
        <v>1</v>
      </c>
      <c r="M1660" s="2" t="s">
        <v>406</v>
      </c>
      <c r="N1660" s="2" t="n">
        <f aca="false">IF(E1660&gt;0,F1660/E1660,"")</f>
        <v>0.5</v>
      </c>
      <c r="O1660" s="2" t="n">
        <f aca="false">IF(AND(E1660&gt;0,L1660),J1660/E1660,"")</f>
        <v>3</v>
      </c>
    </row>
    <row r="1661" customFormat="false" ht="15" hidden="false" customHeight="false" outlineLevel="0" collapsed="false">
      <c r="A1661" s="2" t="n">
        <v>2026</v>
      </c>
      <c r="B1661" s="2" t="s">
        <v>81</v>
      </c>
      <c r="C1661" s="2" t="s">
        <v>420</v>
      </c>
      <c r="D1661" s="2" t="s">
        <v>24</v>
      </c>
      <c r="E1661" s="2" t="n">
        <v>12</v>
      </c>
      <c r="F1661" s="2" t="n">
        <v>64</v>
      </c>
      <c r="G1661" s="2" t="n">
        <v>35</v>
      </c>
      <c r="H1661" s="2" t="n">
        <v>15</v>
      </c>
      <c r="I1661" s="2" t="n">
        <v>4</v>
      </c>
      <c r="J1661" s="2" t="n">
        <v>169</v>
      </c>
      <c r="K1661" s="2" t="n">
        <v>250</v>
      </c>
      <c r="L1661" s="11" t="b">
        <f aca="false">TRUE()</f>
        <v>1</v>
      </c>
      <c r="M1661" s="2" t="s">
        <v>406</v>
      </c>
      <c r="N1661" s="2" t="n">
        <f aca="false">IF(E1661&gt;0,F1661/E1661,"")</f>
        <v>5.33333333333333</v>
      </c>
      <c r="O1661" s="2" t="n">
        <f aca="false">IF(AND(E1661&gt;0,L1661),J1661/E1661,"")</f>
        <v>14.0833333333333</v>
      </c>
    </row>
    <row r="1662" customFormat="false" ht="15" hidden="false" customHeight="false" outlineLevel="0" collapsed="false">
      <c r="A1662" s="2" t="n">
        <v>2026</v>
      </c>
      <c r="B1662" s="2" t="s">
        <v>315</v>
      </c>
      <c r="C1662" s="2" t="s">
        <v>414</v>
      </c>
      <c r="D1662" s="2" t="s">
        <v>83</v>
      </c>
      <c r="E1662" s="2" t="n">
        <v>9</v>
      </c>
      <c r="F1662" s="2" t="n">
        <v>3</v>
      </c>
      <c r="G1662" s="2" t="n">
        <v>3</v>
      </c>
      <c r="H1662" s="2" t="n">
        <v>1</v>
      </c>
      <c r="I1662" s="2" t="n">
        <v>1</v>
      </c>
      <c r="J1662" s="2" t="n">
        <v>39</v>
      </c>
      <c r="K1662" s="2" t="n">
        <v>44</v>
      </c>
      <c r="L1662" s="11" t="b">
        <f aca="false">TRUE()</f>
        <v>1</v>
      </c>
      <c r="M1662" s="2" t="s">
        <v>406</v>
      </c>
      <c r="N1662" s="2" t="n">
        <f aca="false">IF(E1662&gt;0,F1662/E1662,"")</f>
        <v>0.333333333333333</v>
      </c>
      <c r="O1662" s="2" t="n">
        <f aca="false">IF(AND(E1662&gt;0,L1662),J1662/E1662,"")</f>
        <v>4.33333333333333</v>
      </c>
    </row>
    <row r="1663" customFormat="false" ht="15" hidden="false" customHeight="false" outlineLevel="0" collapsed="false">
      <c r="A1663" s="2" t="n">
        <v>2026</v>
      </c>
      <c r="B1663" s="2" t="s">
        <v>384</v>
      </c>
      <c r="C1663" s="2" t="s">
        <v>518</v>
      </c>
      <c r="D1663" s="2" t="s">
        <v>83</v>
      </c>
      <c r="E1663" s="2" t="n">
        <v>1</v>
      </c>
      <c r="F1663" s="2" t="n">
        <v>0</v>
      </c>
      <c r="G1663" s="2" t="n">
        <v>0</v>
      </c>
      <c r="H1663" s="2" t="n">
        <v>0</v>
      </c>
      <c r="I1663" s="2" t="n">
        <v>0</v>
      </c>
      <c r="J1663" s="2" t="n">
        <v>5</v>
      </c>
      <c r="K1663" s="2" t="n">
        <v>5</v>
      </c>
      <c r="L1663" s="11" t="b">
        <f aca="false">TRUE()</f>
        <v>1</v>
      </c>
      <c r="M1663" s="2" t="s">
        <v>410</v>
      </c>
      <c r="N1663" s="2" t="n">
        <f aca="false">IF(E1663&gt;0,F1663/E1663,"")</f>
        <v>0</v>
      </c>
      <c r="O1663" s="2" t="n">
        <f aca="false">IF(AND(E1663&gt;0,L1663),J1663/E1663,"")</f>
        <v>5</v>
      </c>
    </row>
    <row r="1664" customFormat="false" ht="15" hidden="false" customHeight="false" outlineLevel="0" collapsed="false">
      <c r="A1664" s="2" t="n">
        <v>2026</v>
      </c>
      <c r="B1664" s="2" t="s">
        <v>138</v>
      </c>
      <c r="C1664" s="2" t="s">
        <v>405</v>
      </c>
      <c r="D1664" s="2" t="s">
        <v>29</v>
      </c>
      <c r="E1664" s="2" t="n">
        <v>10</v>
      </c>
      <c r="F1664" s="2" t="n">
        <v>43</v>
      </c>
      <c r="G1664" s="2" t="n">
        <v>27</v>
      </c>
      <c r="H1664" s="2" t="n">
        <v>11</v>
      </c>
      <c r="I1664" s="2" t="n">
        <v>5</v>
      </c>
      <c r="J1664" s="2" t="n">
        <v>126</v>
      </c>
      <c r="K1664" s="2" t="n">
        <v>183</v>
      </c>
      <c r="L1664" s="11" t="b">
        <f aca="false">TRUE()</f>
        <v>1</v>
      </c>
      <c r="M1664" s="2" t="s">
        <v>406</v>
      </c>
      <c r="N1664" s="2" t="n">
        <f aca="false">IF(E1664&gt;0,F1664/E1664,"")</f>
        <v>4.3</v>
      </c>
      <c r="O1664" s="2" t="n">
        <f aca="false">IF(AND(E1664&gt;0,L1664),J1664/E1664,"")</f>
        <v>12.6</v>
      </c>
    </row>
    <row r="1665" customFormat="false" ht="15" hidden="false" customHeight="false" outlineLevel="0" collapsed="false">
      <c r="A1665" s="2" t="n">
        <v>2026</v>
      </c>
      <c r="B1665" s="2" t="s">
        <v>248</v>
      </c>
      <c r="C1665" s="2" t="s">
        <v>420</v>
      </c>
      <c r="D1665" s="2" t="s">
        <v>29</v>
      </c>
      <c r="E1665" s="2" t="n">
        <v>7</v>
      </c>
      <c r="F1665" s="2" t="n">
        <v>10</v>
      </c>
      <c r="G1665" s="2" t="n">
        <v>6</v>
      </c>
      <c r="H1665" s="2" t="n">
        <v>2</v>
      </c>
      <c r="I1665" s="2" t="n">
        <v>0</v>
      </c>
      <c r="J1665" s="2" t="n">
        <v>88</v>
      </c>
      <c r="K1665" s="2" t="n">
        <v>100</v>
      </c>
      <c r="L1665" s="11" t="b">
        <f aca="false">TRUE()</f>
        <v>1</v>
      </c>
      <c r="M1665" s="2" t="s">
        <v>406</v>
      </c>
      <c r="N1665" s="2" t="n">
        <f aca="false">IF(E1665&gt;0,F1665/E1665,"")</f>
        <v>1.42857142857143</v>
      </c>
      <c r="O1665" s="2" t="n">
        <f aca="false">IF(AND(E1665&gt;0,L1665),J1665/E1665,"")</f>
        <v>12.5714285714286</v>
      </c>
    </row>
    <row r="1666" customFormat="false" ht="15" hidden="false" customHeight="false" outlineLevel="0" collapsed="false">
      <c r="A1666" s="2" t="n">
        <v>2026</v>
      </c>
      <c r="B1666" s="2" t="s">
        <v>625</v>
      </c>
      <c r="C1666" s="2" t="s">
        <v>412</v>
      </c>
      <c r="D1666" s="2" t="s">
        <v>409</v>
      </c>
      <c r="E1666" s="2" t="n">
        <v>12</v>
      </c>
      <c r="F1666" s="2" t="n">
        <v>1</v>
      </c>
      <c r="G1666" s="2" t="n">
        <v>0</v>
      </c>
      <c r="H1666" s="2" t="n">
        <v>0</v>
      </c>
      <c r="I1666" s="2" t="n">
        <v>0</v>
      </c>
      <c r="J1666" s="2" t="n">
        <v>197</v>
      </c>
      <c r="K1666" s="2" t="n">
        <v>203</v>
      </c>
      <c r="L1666" s="11" t="b">
        <f aca="false">TRUE()</f>
        <v>1</v>
      </c>
      <c r="M1666" s="2" t="s">
        <v>410</v>
      </c>
      <c r="N1666" s="2" t="n">
        <f aca="false">IF(E1666&gt;0,F1666/E1666,"")</f>
        <v>0.0833333333333333</v>
      </c>
      <c r="O1666" s="2" t="n">
        <f aca="false">IF(AND(E1666&gt;0,L1666),J1666/E1666,"")</f>
        <v>16.4166666666667</v>
      </c>
    </row>
    <row r="1667" customFormat="false" ht="15" hidden="false" customHeight="false" outlineLevel="0" collapsed="false">
      <c r="A1667" s="2" t="n">
        <v>2026</v>
      </c>
      <c r="B1667" s="2" t="s">
        <v>654</v>
      </c>
      <c r="C1667" s="2" t="s">
        <v>414</v>
      </c>
      <c r="D1667" s="2" t="s">
        <v>24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11" t="b">
        <f aca="false">TRUE()</f>
        <v>1</v>
      </c>
      <c r="M1667" s="2" t="s">
        <v>410</v>
      </c>
      <c r="N1667" s="2" t="str">
        <f aca="false">IF(E1667&gt;0,F1667/E1667,"")</f>
        <v/>
      </c>
      <c r="O1667" s="2" t="str">
        <f aca="false">IF(AND(E1667&gt;0,L1667),J1667/E1667,"")</f>
        <v/>
      </c>
    </row>
    <row r="1668" customFormat="false" ht="15" hidden="false" customHeight="false" outlineLevel="0" collapsed="false">
      <c r="A1668" s="2" t="n">
        <v>2026</v>
      </c>
      <c r="B1668" s="2" t="s">
        <v>158</v>
      </c>
      <c r="C1668" s="2" t="s">
        <v>545</v>
      </c>
      <c r="D1668" s="2" t="s">
        <v>83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11" t="b">
        <f aca="false">TRUE()</f>
        <v>1</v>
      </c>
      <c r="M1668" s="2" t="s">
        <v>410</v>
      </c>
      <c r="N1668" s="2" t="str">
        <f aca="false">IF(E1668&gt;0,F1668/E1668,"")</f>
        <v/>
      </c>
      <c r="O1668" s="2" t="str">
        <f aca="false">IF(AND(E1668&gt;0,L1668),J1668/E1668,"")</f>
        <v/>
      </c>
    </row>
    <row r="1669" customFormat="false" ht="15" hidden="false" customHeight="false" outlineLevel="0" collapsed="false">
      <c r="A1669" s="2" t="n">
        <v>2026</v>
      </c>
      <c r="B1669" s="2" t="s">
        <v>191</v>
      </c>
      <c r="C1669" s="2" t="s">
        <v>405</v>
      </c>
      <c r="D1669" s="2" t="s">
        <v>117</v>
      </c>
      <c r="E1669" s="2" t="n">
        <v>8</v>
      </c>
      <c r="F1669" s="2" t="n">
        <v>1</v>
      </c>
      <c r="G1669" s="2" t="n">
        <v>0</v>
      </c>
      <c r="H1669" s="2" t="n">
        <v>0</v>
      </c>
      <c r="I1669" s="2" t="n">
        <v>0</v>
      </c>
      <c r="J1669" s="2" t="n">
        <v>59</v>
      </c>
      <c r="K1669" s="2" t="n">
        <v>64</v>
      </c>
      <c r="L1669" s="11" t="b">
        <f aca="false">TRUE()</f>
        <v>1</v>
      </c>
      <c r="M1669" s="2" t="s">
        <v>406</v>
      </c>
      <c r="N1669" s="2" t="n">
        <f aca="false">IF(E1669&gt;0,F1669/E1669,"")</f>
        <v>0.125</v>
      </c>
      <c r="O1669" s="2" t="n">
        <f aca="false">IF(AND(E1669&gt;0,L1669),J1669/E1669,"")</f>
        <v>7.375</v>
      </c>
    </row>
    <row r="1670" customFormat="false" ht="15" hidden="false" customHeight="false" outlineLevel="0" collapsed="false">
      <c r="A1670" s="2" t="n">
        <v>2026</v>
      </c>
      <c r="B1670" s="2" t="s">
        <v>272</v>
      </c>
      <c r="C1670" s="2" t="s">
        <v>405</v>
      </c>
      <c r="D1670" s="2" t="s">
        <v>115</v>
      </c>
      <c r="E1670" s="2" t="n">
        <v>11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42</v>
      </c>
      <c r="K1670" s="2" t="n">
        <v>43</v>
      </c>
      <c r="L1670" s="11" t="b">
        <f aca="false">TRUE()</f>
        <v>1</v>
      </c>
      <c r="M1670" s="2" t="s">
        <v>406</v>
      </c>
      <c r="N1670" s="2" t="n">
        <f aca="false">IF(E1670&gt;0,F1670/E1670,"")</f>
        <v>0</v>
      </c>
      <c r="O1670" s="2" t="n">
        <f aca="false">IF(AND(E1670&gt;0,L1670),J1670/E1670,"")</f>
        <v>3.81818181818182</v>
      </c>
    </row>
    <row r="1671" customFormat="false" ht="15" hidden="false" customHeight="false" outlineLevel="0" collapsed="false">
      <c r="A1671" s="2" t="n">
        <v>2026</v>
      </c>
      <c r="B1671" s="2" t="s">
        <v>437</v>
      </c>
      <c r="C1671" s="2" t="s">
        <v>518</v>
      </c>
      <c r="D1671" s="2" t="s">
        <v>413</v>
      </c>
      <c r="E1671" s="2" t="n">
        <v>5</v>
      </c>
      <c r="F1671" s="2" t="n">
        <v>1</v>
      </c>
      <c r="G1671" s="2" t="n">
        <v>1</v>
      </c>
      <c r="H1671" s="2" t="n">
        <v>0</v>
      </c>
      <c r="I1671" s="2" t="n">
        <v>0</v>
      </c>
      <c r="J1671" s="2" t="n">
        <v>19</v>
      </c>
      <c r="K1671" s="2" t="n">
        <v>24</v>
      </c>
      <c r="L1671" s="11" t="b">
        <f aca="false">TRUE()</f>
        <v>1</v>
      </c>
      <c r="M1671" s="2" t="s">
        <v>410</v>
      </c>
      <c r="N1671" s="2" t="n">
        <f aca="false">IF(E1671&gt;0,F1671/E1671,"")</f>
        <v>0.2</v>
      </c>
      <c r="O1671" s="2" t="n">
        <f aca="false">IF(AND(E1671&gt;0,L1671),J1671/E1671,"")</f>
        <v>3.8</v>
      </c>
    </row>
    <row r="1672" customFormat="false" ht="15" hidden="false" customHeight="false" outlineLevel="0" collapsed="false">
      <c r="A1672" s="2" t="n">
        <v>2026</v>
      </c>
      <c r="B1672" s="2" t="s">
        <v>85</v>
      </c>
      <c r="C1672" s="2" t="s">
        <v>420</v>
      </c>
      <c r="D1672" s="2" t="s">
        <v>29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11" t="b">
        <f aca="false">TRUE()</f>
        <v>1</v>
      </c>
      <c r="M1672" s="2" t="s">
        <v>410</v>
      </c>
      <c r="N1672" s="2" t="str">
        <f aca="false">IF(E1672&gt;0,F1672/E1672,"")</f>
        <v/>
      </c>
      <c r="O1672" s="2" t="str">
        <f aca="false">IF(AND(E1672&gt;0,L1672),J1672/E1672,"")</f>
        <v/>
      </c>
    </row>
    <row r="1673" customFormat="false" ht="15" hidden="false" customHeight="false" outlineLevel="0" collapsed="false">
      <c r="A1673" s="2" t="n">
        <v>2026</v>
      </c>
      <c r="B1673" s="2" t="s">
        <v>28</v>
      </c>
      <c r="C1673" s="2" t="s">
        <v>408</v>
      </c>
      <c r="D1673" s="2" t="s">
        <v>24</v>
      </c>
      <c r="E1673" s="2" t="n">
        <v>12</v>
      </c>
      <c r="F1673" s="2" t="n">
        <v>77</v>
      </c>
      <c r="G1673" s="2" t="n">
        <v>51</v>
      </c>
      <c r="H1673" s="2" t="n">
        <v>24</v>
      </c>
      <c r="I1673" s="2" t="n">
        <v>10</v>
      </c>
      <c r="J1673" s="2" t="n">
        <v>252</v>
      </c>
      <c r="K1673" s="2" t="n">
        <v>357</v>
      </c>
      <c r="L1673" s="11" t="b">
        <f aca="false">TRUE()</f>
        <v>1</v>
      </c>
      <c r="M1673" s="2" t="s">
        <v>406</v>
      </c>
      <c r="N1673" s="2" t="n">
        <f aca="false">IF(E1673&gt;0,F1673/E1673,"")</f>
        <v>6.41666666666667</v>
      </c>
      <c r="O1673" s="2" t="n">
        <f aca="false">IF(AND(E1673&gt;0,L1673),J1673/E1673,"")</f>
        <v>21</v>
      </c>
    </row>
    <row r="1674" customFormat="false" ht="15" hidden="false" customHeight="false" outlineLevel="0" collapsed="false">
      <c r="A1674" s="2" t="n">
        <v>2026</v>
      </c>
      <c r="B1674" s="2" t="s">
        <v>303</v>
      </c>
      <c r="C1674" s="2" t="s">
        <v>408</v>
      </c>
      <c r="D1674" s="2" t="s">
        <v>29</v>
      </c>
      <c r="E1674" s="2" t="n">
        <v>1</v>
      </c>
      <c r="F1674" s="2" t="n">
        <v>3</v>
      </c>
      <c r="G1674" s="2" t="n">
        <v>0</v>
      </c>
      <c r="H1674" s="2" t="n">
        <v>0</v>
      </c>
      <c r="I1674" s="2" t="n">
        <v>0</v>
      </c>
      <c r="J1674" s="2" t="n">
        <v>13</v>
      </c>
      <c r="K1674" s="2" t="n">
        <v>18</v>
      </c>
      <c r="L1674" s="11" t="b">
        <f aca="false">TRUE()</f>
        <v>1</v>
      </c>
      <c r="M1674" s="2" t="s">
        <v>410</v>
      </c>
      <c r="N1674" s="2" t="n">
        <f aca="false">IF(E1674&gt;0,F1674/E1674,"")</f>
        <v>3</v>
      </c>
      <c r="O1674" s="2" t="n">
        <f aca="false">IF(AND(E1674&gt;0,L1674),J1674/E1674,"")</f>
        <v>13</v>
      </c>
    </row>
    <row r="1675" customFormat="false" ht="15" hidden="false" customHeight="false" outlineLevel="0" collapsed="false">
      <c r="A1675" s="2" t="n">
        <v>2026</v>
      </c>
      <c r="B1675" s="2" t="s">
        <v>391</v>
      </c>
      <c r="C1675" s="2" t="s">
        <v>543</v>
      </c>
      <c r="D1675" s="2" t="s">
        <v>115</v>
      </c>
      <c r="E1675" s="2" t="n">
        <v>4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2</v>
      </c>
      <c r="K1675" s="2" t="n">
        <v>6</v>
      </c>
      <c r="L1675" s="11" t="b">
        <f aca="false">TRUE()</f>
        <v>1</v>
      </c>
      <c r="M1675" s="2" t="s">
        <v>406</v>
      </c>
      <c r="N1675" s="2" t="n">
        <f aca="false">IF(E1675&gt;0,F1675/E1675,"")</f>
        <v>0</v>
      </c>
      <c r="O1675" s="2" t="n">
        <f aca="false">IF(AND(E1675&gt;0,L1675),J1675/E1675,"")</f>
        <v>0.5</v>
      </c>
    </row>
    <row r="1676" customFormat="false" ht="15" hidden="false" customHeight="false" outlineLevel="0" collapsed="false">
      <c r="A1676" s="2" t="n">
        <v>2026</v>
      </c>
      <c r="B1676" s="2" t="s">
        <v>378</v>
      </c>
      <c r="C1676" s="2" t="s">
        <v>412</v>
      </c>
      <c r="D1676" s="2" t="s">
        <v>83</v>
      </c>
      <c r="E1676" s="2" t="n">
        <v>1</v>
      </c>
      <c r="F1676" s="2" t="n">
        <v>1</v>
      </c>
      <c r="G1676" s="2" t="n">
        <v>0</v>
      </c>
      <c r="H1676" s="2" t="n">
        <v>0</v>
      </c>
      <c r="I1676" s="2" t="n">
        <v>0</v>
      </c>
      <c r="J1676" s="2" t="n">
        <v>3</v>
      </c>
      <c r="K1676" s="2" t="n">
        <v>4</v>
      </c>
      <c r="L1676" s="11" t="b">
        <f aca="false">TRUE()</f>
        <v>1</v>
      </c>
      <c r="M1676" s="2" t="s">
        <v>410</v>
      </c>
      <c r="N1676" s="2" t="n">
        <f aca="false">IF(E1676&gt;0,F1676/E1676,"")</f>
        <v>1</v>
      </c>
      <c r="O1676" s="2" t="n">
        <f aca="false">IF(AND(E1676&gt;0,L1676),J1676/E1676,"")</f>
        <v>3</v>
      </c>
    </row>
    <row r="1677" customFormat="false" ht="15" hidden="false" customHeight="false" outlineLevel="0" collapsed="false">
      <c r="A1677" s="2" t="n">
        <v>2026</v>
      </c>
      <c r="B1677" s="2" t="s">
        <v>213</v>
      </c>
      <c r="C1677" s="2" t="s">
        <v>518</v>
      </c>
      <c r="D1677" s="2" t="s">
        <v>117</v>
      </c>
      <c r="E1677" s="2" t="n">
        <v>12</v>
      </c>
      <c r="F1677" s="2" t="n">
        <v>12</v>
      </c>
      <c r="G1677" s="2" t="n">
        <v>7</v>
      </c>
      <c r="H1677" s="2" t="n">
        <v>2</v>
      </c>
      <c r="I1677" s="2" t="n">
        <v>1</v>
      </c>
      <c r="J1677" s="2" t="n">
        <v>40</v>
      </c>
      <c r="K1677" s="2" t="n">
        <v>56</v>
      </c>
      <c r="L1677" s="11" t="b">
        <f aca="false">TRUE()</f>
        <v>1</v>
      </c>
      <c r="M1677" s="2" t="s">
        <v>406</v>
      </c>
      <c r="N1677" s="2" t="n">
        <f aca="false">IF(E1677&gt;0,F1677/E1677,"")</f>
        <v>1</v>
      </c>
      <c r="O1677" s="2" t="n">
        <f aca="false">IF(AND(E1677&gt;0,L1677),J1677/E1677,"")</f>
        <v>3.33333333333333</v>
      </c>
    </row>
    <row r="1678" customFormat="false" ht="15" hidden="false" customHeight="false" outlineLevel="0" collapsed="false">
      <c r="A1678" s="2" t="n">
        <v>2026</v>
      </c>
      <c r="B1678" s="2" t="s">
        <v>365</v>
      </c>
      <c r="C1678" s="2" t="s">
        <v>543</v>
      </c>
      <c r="D1678" s="2" t="s">
        <v>83</v>
      </c>
      <c r="E1678" s="2" t="n">
        <v>2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14</v>
      </c>
      <c r="K1678" s="2" t="n">
        <v>14</v>
      </c>
      <c r="L1678" s="11" t="b">
        <f aca="false">TRUE()</f>
        <v>1</v>
      </c>
      <c r="M1678" s="2" t="s">
        <v>410</v>
      </c>
      <c r="N1678" s="2" t="n">
        <f aca="false">IF(E1678&gt;0,F1678/E1678,"")</f>
        <v>0</v>
      </c>
      <c r="O1678" s="2" t="n">
        <f aca="false">IF(AND(E1678&gt;0,L1678),J1678/E1678,"")</f>
        <v>7</v>
      </c>
    </row>
    <row r="1679" customFormat="false" ht="15" hidden="false" customHeight="false" outlineLevel="0" collapsed="false">
      <c r="A1679" s="2" t="n">
        <v>2026</v>
      </c>
      <c r="B1679" s="2" t="s">
        <v>30</v>
      </c>
      <c r="C1679" s="2" t="s">
        <v>405</v>
      </c>
      <c r="D1679" s="2" t="s">
        <v>29</v>
      </c>
      <c r="E1679" s="2" t="n">
        <v>10</v>
      </c>
      <c r="F1679" s="2" t="n">
        <v>44</v>
      </c>
      <c r="G1679" s="2" t="n">
        <v>31</v>
      </c>
      <c r="H1679" s="2" t="n">
        <v>18</v>
      </c>
      <c r="I1679" s="2" t="n">
        <v>10</v>
      </c>
      <c r="J1679" s="2" t="n">
        <v>202</v>
      </c>
      <c r="K1679" s="2" t="n">
        <v>271</v>
      </c>
      <c r="L1679" s="11" t="b">
        <f aca="false">TRUE()</f>
        <v>1</v>
      </c>
      <c r="M1679" s="2" t="s">
        <v>406</v>
      </c>
      <c r="N1679" s="2" t="n">
        <f aca="false">IF(E1679&gt;0,F1679/E1679,"")</f>
        <v>4.4</v>
      </c>
      <c r="O1679" s="2" t="n">
        <f aca="false">IF(AND(E1679&gt;0,L1679),J1679/E1679,"")</f>
        <v>20.2</v>
      </c>
    </row>
    <row r="1680" customFormat="false" ht="15" hidden="false" customHeight="false" outlineLevel="0" collapsed="false">
      <c r="A1680" s="2" t="n">
        <v>2026</v>
      </c>
      <c r="B1680" s="2" t="s">
        <v>110</v>
      </c>
      <c r="C1680" s="2" t="s">
        <v>622</v>
      </c>
      <c r="D1680" s="2" t="s">
        <v>83</v>
      </c>
      <c r="E1680" s="2" t="n">
        <v>12</v>
      </c>
      <c r="F1680" s="2" t="n">
        <v>14</v>
      </c>
      <c r="G1680" s="2" t="n">
        <v>8</v>
      </c>
      <c r="H1680" s="2" t="n">
        <v>5</v>
      </c>
      <c r="I1680" s="2" t="n">
        <v>3</v>
      </c>
      <c r="J1680" s="2" t="n">
        <v>84</v>
      </c>
      <c r="K1680" s="2" t="n">
        <v>99</v>
      </c>
      <c r="L1680" s="11" t="b">
        <f aca="false">TRUE()</f>
        <v>1</v>
      </c>
      <c r="M1680" s="2" t="s">
        <v>406</v>
      </c>
      <c r="N1680" s="2" t="n">
        <f aca="false">IF(E1680&gt;0,F1680/E1680,"")</f>
        <v>1.16666666666667</v>
      </c>
      <c r="O1680" s="2" t="n">
        <f aca="false">IF(AND(E1680&gt;0,L1680),J1680/E1680,"")</f>
        <v>7</v>
      </c>
    </row>
    <row r="1681" customFormat="false" ht="15" hidden="false" customHeight="false" outlineLevel="0" collapsed="false">
      <c r="A1681" s="2" t="n">
        <v>2026</v>
      </c>
      <c r="B1681" s="2" t="s">
        <v>366</v>
      </c>
      <c r="C1681" s="2" t="s">
        <v>545</v>
      </c>
      <c r="D1681" s="2" t="s">
        <v>115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11" t="b">
        <f aca="false">TRUE()</f>
        <v>1</v>
      </c>
      <c r="M1681" s="2" t="s">
        <v>410</v>
      </c>
      <c r="N1681" s="2" t="str">
        <f aca="false">IF(E1681&gt;0,F1681/E1681,"")</f>
        <v/>
      </c>
      <c r="O1681" s="2" t="str">
        <f aca="false">IF(AND(E1681&gt;0,L1681),J1681/E1681,"")</f>
        <v/>
      </c>
    </row>
    <row r="1682" customFormat="false" ht="15" hidden="false" customHeight="false" outlineLevel="0" collapsed="false">
      <c r="A1682" s="2" t="n">
        <v>2026</v>
      </c>
      <c r="B1682" s="2" t="s">
        <v>246</v>
      </c>
      <c r="C1682" s="2" t="s">
        <v>408</v>
      </c>
      <c r="D1682" s="2" t="s">
        <v>29</v>
      </c>
      <c r="E1682" s="2" t="n">
        <v>3</v>
      </c>
      <c r="F1682" s="2" t="n">
        <v>16</v>
      </c>
      <c r="G1682" s="2" t="n">
        <v>10</v>
      </c>
      <c r="H1682" s="2" t="n">
        <v>4</v>
      </c>
      <c r="I1682" s="2" t="n">
        <v>0</v>
      </c>
      <c r="J1682" s="2" t="n">
        <v>68</v>
      </c>
      <c r="K1682" s="2" t="n">
        <v>87</v>
      </c>
      <c r="L1682" s="11" t="b">
        <f aca="false">TRUE()</f>
        <v>1</v>
      </c>
      <c r="M1682" s="2" t="s">
        <v>406</v>
      </c>
      <c r="N1682" s="2" t="n">
        <f aca="false">IF(E1682&gt;0,F1682/E1682,"")</f>
        <v>5.33333333333333</v>
      </c>
      <c r="O1682" s="2" t="n">
        <f aca="false">IF(AND(E1682&gt;0,L1682),J1682/E1682,"")</f>
        <v>22.6666666666667</v>
      </c>
    </row>
    <row r="1683" customFormat="false" ht="15" hidden="false" customHeight="false" outlineLevel="0" collapsed="false">
      <c r="A1683" s="2" t="n">
        <v>2026</v>
      </c>
      <c r="B1683" s="2" t="s">
        <v>144</v>
      </c>
      <c r="C1683" s="2" t="s">
        <v>622</v>
      </c>
      <c r="D1683" s="2" t="s">
        <v>117</v>
      </c>
      <c r="E1683" s="2" t="n">
        <v>11</v>
      </c>
      <c r="F1683" s="2" t="n">
        <v>1</v>
      </c>
      <c r="G1683" s="2" t="n">
        <v>0</v>
      </c>
      <c r="H1683" s="2" t="n">
        <v>0</v>
      </c>
      <c r="I1683" s="2" t="n">
        <v>1</v>
      </c>
      <c r="J1683" s="2" t="n">
        <v>72</v>
      </c>
      <c r="K1683" s="2" t="n">
        <v>75</v>
      </c>
      <c r="L1683" s="11" t="b">
        <f aca="false">TRUE()</f>
        <v>1</v>
      </c>
      <c r="M1683" s="2" t="s">
        <v>406</v>
      </c>
      <c r="N1683" s="2" t="n">
        <f aca="false">IF(E1683&gt;0,F1683/E1683,"")</f>
        <v>0.0909090909090909</v>
      </c>
      <c r="O1683" s="2" t="n">
        <f aca="false">IF(AND(E1683&gt;0,L1683),J1683/E1683,"")</f>
        <v>6.54545454545455</v>
      </c>
    </row>
    <row r="1684" customFormat="false" ht="15" hidden="false" customHeight="false" outlineLevel="0" collapsed="false">
      <c r="A1684" s="2" t="n">
        <v>2026</v>
      </c>
      <c r="B1684" s="2" t="s">
        <v>215</v>
      </c>
      <c r="C1684" s="2" t="s">
        <v>420</v>
      </c>
      <c r="D1684" s="2" t="s">
        <v>83</v>
      </c>
      <c r="E1684" s="2" t="n">
        <v>1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2</v>
      </c>
      <c r="K1684" s="2" t="n">
        <v>2</v>
      </c>
      <c r="L1684" s="11" t="b">
        <f aca="false">TRUE()</f>
        <v>1</v>
      </c>
      <c r="M1684" s="2" t="s">
        <v>410</v>
      </c>
      <c r="N1684" s="2" t="n">
        <f aca="false">IF(E1684&gt;0,F1684/E1684,"")</f>
        <v>0</v>
      </c>
      <c r="O1684" s="2" t="n">
        <f aca="false">IF(AND(E1684&gt;0,L1684),J1684/E1684,"")</f>
        <v>2</v>
      </c>
    </row>
    <row r="1685" customFormat="false" ht="15" hidden="false" customHeight="false" outlineLevel="0" collapsed="false">
      <c r="A1685" s="2" t="n">
        <v>2026</v>
      </c>
      <c r="B1685" s="2" t="s">
        <v>190</v>
      </c>
      <c r="C1685" s="2" t="s">
        <v>412</v>
      </c>
      <c r="D1685" s="2" t="s">
        <v>83</v>
      </c>
      <c r="E1685" s="2" t="n">
        <v>10</v>
      </c>
      <c r="F1685" s="2" t="n">
        <v>4</v>
      </c>
      <c r="G1685" s="2" t="n">
        <v>2</v>
      </c>
      <c r="H1685" s="2" t="n">
        <v>2</v>
      </c>
      <c r="I1685" s="2" t="n">
        <v>0</v>
      </c>
      <c r="J1685" s="2" t="n">
        <v>31</v>
      </c>
      <c r="K1685" s="2" t="n">
        <v>39</v>
      </c>
      <c r="L1685" s="11" t="b">
        <f aca="false">TRUE()</f>
        <v>1</v>
      </c>
      <c r="M1685" s="2" t="s">
        <v>406</v>
      </c>
      <c r="N1685" s="2" t="n">
        <f aca="false">IF(E1685&gt;0,F1685/E1685,"")</f>
        <v>0.4</v>
      </c>
      <c r="O1685" s="2" t="n">
        <f aca="false">IF(AND(E1685&gt;0,L1685),J1685/E1685,"")</f>
        <v>3.1</v>
      </c>
    </row>
    <row r="1686" customFormat="false" ht="15" hidden="false" customHeight="false" outlineLevel="0" collapsed="false">
      <c r="A1686" s="2" t="n">
        <v>2026</v>
      </c>
      <c r="B1686" s="2" t="s">
        <v>164</v>
      </c>
      <c r="C1686" s="2" t="s">
        <v>545</v>
      </c>
      <c r="D1686" s="2" t="s">
        <v>83</v>
      </c>
      <c r="E1686" s="2" t="n">
        <v>12</v>
      </c>
      <c r="F1686" s="2" t="n">
        <v>0</v>
      </c>
      <c r="G1686" s="2" t="n">
        <v>0</v>
      </c>
      <c r="H1686" s="2" t="n">
        <v>0</v>
      </c>
      <c r="I1686" s="2" t="n">
        <v>1</v>
      </c>
      <c r="J1686" s="2" t="n">
        <v>37</v>
      </c>
      <c r="K1686" s="2" t="n">
        <v>40</v>
      </c>
      <c r="L1686" s="11" t="b">
        <f aca="false">TRUE()</f>
        <v>1</v>
      </c>
      <c r="M1686" s="2" t="s">
        <v>406</v>
      </c>
      <c r="N1686" s="2" t="n">
        <f aca="false">IF(E1686&gt;0,F1686/E1686,"")</f>
        <v>0</v>
      </c>
      <c r="O1686" s="2" t="n">
        <f aca="false">IF(AND(E1686&gt;0,L1686),J1686/E1686,"")</f>
        <v>3.08333333333333</v>
      </c>
    </row>
    <row r="1687" customFormat="false" ht="15" hidden="false" customHeight="false" outlineLevel="0" collapsed="false">
      <c r="A1687" s="2" t="n">
        <v>2026</v>
      </c>
      <c r="B1687" s="2" t="s">
        <v>286</v>
      </c>
      <c r="C1687" s="2" t="s">
        <v>412</v>
      </c>
      <c r="D1687" s="2" t="s">
        <v>115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11" t="b">
        <f aca="false">TRUE()</f>
        <v>1</v>
      </c>
      <c r="M1687" s="2" t="s">
        <v>410</v>
      </c>
      <c r="N1687" s="2" t="str">
        <f aca="false">IF(E1687&gt;0,F1687/E1687,"")</f>
        <v/>
      </c>
      <c r="O1687" s="2" t="str">
        <f aca="false">IF(AND(E1687&gt;0,L1687),J1687/E1687,"")</f>
        <v/>
      </c>
    </row>
    <row r="1688" customFormat="false" ht="15" hidden="false" customHeight="false" outlineLevel="0" collapsed="false">
      <c r="A1688" s="2" t="n">
        <v>2026</v>
      </c>
      <c r="B1688" s="2" t="s">
        <v>186</v>
      </c>
      <c r="C1688" s="2" t="s">
        <v>545</v>
      </c>
      <c r="D1688" s="2" t="s">
        <v>117</v>
      </c>
      <c r="E1688" s="2" t="n">
        <v>12</v>
      </c>
      <c r="F1688" s="2" t="n">
        <v>9</v>
      </c>
      <c r="G1688" s="2" t="n">
        <v>4</v>
      </c>
      <c r="H1688" s="2" t="n">
        <v>1</v>
      </c>
      <c r="I1688" s="2" t="n">
        <v>1</v>
      </c>
      <c r="J1688" s="2" t="n">
        <v>91</v>
      </c>
      <c r="K1688" s="2" t="n">
        <v>104</v>
      </c>
      <c r="L1688" s="11" t="b">
        <f aca="false">TRUE()</f>
        <v>1</v>
      </c>
      <c r="M1688" s="2" t="s">
        <v>406</v>
      </c>
      <c r="N1688" s="2" t="n">
        <f aca="false">IF(E1688&gt;0,F1688/E1688,"")</f>
        <v>0.75</v>
      </c>
      <c r="O1688" s="2" t="n">
        <f aca="false">IF(AND(E1688&gt;0,L1688),J1688/E1688,"")</f>
        <v>7.58333333333333</v>
      </c>
    </row>
    <row r="1689" customFormat="false" ht="15" hidden="false" customHeight="false" outlineLevel="0" collapsed="false">
      <c r="A1689" s="2" t="n">
        <v>2026</v>
      </c>
      <c r="B1689" s="2" t="s">
        <v>328</v>
      </c>
      <c r="C1689" s="2" t="s">
        <v>622</v>
      </c>
      <c r="D1689" s="2" t="s">
        <v>83</v>
      </c>
      <c r="E1689" s="2" t="n">
        <v>10</v>
      </c>
      <c r="F1689" s="2" t="n">
        <v>2</v>
      </c>
      <c r="G1689" s="2" t="n">
        <v>1</v>
      </c>
      <c r="H1689" s="2" t="n">
        <v>0</v>
      </c>
      <c r="I1689" s="2" t="n">
        <v>0</v>
      </c>
      <c r="J1689" s="2" t="n">
        <v>21</v>
      </c>
      <c r="K1689" s="2" t="n">
        <v>26</v>
      </c>
      <c r="L1689" s="11" t="b">
        <f aca="false">TRUE()</f>
        <v>1</v>
      </c>
      <c r="M1689" s="2" t="s">
        <v>406</v>
      </c>
      <c r="N1689" s="2" t="n">
        <f aca="false">IF(E1689&gt;0,F1689/E1689,"")</f>
        <v>0.2</v>
      </c>
      <c r="O1689" s="2" t="n">
        <f aca="false">IF(AND(E1689&gt;0,L1689),J1689/E1689,"")</f>
        <v>2.1</v>
      </c>
    </row>
    <row r="1690" customFormat="false" ht="15" hidden="false" customHeight="false" outlineLevel="0" collapsed="false">
      <c r="A1690" s="2" t="n">
        <v>2026</v>
      </c>
      <c r="B1690" s="2" t="s">
        <v>255</v>
      </c>
      <c r="C1690" s="2" t="s">
        <v>622</v>
      </c>
      <c r="D1690" s="2" t="s">
        <v>115</v>
      </c>
      <c r="E1690" s="2" t="n">
        <v>1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4</v>
      </c>
      <c r="K1690" s="2" t="n">
        <v>4</v>
      </c>
      <c r="L1690" s="11" t="b">
        <f aca="false">TRUE()</f>
        <v>1</v>
      </c>
      <c r="M1690" s="2" t="s">
        <v>410</v>
      </c>
      <c r="N1690" s="2" t="n">
        <f aca="false">IF(E1690&gt;0,F1690/E1690,"")</f>
        <v>0</v>
      </c>
      <c r="O1690" s="2" t="n">
        <f aca="false">IF(AND(E1690&gt;0,L1690),J1690/E1690,"")</f>
        <v>4</v>
      </c>
    </row>
    <row r="1691" customFormat="false" ht="15" hidden="false" customHeight="false" outlineLevel="0" collapsed="false">
      <c r="A1691" s="2" t="n">
        <v>2026</v>
      </c>
      <c r="B1691" s="2" t="s">
        <v>385</v>
      </c>
      <c r="C1691" s="2" t="s">
        <v>420</v>
      </c>
      <c r="D1691" s="2" t="s">
        <v>83</v>
      </c>
      <c r="E1691" s="2" t="n">
        <v>2</v>
      </c>
      <c r="F1691" s="2" t="n">
        <v>0</v>
      </c>
      <c r="G1691" s="2" t="n">
        <v>0</v>
      </c>
      <c r="H1691" s="2" t="n">
        <v>0</v>
      </c>
      <c r="I1691" s="2" t="n">
        <v>0</v>
      </c>
      <c r="J1691" s="2" t="n">
        <v>4</v>
      </c>
      <c r="K1691" s="2" t="n">
        <v>5</v>
      </c>
      <c r="L1691" s="11" t="b">
        <f aca="false">TRUE()</f>
        <v>1</v>
      </c>
      <c r="M1691" s="2" t="s">
        <v>410</v>
      </c>
      <c r="N1691" s="2" t="n">
        <f aca="false">IF(E1691&gt;0,F1691/E1691,"")</f>
        <v>0</v>
      </c>
      <c r="O1691" s="2" t="n">
        <f aca="false">IF(AND(E1691&gt;0,L1691),J1691/E1691,"")</f>
        <v>2</v>
      </c>
    </row>
    <row r="1692" customFormat="false" ht="15" hidden="false" customHeight="false" outlineLevel="0" collapsed="false">
      <c r="A1692" s="2" t="n">
        <v>2026</v>
      </c>
      <c r="B1692" s="2" t="s">
        <v>40</v>
      </c>
      <c r="C1692" s="2" t="s">
        <v>518</v>
      </c>
      <c r="D1692" s="2" t="s">
        <v>29</v>
      </c>
      <c r="E1692" s="2" t="n">
        <v>10</v>
      </c>
      <c r="F1692" s="2" t="n">
        <v>57</v>
      </c>
      <c r="G1692" s="2" t="n">
        <v>26</v>
      </c>
      <c r="H1692" s="2" t="n">
        <v>11</v>
      </c>
      <c r="I1692" s="2" t="n">
        <v>4</v>
      </c>
      <c r="J1692" s="2" t="n">
        <v>161</v>
      </c>
      <c r="K1692" s="2" t="n">
        <v>227</v>
      </c>
      <c r="L1692" s="11" t="b">
        <f aca="false">TRUE()</f>
        <v>1</v>
      </c>
      <c r="M1692" s="2" t="s">
        <v>406</v>
      </c>
      <c r="N1692" s="2" t="n">
        <f aca="false">IF(E1692&gt;0,F1692/E1692,"")</f>
        <v>5.7</v>
      </c>
      <c r="O1692" s="2" t="n">
        <f aca="false">IF(AND(E1692&gt;0,L1692),J1692/E1692,"")</f>
        <v>16.1</v>
      </c>
    </row>
    <row r="1693" customFormat="false" ht="15" hidden="false" customHeight="false" outlineLevel="0" collapsed="false">
      <c r="A1693" s="2" t="n">
        <v>2026</v>
      </c>
      <c r="B1693" s="2" t="s">
        <v>224</v>
      </c>
      <c r="C1693" s="2" t="s">
        <v>408</v>
      </c>
      <c r="D1693" s="2" t="s">
        <v>83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11" t="b">
        <f aca="false">TRUE()</f>
        <v>1</v>
      </c>
      <c r="M1693" s="2" t="s">
        <v>410</v>
      </c>
      <c r="N1693" s="2" t="str">
        <f aca="false">IF(E1693&gt;0,F1693/E1693,"")</f>
        <v/>
      </c>
      <c r="O1693" s="2" t="str">
        <f aca="false">IF(AND(E1693&gt;0,L1693),J1693/E1693,"")</f>
        <v/>
      </c>
    </row>
    <row r="1694" customFormat="false" ht="15" hidden="false" customHeight="false" outlineLevel="0" collapsed="false">
      <c r="A1694" s="2" t="n">
        <v>2026</v>
      </c>
      <c r="B1694" s="2" t="s">
        <v>269</v>
      </c>
      <c r="C1694" s="2" t="s">
        <v>405</v>
      </c>
      <c r="D1694" s="2" t="s">
        <v>115</v>
      </c>
      <c r="E1694" s="2" t="n">
        <v>3</v>
      </c>
      <c r="F1694" s="2" t="n">
        <v>3</v>
      </c>
      <c r="G1694" s="2" t="n">
        <v>2</v>
      </c>
      <c r="H1694" s="2" t="n">
        <v>0</v>
      </c>
      <c r="I1694" s="2" t="n">
        <v>0</v>
      </c>
      <c r="J1694" s="2" t="n">
        <v>21</v>
      </c>
      <c r="K1694" s="2" t="n">
        <v>24</v>
      </c>
      <c r="L1694" s="11" t="b">
        <f aca="false">TRUE()</f>
        <v>1</v>
      </c>
      <c r="M1694" s="2" t="s">
        <v>406</v>
      </c>
      <c r="N1694" s="2" t="n">
        <f aca="false">IF(E1694&gt;0,F1694/E1694,"")</f>
        <v>1</v>
      </c>
      <c r="O1694" s="2" t="n">
        <f aca="false">IF(AND(E1694&gt;0,L1694),J1694/E1694,"")</f>
        <v>7</v>
      </c>
    </row>
    <row r="1695" customFormat="false" ht="15" hidden="false" customHeight="false" outlineLevel="0" collapsed="false">
      <c r="A1695" s="2" t="n">
        <v>2026</v>
      </c>
      <c r="B1695" s="2" t="s">
        <v>655</v>
      </c>
      <c r="C1695" s="2" t="s">
        <v>420</v>
      </c>
      <c r="D1695" s="2" t="s">
        <v>24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11" t="b">
        <f aca="false">TRUE()</f>
        <v>1</v>
      </c>
      <c r="M1695" s="2" t="s">
        <v>410</v>
      </c>
      <c r="N1695" s="2" t="str">
        <f aca="false">IF(E1695&gt;0,F1695/E1695,"")</f>
        <v/>
      </c>
      <c r="O1695" s="2" t="str">
        <f aca="false">IF(AND(E1695&gt;0,L1695),J1695/E1695,"")</f>
        <v/>
      </c>
    </row>
    <row r="1696" customFormat="false" ht="15" hidden="false" customHeight="false" outlineLevel="0" collapsed="false">
      <c r="A1696" s="2" t="n">
        <v>2026</v>
      </c>
      <c r="B1696" s="2" t="s">
        <v>227</v>
      </c>
      <c r="C1696" s="2" t="s">
        <v>518</v>
      </c>
      <c r="D1696" s="2" t="s">
        <v>83</v>
      </c>
      <c r="E1696" s="2" t="n">
        <v>9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39</v>
      </c>
      <c r="K1696" s="2" t="n">
        <v>42</v>
      </c>
      <c r="L1696" s="11" t="b">
        <f aca="false">TRUE()</f>
        <v>1</v>
      </c>
      <c r="M1696" s="2" t="s">
        <v>406</v>
      </c>
      <c r="N1696" s="2" t="n">
        <f aca="false">IF(E1696&gt;0,F1696/E1696,"")</f>
        <v>0</v>
      </c>
      <c r="O1696" s="2" t="n">
        <f aca="false">IF(AND(E1696&gt;0,L1696),J1696/E1696,"")</f>
        <v>4.33333333333333</v>
      </c>
    </row>
    <row r="1697" customFormat="false" ht="15" hidden="false" customHeight="false" outlineLevel="0" collapsed="false">
      <c r="A1697" s="2" t="n">
        <v>2026</v>
      </c>
      <c r="B1697" s="2" t="s">
        <v>66</v>
      </c>
      <c r="C1697" s="2" t="s">
        <v>414</v>
      </c>
      <c r="D1697" s="2" t="s">
        <v>29</v>
      </c>
      <c r="E1697" s="2" t="n">
        <v>12</v>
      </c>
      <c r="F1697" s="2" t="n">
        <v>38</v>
      </c>
      <c r="G1697" s="2" t="n">
        <v>24</v>
      </c>
      <c r="H1697" s="2" t="n">
        <v>10</v>
      </c>
      <c r="I1697" s="2" t="n">
        <v>3</v>
      </c>
      <c r="J1697" s="2" t="n">
        <v>119</v>
      </c>
      <c r="K1697" s="2" t="n">
        <v>162</v>
      </c>
      <c r="L1697" s="11" t="b">
        <f aca="false">TRUE()</f>
        <v>1</v>
      </c>
      <c r="M1697" s="2" t="s">
        <v>406</v>
      </c>
      <c r="N1697" s="2" t="n">
        <f aca="false">IF(E1697&gt;0,F1697/E1697,"")</f>
        <v>3.16666666666667</v>
      </c>
      <c r="O1697" s="2" t="n">
        <f aca="false">IF(AND(E1697&gt;0,L1697),J1697/E1697,"")</f>
        <v>9.91666666666667</v>
      </c>
    </row>
    <row r="1698" customFormat="false" ht="15" hidden="false" customHeight="false" outlineLevel="0" collapsed="false">
      <c r="A1698" s="2" t="n">
        <v>2026</v>
      </c>
      <c r="B1698" s="2" t="s">
        <v>266</v>
      </c>
      <c r="C1698" s="2" t="s">
        <v>518</v>
      </c>
      <c r="D1698" s="2" t="s">
        <v>83</v>
      </c>
      <c r="E1698" s="2" t="n">
        <v>1</v>
      </c>
      <c r="F1698" s="2" t="n">
        <v>1</v>
      </c>
      <c r="G1698" s="2" t="n">
        <v>1</v>
      </c>
      <c r="H1698" s="2" t="n">
        <v>1</v>
      </c>
      <c r="I1698" s="2" t="n">
        <v>0</v>
      </c>
      <c r="J1698" s="2" t="n">
        <v>8</v>
      </c>
      <c r="K1698" s="2" t="n">
        <v>9</v>
      </c>
      <c r="L1698" s="11" t="b">
        <f aca="false">TRUE()</f>
        <v>1</v>
      </c>
      <c r="M1698" s="2" t="s">
        <v>410</v>
      </c>
      <c r="N1698" s="2" t="n">
        <f aca="false">IF(E1698&gt;0,F1698/E1698,"")</f>
        <v>1</v>
      </c>
      <c r="O1698" s="2" t="n">
        <f aca="false">IF(AND(E1698&gt;0,L1698),J1698/E1698,"")</f>
        <v>8</v>
      </c>
    </row>
    <row r="1699" customFormat="false" ht="15" hidden="false" customHeight="false" outlineLevel="0" collapsed="false">
      <c r="A1699" s="2" t="n">
        <v>2026</v>
      </c>
      <c r="B1699" s="2" t="s">
        <v>640</v>
      </c>
      <c r="C1699" s="2" t="s">
        <v>545</v>
      </c>
      <c r="D1699" s="2" t="s">
        <v>409</v>
      </c>
      <c r="E1699" s="2" t="n">
        <v>5</v>
      </c>
      <c r="F1699" s="2" t="n">
        <v>1</v>
      </c>
      <c r="G1699" s="2" t="n">
        <v>0</v>
      </c>
      <c r="H1699" s="2" t="n">
        <v>0</v>
      </c>
      <c r="I1699" s="2" t="n">
        <v>0</v>
      </c>
      <c r="J1699" s="2" t="n">
        <v>36</v>
      </c>
      <c r="K1699" s="2" t="n">
        <v>39</v>
      </c>
      <c r="L1699" s="11" t="b">
        <f aca="false">TRUE()</f>
        <v>1</v>
      </c>
      <c r="M1699" s="2" t="s">
        <v>410</v>
      </c>
      <c r="N1699" s="2" t="n">
        <f aca="false">IF(E1699&gt;0,F1699/E1699,"")</f>
        <v>0.2</v>
      </c>
      <c r="O1699" s="2" t="n">
        <f aca="false">IF(AND(E1699&gt;0,L1699),J1699/E1699,"")</f>
        <v>7.2</v>
      </c>
    </row>
    <row r="1700" customFormat="false" ht="15" hidden="false" customHeight="false" outlineLevel="0" collapsed="false">
      <c r="A1700" s="2" t="n">
        <v>2026</v>
      </c>
      <c r="B1700" s="2" t="s">
        <v>97</v>
      </c>
      <c r="C1700" s="2" t="s">
        <v>420</v>
      </c>
      <c r="D1700" s="2" t="s">
        <v>24</v>
      </c>
      <c r="E1700" s="2" t="n">
        <v>10</v>
      </c>
      <c r="F1700" s="2" t="n">
        <v>49</v>
      </c>
      <c r="G1700" s="2" t="n">
        <v>25</v>
      </c>
      <c r="H1700" s="2" t="n">
        <v>12</v>
      </c>
      <c r="I1700" s="2" t="n">
        <v>6</v>
      </c>
      <c r="J1700" s="2" t="n">
        <v>189</v>
      </c>
      <c r="K1700" s="2" t="n">
        <v>251</v>
      </c>
      <c r="L1700" s="11" t="b">
        <f aca="false">TRUE()</f>
        <v>1</v>
      </c>
      <c r="M1700" s="2" t="s">
        <v>406</v>
      </c>
      <c r="N1700" s="2" t="n">
        <f aca="false">IF(E1700&gt;0,F1700/E1700,"")</f>
        <v>4.9</v>
      </c>
      <c r="O1700" s="2" t="n">
        <f aca="false">IF(AND(E1700&gt;0,L1700),J1700/E1700,"")</f>
        <v>18.9</v>
      </c>
    </row>
    <row r="1701" customFormat="false" ht="15" hidden="false" customHeight="false" outlineLevel="0" collapsed="false">
      <c r="A1701" s="2" t="n">
        <v>2026</v>
      </c>
      <c r="B1701" s="2" t="s">
        <v>134</v>
      </c>
      <c r="C1701" s="2" t="s">
        <v>545</v>
      </c>
      <c r="D1701" s="2" t="s">
        <v>29</v>
      </c>
      <c r="E1701" s="2" t="n">
        <v>11</v>
      </c>
      <c r="F1701" s="2" t="n">
        <v>42</v>
      </c>
      <c r="G1701" s="2" t="n">
        <v>28</v>
      </c>
      <c r="H1701" s="2" t="n">
        <v>11</v>
      </c>
      <c r="I1701" s="2" t="n">
        <v>4</v>
      </c>
      <c r="J1701" s="2" t="n">
        <v>169</v>
      </c>
      <c r="K1701" s="2" t="n">
        <v>216</v>
      </c>
      <c r="L1701" s="11" t="b">
        <f aca="false">TRUE()</f>
        <v>1</v>
      </c>
      <c r="M1701" s="2" t="s">
        <v>406</v>
      </c>
      <c r="N1701" s="2" t="n">
        <f aca="false">IF(E1701&gt;0,F1701/E1701,"")</f>
        <v>3.81818181818182</v>
      </c>
      <c r="O1701" s="2" t="n">
        <f aca="false">IF(AND(E1701&gt;0,L1701),J1701/E1701,"")</f>
        <v>15.3636363636364</v>
      </c>
    </row>
    <row r="1702" customFormat="false" ht="15" hidden="false" customHeight="false" outlineLevel="0" collapsed="false">
      <c r="A1702" s="2" t="n">
        <v>2026</v>
      </c>
      <c r="B1702" s="2" t="s">
        <v>23</v>
      </c>
      <c r="C1702" s="2" t="s">
        <v>545</v>
      </c>
      <c r="D1702" s="2" t="s">
        <v>24</v>
      </c>
      <c r="E1702" s="2" t="n">
        <v>12</v>
      </c>
      <c r="F1702" s="2" t="n">
        <v>81</v>
      </c>
      <c r="G1702" s="2" t="n">
        <v>60</v>
      </c>
      <c r="H1702" s="2" t="n">
        <v>28</v>
      </c>
      <c r="I1702" s="2" t="n">
        <v>7</v>
      </c>
      <c r="J1702" s="2" t="n">
        <v>373</v>
      </c>
      <c r="K1702" s="2" t="n">
        <v>468</v>
      </c>
      <c r="L1702" s="11" t="b">
        <f aca="false">TRUE()</f>
        <v>1</v>
      </c>
      <c r="M1702" s="2" t="s">
        <v>406</v>
      </c>
      <c r="N1702" s="2" t="n">
        <f aca="false">IF(E1702&gt;0,F1702/E1702,"")</f>
        <v>6.75</v>
      </c>
      <c r="O1702" s="2" t="n">
        <f aca="false">IF(AND(E1702&gt;0,L1702),J1702/E1702,"")</f>
        <v>31.0833333333333</v>
      </c>
    </row>
    <row r="1703" customFormat="false" ht="15" hidden="false" customHeight="false" outlineLevel="0" collapsed="false">
      <c r="A1703" s="2" t="n">
        <v>2026</v>
      </c>
      <c r="B1703" s="2" t="s">
        <v>249</v>
      </c>
      <c r="C1703" s="2" t="s">
        <v>518</v>
      </c>
      <c r="D1703" s="2" t="s">
        <v>117</v>
      </c>
      <c r="E1703" s="2" t="n">
        <v>12</v>
      </c>
      <c r="F1703" s="2" t="n">
        <v>1</v>
      </c>
      <c r="G1703" s="2" t="n">
        <v>1</v>
      </c>
      <c r="H1703" s="2" t="n">
        <v>0</v>
      </c>
      <c r="I1703" s="2" t="n">
        <v>1</v>
      </c>
      <c r="J1703" s="2" t="n">
        <v>44</v>
      </c>
      <c r="K1703" s="2" t="n">
        <v>49</v>
      </c>
      <c r="L1703" s="11" t="b">
        <f aca="false">TRUE()</f>
        <v>1</v>
      </c>
      <c r="M1703" s="2" t="s">
        <v>406</v>
      </c>
      <c r="N1703" s="2" t="n">
        <f aca="false">IF(E1703&gt;0,F1703/E1703,"")</f>
        <v>0.0833333333333333</v>
      </c>
      <c r="O1703" s="2" t="n">
        <f aca="false">IF(AND(E1703&gt;0,L1703),J1703/E1703,"")</f>
        <v>3.66666666666667</v>
      </c>
    </row>
    <row r="1704" customFormat="false" ht="15" hidden="false" customHeight="false" outlineLevel="0" collapsed="false">
      <c r="A1704" s="2" t="n">
        <v>2026</v>
      </c>
      <c r="B1704" s="2" t="s">
        <v>558</v>
      </c>
      <c r="C1704" s="2" t="s">
        <v>405</v>
      </c>
      <c r="D1704" s="2" t="s">
        <v>413</v>
      </c>
      <c r="E1704" s="2" t="n">
        <v>12</v>
      </c>
      <c r="F1704" s="2" t="n">
        <v>13</v>
      </c>
      <c r="G1704" s="2" t="n">
        <v>6</v>
      </c>
      <c r="H1704" s="2" t="n">
        <v>2</v>
      </c>
      <c r="I1704" s="2" t="n">
        <v>1</v>
      </c>
      <c r="J1704" s="2" t="n">
        <v>103</v>
      </c>
      <c r="K1704" s="2" t="n">
        <v>119</v>
      </c>
      <c r="L1704" s="11" t="b">
        <f aca="false">TRUE()</f>
        <v>1</v>
      </c>
      <c r="M1704" s="2" t="s">
        <v>410</v>
      </c>
      <c r="N1704" s="2" t="n">
        <f aca="false">IF(E1704&gt;0,F1704/E1704,"")</f>
        <v>1.08333333333333</v>
      </c>
      <c r="O1704" s="2" t="n">
        <f aca="false">IF(AND(E1704&gt;0,L1704),J1704/E1704,"")</f>
        <v>8.58333333333333</v>
      </c>
    </row>
    <row r="1705" customFormat="false" ht="15" hidden="false" customHeight="false" outlineLevel="0" collapsed="false">
      <c r="A1705" s="2" t="n">
        <v>2026</v>
      </c>
      <c r="B1705" s="2" t="s">
        <v>591</v>
      </c>
      <c r="C1705" s="2" t="s">
        <v>420</v>
      </c>
      <c r="D1705" s="2" t="s">
        <v>413</v>
      </c>
      <c r="E1705" s="2" t="n">
        <v>9</v>
      </c>
      <c r="F1705" s="2" t="n">
        <v>6</v>
      </c>
      <c r="G1705" s="2" t="n">
        <v>1</v>
      </c>
      <c r="H1705" s="2" t="n">
        <v>0</v>
      </c>
      <c r="I1705" s="2" t="n">
        <v>0</v>
      </c>
      <c r="J1705" s="2" t="n">
        <v>37</v>
      </c>
      <c r="K1705" s="2" t="n">
        <v>51</v>
      </c>
      <c r="L1705" s="11" t="b">
        <f aca="false">TRUE()</f>
        <v>1</v>
      </c>
      <c r="M1705" s="2" t="s">
        <v>410</v>
      </c>
      <c r="N1705" s="2" t="n">
        <f aca="false">IF(E1705&gt;0,F1705/E1705,"")</f>
        <v>0.666666666666667</v>
      </c>
      <c r="O1705" s="2" t="n">
        <f aca="false">IF(AND(E1705&gt;0,L1705),J1705/E1705,"")</f>
        <v>4.11111111111111</v>
      </c>
    </row>
    <row r="1706" customFormat="false" ht="15" hidden="false" customHeight="false" outlineLevel="0" collapsed="false">
      <c r="A1706" s="2" t="n">
        <v>2026</v>
      </c>
      <c r="B1706" s="2" t="s">
        <v>293</v>
      </c>
      <c r="C1706" s="2" t="s">
        <v>545</v>
      </c>
      <c r="D1706" s="2" t="s">
        <v>29</v>
      </c>
      <c r="E1706" s="2" t="n">
        <v>3</v>
      </c>
      <c r="F1706" s="2" t="n">
        <v>10</v>
      </c>
      <c r="G1706" s="2" t="n">
        <v>7</v>
      </c>
      <c r="H1706" s="2" t="n">
        <v>1</v>
      </c>
      <c r="I1706" s="2" t="n">
        <v>0</v>
      </c>
      <c r="J1706" s="2" t="n">
        <v>30</v>
      </c>
      <c r="K1706" s="2" t="n">
        <v>41</v>
      </c>
      <c r="L1706" s="11" t="b">
        <f aca="false">TRUE()</f>
        <v>1</v>
      </c>
      <c r="M1706" s="2" t="s">
        <v>406</v>
      </c>
      <c r="N1706" s="2" t="n">
        <f aca="false">IF(E1706&gt;0,F1706/E1706,"")</f>
        <v>3.33333333333333</v>
      </c>
      <c r="O1706" s="2" t="n">
        <f aca="false">IF(AND(E1706&gt;0,L1706),J1706/E1706,"")</f>
        <v>10</v>
      </c>
    </row>
    <row r="1707" customFormat="false" ht="15" hidden="false" customHeight="false" outlineLevel="0" collapsed="false">
      <c r="A1707" s="2" t="n">
        <v>2026</v>
      </c>
      <c r="B1707" s="2" t="s">
        <v>656</v>
      </c>
      <c r="C1707" s="2" t="s">
        <v>414</v>
      </c>
      <c r="D1707" s="2" t="s">
        <v>409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11" t="b">
        <f aca="false">TRUE()</f>
        <v>1</v>
      </c>
      <c r="M1707" s="2" t="s">
        <v>410</v>
      </c>
      <c r="N1707" s="2" t="str">
        <f aca="false">IF(E1707&gt;0,F1707/E1707,"")</f>
        <v/>
      </c>
      <c r="O1707" s="2" t="str">
        <f aca="false">IF(AND(E1707&gt;0,L1707),J1707/E1707,"")</f>
        <v/>
      </c>
    </row>
    <row r="1708" customFormat="false" ht="15" hidden="false" customHeight="false" outlineLevel="0" collapsed="false">
      <c r="A1708" s="2" t="n">
        <v>2026</v>
      </c>
      <c r="B1708" s="2" t="s">
        <v>78</v>
      </c>
      <c r="C1708" s="2" t="s">
        <v>412</v>
      </c>
      <c r="D1708" s="2" t="s">
        <v>29</v>
      </c>
      <c r="E1708" s="2" t="n">
        <v>1</v>
      </c>
      <c r="F1708" s="2" t="n">
        <v>1</v>
      </c>
      <c r="G1708" s="2" t="n">
        <v>1</v>
      </c>
      <c r="H1708" s="2" t="n">
        <v>0</v>
      </c>
      <c r="I1708" s="2" t="n">
        <v>0</v>
      </c>
      <c r="J1708" s="2" t="n">
        <v>7</v>
      </c>
      <c r="K1708" s="2" t="n">
        <v>10</v>
      </c>
      <c r="L1708" s="11" t="b">
        <f aca="false">TRUE()</f>
        <v>1</v>
      </c>
      <c r="M1708" s="2" t="s">
        <v>410</v>
      </c>
      <c r="N1708" s="2" t="n">
        <f aca="false">IF(E1708&gt;0,F1708/E1708,"")</f>
        <v>1</v>
      </c>
      <c r="O1708" s="2" t="n">
        <f aca="false">IF(AND(E1708&gt;0,L1708),J1708/E1708,"")</f>
        <v>7</v>
      </c>
    </row>
    <row r="1709" customFormat="false" ht="15" hidden="false" customHeight="false" outlineLevel="0" collapsed="false">
      <c r="A1709" s="2" t="n">
        <v>2026</v>
      </c>
      <c r="B1709" s="2" t="s">
        <v>221</v>
      </c>
      <c r="C1709" s="2" t="s">
        <v>408</v>
      </c>
      <c r="D1709" s="2" t="s">
        <v>117</v>
      </c>
      <c r="E1709" s="2" t="n">
        <v>10</v>
      </c>
      <c r="F1709" s="2" t="n">
        <v>0</v>
      </c>
      <c r="G1709" s="2" t="n">
        <v>0</v>
      </c>
      <c r="H1709" s="2" t="n">
        <v>0</v>
      </c>
      <c r="I1709" s="2" t="n">
        <v>0</v>
      </c>
      <c r="J1709" s="2" t="n">
        <v>48</v>
      </c>
      <c r="K1709" s="2" t="n">
        <v>49</v>
      </c>
      <c r="L1709" s="11" t="b">
        <f aca="false">TRUE()</f>
        <v>1</v>
      </c>
      <c r="M1709" s="2" t="s">
        <v>406</v>
      </c>
      <c r="N1709" s="2" t="n">
        <f aca="false">IF(E1709&gt;0,F1709/E1709,"")</f>
        <v>0</v>
      </c>
      <c r="O1709" s="2" t="n">
        <f aca="false">IF(AND(E1709&gt;0,L1709),J1709/E1709,"")</f>
        <v>4.8</v>
      </c>
    </row>
    <row r="1710" customFormat="false" ht="15" hidden="false" customHeight="false" outlineLevel="0" collapsed="false">
      <c r="A1710" s="2" t="n">
        <v>2026</v>
      </c>
      <c r="B1710" s="2" t="s">
        <v>167</v>
      </c>
      <c r="C1710" s="2" t="s">
        <v>408</v>
      </c>
      <c r="D1710" s="2" t="s">
        <v>29</v>
      </c>
      <c r="E1710" s="2" t="n">
        <v>9</v>
      </c>
      <c r="F1710" s="2" t="n">
        <v>44</v>
      </c>
      <c r="G1710" s="2" t="n">
        <v>22</v>
      </c>
      <c r="H1710" s="2" t="n">
        <v>8</v>
      </c>
      <c r="I1710" s="2" t="n">
        <v>6</v>
      </c>
      <c r="J1710" s="2" t="n">
        <v>98</v>
      </c>
      <c r="K1710" s="2" t="n">
        <v>154</v>
      </c>
      <c r="L1710" s="11" t="b">
        <f aca="false">TRUE()</f>
        <v>1</v>
      </c>
      <c r="M1710" s="2" t="s">
        <v>406</v>
      </c>
      <c r="N1710" s="2" t="n">
        <f aca="false">IF(E1710&gt;0,F1710/E1710,"")</f>
        <v>4.88888888888889</v>
      </c>
      <c r="O1710" s="2" t="n">
        <f aca="false">IF(AND(E1710&gt;0,L1710),J1710/E1710,"")</f>
        <v>10.8888888888889</v>
      </c>
    </row>
    <row r="1711" customFormat="false" ht="15" hidden="false" customHeight="false" outlineLevel="0" collapsed="false">
      <c r="A1711" s="2" t="n">
        <v>2026</v>
      </c>
      <c r="B1711" s="2" t="s">
        <v>311</v>
      </c>
      <c r="C1711" s="2" t="s">
        <v>414</v>
      </c>
      <c r="D1711" s="2" t="s">
        <v>83</v>
      </c>
      <c r="E1711" s="2" t="n">
        <v>8</v>
      </c>
      <c r="F1711" s="2" t="n">
        <v>1</v>
      </c>
      <c r="G1711" s="2" t="n">
        <v>0</v>
      </c>
      <c r="H1711" s="2" t="n">
        <v>0</v>
      </c>
      <c r="I1711" s="2" t="n">
        <v>2</v>
      </c>
      <c r="J1711" s="2" t="n">
        <v>48</v>
      </c>
      <c r="K1711" s="2" t="n">
        <v>51</v>
      </c>
      <c r="L1711" s="11" t="b">
        <f aca="false">TRUE()</f>
        <v>1</v>
      </c>
      <c r="M1711" s="2" t="s">
        <v>406</v>
      </c>
      <c r="N1711" s="2" t="n">
        <f aca="false">IF(E1711&gt;0,F1711/E1711,"")</f>
        <v>0.125</v>
      </c>
      <c r="O1711" s="2" t="n">
        <f aca="false">IF(AND(E1711&gt;0,L1711),J1711/E1711,"")</f>
        <v>6</v>
      </c>
    </row>
    <row r="1712" customFormat="false" ht="15" hidden="false" customHeight="false" outlineLevel="0" collapsed="false">
      <c r="A1712" s="2" t="n">
        <v>2026</v>
      </c>
      <c r="B1712" s="2" t="s">
        <v>345</v>
      </c>
      <c r="C1712" s="2" t="s">
        <v>412</v>
      </c>
      <c r="D1712" s="2" t="s">
        <v>83</v>
      </c>
      <c r="E1712" s="2" t="n">
        <v>6</v>
      </c>
      <c r="F1712" s="2" t="n">
        <v>1</v>
      </c>
      <c r="G1712" s="2" t="n">
        <v>1</v>
      </c>
      <c r="H1712" s="2" t="n">
        <v>0</v>
      </c>
      <c r="I1712" s="2" t="n">
        <v>0</v>
      </c>
      <c r="J1712" s="2" t="n">
        <v>24</v>
      </c>
      <c r="K1712" s="2" t="n">
        <v>25</v>
      </c>
      <c r="L1712" s="11" t="b">
        <f aca="false">TRUE()</f>
        <v>1</v>
      </c>
      <c r="M1712" s="2" t="s">
        <v>406</v>
      </c>
      <c r="N1712" s="2" t="n">
        <f aca="false">IF(E1712&gt;0,F1712/E1712,"")</f>
        <v>0.166666666666667</v>
      </c>
      <c r="O1712" s="2" t="n">
        <f aca="false">IF(AND(E1712&gt;0,L1712),J1712/E1712,"")</f>
        <v>4</v>
      </c>
    </row>
    <row r="1713" customFormat="false" ht="15" hidden="false" customHeight="false" outlineLevel="0" collapsed="false">
      <c r="A1713" s="2" t="n">
        <v>2026</v>
      </c>
      <c r="B1713" s="2" t="s">
        <v>657</v>
      </c>
      <c r="C1713" s="2" t="s">
        <v>414</v>
      </c>
      <c r="D1713" s="2" t="s">
        <v>413</v>
      </c>
      <c r="E1713" s="2" t="n">
        <v>1</v>
      </c>
      <c r="F1713" s="2" t="n">
        <v>0</v>
      </c>
      <c r="G1713" s="2" t="n">
        <v>0</v>
      </c>
      <c r="H1713" s="2" t="n">
        <v>0</v>
      </c>
      <c r="I1713" s="2" t="n">
        <v>0</v>
      </c>
      <c r="J1713" s="2" t="n">
        <v>5</v>
      </c>
      <c r="K1713" s="2" t="n">
        <v>5</v>
      </c>
      <c r="L1713" s="11" t="b">
        <f aca="false">TRUE()</f>
        <v>1</v>
      </c>
      <c r="M1713" s="2" t="s">
        <v>410</v>
      </c>
      <c r="N1713" s="2" t="n">
        <f aca="false">IF(E1713&gt;0,F1713/E1713,"")</f>
        <v>0</v>
      </c>
      <c r="O1713" s="2" t="n">
        <f aca="false">IF(AND(E1713&gt;0,L1713),J1713/E1713,"")</f>
        <v>5</v>
      </c>
    </row>
    <row r="1714" customFormat="false" ht="15" hidden="false" customHeight="false" outlineLevel="0" collapsed="false">
      <c r="A1714" s="2" t="n">
        <v>2026</v>
      </c>
      <c r="B1714" s="2" t="s">
        <v>320</v>
      </c>
      <c r="C1714" s="2" t="s">
        <v>405</v>
      </c>
      <c r="D1714" s="2" t="s">
        <v>117</v>
      </c>
      <c r="E1714" s="2" t="n">
        <v>4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22</v>
      </c>
      <c r="K1714" s="2" t="n">
        <v>22</v>
      </c>
      <c r="L1714" s="11" t="b">
        <f aca="false">TRUE()</f>
        <v>1</v>
      </c>
      <c r="M1714" s="2" t="s">
        <v>406</v>
      </c>
      <c r="N1714" s="2" t="n">
        <f aca="false">IF(E1714&gt;0,F1714/E1714,"")</f>
        <v>0</v>
      </c>
      <c r="O1714" s="2" t="n">
        <f aca="false">IF(AND(E1714&gt;0,L1714),J1714/E1714,"")</f>
        <v>5.5</v>
      </c>
    </row>
    <row r="1715" customFormat="false" ht="15" hidden="false" customHeight="false" outlineLevel="0" collapsed="false">
      <c r="A1715" s="2" t="n">
        <v>2026</v>
      </c>
      <c r="B1715" s="2" t="s">
        <v>560</v>
      </c>
      <c r="C1715" s="2" t="s">
        <v>420</v>
      </c>
      <c r="D1715" s="2" t="s">
        <v>409</v>
      </c>
      <c r="E1715" s="2" t="n">
        <v>4</v>
      </c>
      <c r="F1715" s="2" t="n">
        <v>2</v>
      </c>
      <c r="G1715" s="2" t="n">
        <v>1</v>
      </c>
      <c r="H1715" s="2" t="n">
        <v>0</v>
      </c>
      <c r="I1715" s="2" t="n">
        <v>0</v>
      </c>
      <c r="J1715" s="2" t="n">
        <v>29</v>
      </c>
      <c r="K1715" s="2" t="n">
        <v>33</v>
      </c>
      <c r="L1715" s="11" t="b">
        <f aca="false">TRUE()</f>
        <v>1</v>
      </c>
      <c r="M1715" s="2" t="s">
        <v>410</v>
      </c>
      <c r="N1715" s="2" t="n">
        <f aca="false">IF(E1715&gt;0,F1715/E1715,"")</f>
        <v>0.5</v>
      </c>
      <c r="O1715" s="2" t="n">
        <f aca="false">IF(AND(E1715&gt;0,L1715),J1715/E1715,"")</f>
        <v>7.25</v>
      </c>
    </row>
    <row r="1716" customFormat="false" ht="15" hidden="false" customHeight="false" outlineLevel="0" collapsed="false">
      <c r="A1716" s="2" t="n">
        <v>2026</v>
      </c>
      <c r="B1716" s="2" t="s">
        <v>56</v>
      </c>
      <c r="C1716" s="2" t="s">
        <v>405</v>
      </c>
      <c r="D1716" s="2" t="s">
        <v>24</v>
      </c>
      <c r="E1716" s="2" t="n">
        <v>10</v>
      </c>
      <c r="F1716" s="2" t="n">
        <v>68</v>
      </c>
      <c r="G1716" s="2" t="n">
        <v>49</v>
      </c>
      <c r="H1716" s="2" t="n">
        <v>23</v>
      </c>
      <c r="I1716" s="2" t="n">
        <v>10</v>
      </c>
      <c r="J1716" s="2" t="n">
        <v>259</v>
      </c>
      <c r="K1716" s="2" t="n">
        <v>341</v>
      </c>
      <c r="L1716" s="11" t="b">
        <f aca="false">TRUE()</f>
        <v>1</v>
      </c>
      <c r="M1716" s="2" t="s">
        <v>406</v>
      </c>
      <c r="N1716" s="2" t="n">
        <f aca="false">IF(E1716&gt;0,F1716/E1716,"")</f>
        <v>6.8</v>
      </c>
      <c r="O1716" s="2" t="n">
        <f aca="false">IF(AND(E1716&gt;0,L1716),J1716/E1716,"")</f>
        <v>25.9</v>
      </c>
    </row>
    <row r="1717" customFormat="false" ht="15" hidden="false" customHeight="false" outlineLevel="0" collapsed="false">
      <c r="A1717" s="2" t="n">
        <v>2026</v>
      </c>
      <c r="B1717" s="2" t="s">
        <v>53</v>
      </c>
      <c r="C1717" s="2" t="s">
        <v>622</v>
      </c>
      <c r="D1717" s="2" t="s">
        <v>24</v>
      </c>
      <c r="E1717" s="2" t="n">
        <v>6</v>
      </c>
      <c r="F1717" s="2" t="n">
        <v>34</v>
      </c>
      <c r="G1717" s="2" t="n">
        <v>24</v>
      </c>
      <c r="H1717" s="2" t="n">
        <v>12</v>
      </c>
      <c r="I1717" s="2" t="n">
        <v>7</v>
      </c>
      <c r="J1717" s="2" t="n">
        <v>194</v>
      </c>
      <c r="K1717" s="2" t="n">
        <v>237</v>
      </c>
      <c r="L1717" s="11" t="b">
        <f aca="false">TRUE()</f>
        <v>1</v>
      </c>
      <c r="M1717" s="2" t="s">
        <v>406</v>
      </c>
      <c r="N1717" s="2" t="n">
        <f aca="false">IF(E1717&gt;0,F1717/E1717,"")</f>
        <v>5.66666666666667</v>
      </c>
      <c r="O1717" s="2" t="n">
        <f aca="false">IF(AND(E1717&gt;0,L1717),J1717/E1717,"")</f>
        <v>32.3333333333333</v>
      </c>
    </row>
    <row r="1718" customFormat="false" ht="15" hidden="false" customHeight="false" outlineLevel="0" collapsed="false">
      <c r="A1718" s="2" t="n">
        <v>2026</v>
      </c>
      <c r="B1718" s="2" t="s">
        <v>135</v>
      </c>
      <c r="C1718" s="2" t="s">
        <v>412</v>
      </c>
      <c r="D1718" s="2" t="s">
        <v>29</v>
      </c>
      <c r="E1718" s="2" t="n">
        <v>10</v>
      </c>
      <c r="F1718" s="2" t="n">
        <v>41</v>
      </c>
      <c r="G1718" s="2" t="n">
        <v>30</v>
      </c>
      <c r="H1718" s="2" t="n">
        <v>11</v>
      </c>
      <c r="I1718" s="2" t="n">
        <v>3</v>
      </c>
      <c r="J1718" s="2" t="n">
        <v>120</v>
      </c>
      <c r="K1718" s="2" t="n">
        <v>169</v>
      </c>
      <c r="L1718" s="11" t="b">
        <f aca="false">TRUE()</f>
        <v>1</v>
      </c>
      <c r="M1718" s="2" t="s">
        <v>406</v>
      </c>
      <c r="N1718" s="2" t="n">
        <f aca="false">IF(E1718&gt;0,F1718/E1718,"")</f>
        <v>4.1</v>
      </c>
      <c r="O1718" s="2" t="n">
        <f aca="false">IF(AND(E1718&gt;0,L1718),J1718/E1718,"")</f>
        <v>12</v>
      </c>
    </row>
    <row r="1719" customFormat="false" ht="15" hidden="false" customHeight="false" outlineLevel="0" collapsed="false">
      <c r="A1719" s="2" t="n">
        <v>2026</v>
      </c>
      <c r="B1719" s="2" t="s">
        <v>118</v>
      </c>
      <c r="C1719" s="2" t="s">
        <v>545</v>
      </c>
      <c r="D1719" s="2" t="s">
        <v>24</v>
      </c>
      <c r="E1719" s="2" t="n">
        <v>11</v>
      </c>
      <c r="F1719" s="2" t="n">
        <v>51</v>
      </c>
      <c r="G1719" s="2" t="n">
        <v>37</v>
      </c>
      <c r="H1719" s="2" t="n">
        <v>22</v>
      </c>
      <c r="I1719" s="2" t="n">
        <v>8</v>
      </c>
      <c r="J1719" s="2" t="n">
        <v>266</v>
      </c>
      <c r="K1719" s="2" t="n">
        <v>341</v>
      </c>
      <c r="L1719" s="11" t="b">
        <f aca="false">TRUE()</f>
        <v>1</v>
      </c>
      <c r="M1719" s="2" t="s">
        <v>406</v>
      </c>
      <c r="N1719" s="2" t="n">
        <f aca="false">IF(E1719&gt;0,F1719/E1719,"")</f>
        <v>4.63636363636364</v>
      </c>
      <c r="O1719" s="2" t="n">
        <f aca="false">IF(AND(E1719&gt;0,L1719),J1719/E1719,"")</f>
        <v>24.1818181818182</v>
      </c>
    </row>
    <row r="1720" customFormat="false" ht="15" hidden="false" customHeight="false" outlineLevel="0" collapsed="false">
      <c r="A1720" s="2" t="n">
        <v>2026</v>
      </c>
      <c r="B1720" s="2" t="s">
        <v>39</v>
      </c>
      <c r="C1720" s="2" t="s">
        <v>518</v>
      </c>
      <c r="D1720" s="2" t="s">
        <v>29</v>
      </c>
      <c r="E1720" s="2" t="n">
        <v>5</v>
      </c>
      <c r="F1720" s="2" t="n">
        <v>27</v>
      </c>
      <c r="G1720" s="2" t="n">
        <v>13</v>
      </c>
      <c r="H1720" s="2" t="n">
        <v>4</v>
      </c>
      <c r="I1720" s="2" t="n">
        <v>0</v>
      </c>
      <c r="J1720" s="2" t="n">
        <v>94</v>
      </c>
      <c r="K1720" s="2" t="n">
        <v>129</v>
      </c>
      <c r="L1720" s="11" t="b">
        <f aca="false">TRUE()</f>
        <v>1</v>
      </c>
      <c r="M1720" s="2" t="s">
        <v>406</v>
      </c>
      <c r="N1720" s="2" t="n">
        <f aca="false">IF(E1720&gt;0,F1720/E1720,"")</f>
        <v>5.4</v>
      </c>
      <c r="O1720" s="2" t="n">
        <f aca="false">IF(AND(E1720&gt;0,L1720),J1720/E1720,"")</f>
        <v>18.8</v>
      </c>
    </row>
    <row r="1721" customFormat="false" ht="15" hidden="false" customHeight="false" outlineLevel="0" collapsed="false">
      <c r="A1721" s="2" t="n">
        <v>2026</v>
      </c>
      <c r="B1721" s="2" t="s">
        <v>101</v>
      </c>
      <c r="C1721" s="2" t="s">
        <v>545</v>
      </c>
      <c r="D1721" s="2" t="s">
        <v>29</v>
      </c>
      <c r="E1721" s="2" t="n">
        <v>11</v>
      </c>
      <c r="F1721" s="2" t="n">
        <v>59</v>
      </c>
      <c r="G1721" s="2" t="n">
        <v>40</v>
      </c>
      <c r="H1721" s="2" t="n">
        <v>11</v>
      </c>
      <c r="I1721" s="2" t="n">
        <v>7</v>
      </c>
      <c r="J1721" s="2" t="n">
        <v>238</v>
      </c>
      <c r="K1721" s="2" t="n">
        <v>306</v>
      </c>
      <c r="L1721" s="11" t="b">
        <f aca="false">TRUE()</f>
        <v>1</v>
      </c>
      <c r="M1721" s="2" t="s">
        <v>406</v>
      </c>
      <c r="N1721" s="2" t="n">
        <f aca="false">IF(E1721&gt;0,F1721/E1721,"")</f>
        <v>5.36363636363636</v>
      </c>
      <c r="O1721" s="2" t="n">
        <f aca="false">IF(AND(E1721&gt;0,L1721),J1721/E1721,"")</f>
        <v>21.6363636363636</v>
      </c>
    </row>
    <row r="1722" customFormat="false" ht="15" hidden="false" customHeight="false" outlineLevel="0" collapsed="false">
      <c r="A1722" s="2" t="n">
        <v>2026</v>
      </c>
      <c r="B1722" s="2" t="s">
        <v>169</v>
      </c>
      <c r="C1722" s="2" t="s">
        <v>545</v>
      </c>
      <c r="D1722" s="2" t="s">
        <v>117</v>
      </c>
      <c r="E1722" s="2" t="n">
        <v>12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59</v>
      </c>
      <c r="K1722" s="2" t="n">
        <v>63</v>
      </c>
      <c r="L1722" s="11" t="b">
        <f aca="false">TRUE()</f>
        <v>1</v>
      </c>
      <c r="M1722" s="2" t="s">
        <v>406</v>
      </c>
      <c r="N1722" s="2" t="n">
        <f aca="false">IF(E1722&gt;0,F1722/E1722,"")</f>
        <v>0</v>
      </c>
      <c r="O1722" s="2" t="n">
        <f aca="false">IF(AND(E1722&gt;0,L1722),J1722/E1722,"")</f>
        <v>4.91666666666667</v>
      </c>
    </row>
    <row r="1723" customFormat="false" ht="15" hidden="false" customHeight="false" outlineLevel="0" collapsed="false">
      <c r="A1723" s="2" t="n">
        <v>2026</v>
      </c>
      <c r="B1723" s="2" t="s">
        <v>76</v>
      </c>
      <c r="C1723" s="2" t="s">
        <v>408</v>
      </c>
      <c r="D1723" s="2" t="s">
        <v>29</v>
      </c>
      <c r="E1723" s="2" t="n">
        <v>12</v>
      </c>
      <c r="F1723" s="2" t="n">
        <v>78</v>
      </c>
      <c r="G1723" s="2" t="n">
        <v>44</v>
      </c>
      <c r="H1723" s="2" t="n">
        <v>23</v>
      </c>
      <c r="I1723" s="2" t="n">
        <v>10</v>
      </c>
      <c r="J1723" s="2" t="n">
        <v>297</v>
      </c>
      <c r="K1723" s="2" t="n">
        <v>399</v>
      </c>
      <c r="L1723" s="11" t="b">
        <f aca="false">TRUE()</f>
        <v>1</v>
      </c>
      <c r="M1723" s="2" t="s">
        <v>406</v>
      </c>
      <c r="N1723" s="2" t="n">
        <f aca="false">IF(E1723&gt;0,F1723/E1723,"")</f>
        <v>6.5</v>
      </c>
      <c r="O1723" s="2" t="n">
        <f aca="false">IF(AND(E1723&gt;0,L1723),J1723/E1723,"")</f>
        <v>24.75</v>
      </c>
    </row>
    <row r="1724" customFormat="false" ht="15" hidden="false" customHeight="false" outlineLevel="0" collapsed="false">
      <c r="A1724" s="2" t="n">
        <v>2026</v>
      </c>
      <c r="B1724" s="2" t="s">
        <v>91</v>
      </c>
      <c r="C1724" s="2" t="s">
        <v>518</v>
      </c>
      <c r="D1724" s="2" t="s">
        <v>24</v>
      </c>
      <c r="E1724" s="2" t="n">
        <v>10</v>
      </c>
      <c r="F1724" s="2" t="n">
        <v>84</v>
      </c>
      <c r="G1724" s="2" t="n">
        <v>60</v>
      </c>
      <c r="H1724" s="2" t="n">
        <v>34</v>
      </c>
      <c r="I1724" s="2" t="n">
        <v>5</v>
      </c>
      <c r="J1724" s="2" t="n">
        <v>253</v>
      </c>
      <c r="K1724" s="2" t="n">
        <v>351</v>
      </c>
      <c r="L1724" s="11" t="b">
        <f aca="false">TRUE()</f>
        <v>1</v>
      </c>
      <c r="M1724" s="2" t="s">
        <v>406</v>
      </c>
      <c r="N1724" s="2" t="n">
        <f aca="false">IF(E1724&gt;0,F1724/E1724,"")</f>
        <v>8.4</v>
      </c>
      <c r="O1724" s="2" t="n">
        <f aca="false">IF(AND(E1724&gt;0,L1724),J1724/E1724,"")</f>
        <v>25.3</v>
      </c>
    </row>
    <row r="1725" customFormat="false" ht="15" hidden="false" customHeight="false" outlineLevel="0" collapsed="false">
      <c r="A1725" s="2" t="n">
        <v>2026</v>
      </c>
      <c r="B1725" s="2" t="s">
        <v>593</v>
      </c>
      <c r="C1725" s="2" t="s">
        <v>545</v>
      </c>
      <c r="D1725" s="2" t="s">
        <v>409</v>
      </c>
      <c r="E1725" s="2" t="n">
        <v>10</v>
      </c>
      <c r="F1725" s="2" t="n">
        <v>1</v>
      </c>
      <c r="G1725" s="2" t="n">
        <v>1</v>
      </c>
      <c r="H1725" s="2" t="n">
        <v>0</v>
      </c>
      <c r="I1725" s="2" t="n">
        <v>0</v>
      </c>
      <c r="J1725" s="2" t="n">
        <v>98</v>
      </c>
      <c r="K1725" s="2" t="n">
        <v>104</v>
      </c>
      <c r="L1725" s="11" t="b">
        <f aca="false">TRUE()</f>
        <v>1</v>
      </c>
      <c r="M1725" s="2" t="s">
        <v>410</v>
      </c>
      <c r="N1725" s="2" t="n">
        <f aca="false">IF(E1725&gt;0,F1725/E1725,"")</f>
        <v>0.1</v>
      </c>
      <c r="O1725" s="2" t="n">
        <f aca="false">IF(AND(E1725&gt;0,L1725),J1725/E1725,"")</f>
        <v>9.8</v>
      </c>
    </row>
    <row r="1726" customFormat="false" ht="15" hidden="false" customHeight="false" outlineLevel="0" collapsed="false">
      <c r="A1726" s="2" t="n">
        <v>2026</v>
      </c>
      <c r="B1726" s="2" t="s">
        <v>82</v>
      </c>
      <c r="C1726" s="2" t="s">
        <v>545</v>
      </c>
      <c r="D1726" s="2" t="s">
        <v>29</v>
      </c>
      <c r="E1726" s="2" t="n">
        <v>11</v>
      </c>
      <c r="F1726" s="2" t="n">
        <v>17</v>
      </c>
      <c r="G1726" s="2" t="n">
        <v>8</v>
      </c>
      <c r="H1726" s="2" t="n">
        <v>4</v>
      </c>
      <c r="I1726" s="2" t="n">
        <v>3</v>
      </c>
      <c r="J1726" s="2" t="n">
        <v>57</v>
      </c>
      <c r="K1726" s="2" t="n">
        <v>78</v>
      </c>
      <c r="L1726" s="11" t="b">
        <f aca="false">TRUE()</f>
        <v>1</v>
      </c>
      <c r="M1726" s="2" t="s">
        <v>406</v>
      </c>
      <c r="N1726" s="2" t="n">
        <f aca="false">IF(E1726&gt;0,F1726/E1726,"")</f>
        <v>1.54545454545455</v>
      </c>
      <c r="O1726" s="2" t="n">
        <f aca="false">IF(AND(E1726&gt;0,L1726),J1726/E1726,"")</f>
        <v>5.18181818181818</v>
      </c>
    </row>
    <row r="1727" customFormat="false" ht="15" hidden="false" customHeight="false" outlineLevel="0" collapsed="false">
      <c r="A1727" s="2" t="n">
        <v>2026</v>
      </c>
      <c r="B1727" s="2" t="s">
        <v>72</v>
      </c>
      <c r="C1727" s="2" t="s">
        <v>420</v>
      </c>
      <c r="D1727" s="2" t="s">
        <v>29</v>
      </c>
      <c r="E1727" s="2" t="n">
        <v>12</v>
      </c>
      <c r="F1727" s="2" t="n">
        <v>72</v>
      </c>
      <c r="G1727" s="2" t="n">
        <v>44</v>
      </c>
      <c r="H1727" s="2" t="n">
        <v>14</v>
      </c>
      <c r="I1727" s="2" t="n">
        <v>3</v>
      </c>
      <c r="J1727" s="2" t="n">
        <v>210</v>
      </c>
      <c r="K1727" s="2" t="n">
        <v>301</v>
      </c>
      <c r="L1727" s="11" t="b">
        <f aca="false">TRUE()</f>
        <v>1</v>
      </c>
      <c r="M1727" s="2" t="s">
        <v>406</v>
      </c>
      <c r="N1727" s="2" t="n">
        <f aca="false">IF(E1727&gt;0,F1727/E1727,"")</f>
        <v>6</v>
      </c>
      <c r="O1727" s="2" t="n">
        <f aca="false">IF(AND(E1727&gt;0,L1727),J1727/E1727,"")</f>
        <v>17.5</v>
      </c>
    </row>
    <row r="1728" customFormat="false" ht="15" hidden="false" customHeight="false" outlineLevel="0" collapsed="false">
      <c r="A1728" s="2" t="n">
        <v>2026</v>
      </c>
      <c r="B1728" s="2" t="s">
        <v>628</v>
      </c>
      <c r="C1728" s="2" t="s">
        <v>414</v>
      </c>
      <c r="D1728" s="2" t="s">
        <v>409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11" t="b">
        <f aca="false">TRUE()</f>
        <v>1</v>
      </c>
      <c r="M1728" s="2" t="s">
        <v>410</v>
      </c>
      <c r="N1728" s="2" t="str">
        <f aca="false">IF(E1728&gt;0,F1728/E1728,"")</f>
        <v/>
      </c>
      <c r="O1728" s="2" t="str">
        <f aca="false">IF(AND(E1728&gt;0,L1728),J1728/E1728,"")</f>
        <v/>
      </c>
    </row>
    <row r="1729" customFormat="false" ht="15" hidden="false" customHeight="false" outlineLevel="0" collapsed="false">
      <c r="A1729" s="2" t="n">
        <v>2026</v>
      </c>
      <c r="B1729" s="2" t="s">
        <v>318</v>
      </c>
      <c r="C1729" s="2" t="s">
        <v>414</v>
      </c>
      <c r="D1729" s="2" t="s">
        <v>83</v>
      </c>
      <c r="E1729" s="2" t="n">
        <v>7</v>
      </c>
      <c r="F1729" s="2" t="n">
        <v>2</v>
      </c>
      <c r="G1729" s="2" t="n">
        <v>1</v>
      </c>
      <c r="H1729" s="2" t="n">
        <v>1</v>
      </c>
      <c r="I1729" s="2" t="n">
        <v>0</v>
      </c>
      <c r="J1729" s="2" t="n">
        <v>41</v>
      </c>
      <c r="K1729" s="2" t="n">
        <v>44</v>
      </c>
      <c r="L1729" s="11" t="b">
        <f aca="false">TRUE()</f>
        <v>1</v>
      </c>
      <c r="M1729" s="2" t="s">
        <v>406</v>
      </c>
      <c r="N1729" s="2" t="n">
        <f aca="false">IF(E1729&gt;0,F1729/E1729,"")</f>
        <v>0.285714285714286</v>
      </c>
      <c r="O1729" s="2" t="n">
        <f aca="false">IF(AND(E1729&gt;0,L1729),J1729/E1729,"")</f>
        <v>5.85714285714286</v>
      </c>
    </row>
    <row r="1730" customFormat="false" ht="15" hidden="false" customHeight="false" outlineLevel="0" collapsed="false">
      <c r="A1730" s="2" t="n">
        <v>2026</v>
      </c>
      <c r="B1730" s="2" t="s">
        <v>211</v>
      </c>
      <c r="C1730" s="2" t="s">
        <v>412</v>
      </c>
      <c r="D1730" s="2" t="s">
        <v>83</v>
      </c>
      <c r="E1730" s="2" t="n">
        <v>9</v>
      </c>
      <c r="F1730" s="2" t="n">
        <v>14</v>
      </c>
      <c r="G1730" s="2" t="n">
        <v>5</v>
      </c>
      <c r="H1730" s="2" t="n">
        <v>1</v>
      </c>
      <c r="I1730" s="2" t="n">
        <v>2</v>
      </c>
      <c r="J1730" s="2" t="n">
        <v>55</v>
      </c>
      <c r="K1730" s="2" t="n">
        <v>73</v>
      </c>
      <c r="L1730" s="11" t="b">
        <f aca="false">TRUE()</f>
        <v>1</v>
      </c>
      <c r="M1730" s="2" t="s">
        <v>406</v>
      </c>
      <c r="N1730" s="2" t="n">
        <f aca="false">IF(E1730&gt;0,F1730/E1730,"")</f>
        <v>1.55555555555556</v>
      </c>
      <c r="O1730" s="2" t="n">
        <f aca="false">IF(AND(E1730&gt;0,L1730),J1730/E1730,"")</f>
        <v>6.11111111111111</v>
      </c>
    </row>
    <row r="1731" customFormat="false" ht="15" hidden="false" customHeight="false" outlineLevel="0" collapsed="false">
      <c r="A1731" s="2" t="n">
        <v>2026</v>
      </c>
      <c r="B1731" s="2" t="s">
        <v>122</v>
      </c>
      <c r="C1731" s="2" t="s">
        <v>545</v>
      </c>
      <c r="D1731" s="2" t="s">
        <v>29</v>
      </c>
      <c r="E1731" s="2" t="n">
        <v>2</v>
      </c>
      <c r="F1731" s="2" t="n">
        <v>5</v>
      </c>
      <c r="G1731" s="2" t="n">
        <v>2</v>
      </c>
      <c r="H1731" s="2" t="n">
        <v>1</v>
      </c>
      <c r="I1731" s="2" t="n">
        <v>0</v>
      </c>
      <c r="J1731" s="2" t="n">
        <v>15</v>
      </c>
      <c r="K1731" s="2" t="n">
        <v>23</v>
      </c>
      <c r="L1731" s="11" t="b">
        <f aca="false">TRUE()</f>
        <v>1</v>
      </c>
      <c r="M1731" s="2" t="s">
        <v>410</v>
      </c>
      <c r="N1731" s="2" t="n">
        <f aca="false">IF(E1731&gt;0,F1731/E1731,"")</f>
        <v>2.5</v>
      </c>
      <c r="O1731" s="2" t="n">
        <f aca="false">IF(AND(E1731&gt;0,L1731),J1731/E1731,"")</f>
        <v>7.5</v>
      </c>
    </row>
    <row r="1732" customFormat="false" ht="15" hidden="false" customHeight="false" outlineLevel="0" collapsed="false">
      <c r="A1732" s="2" t="n">
        <v>2026</v>
      </c>
      <c r="B1732" s="2" t="s">
        <v>611</v>
      </c>
      <c r="C1732" s="2" t="s">
        <v>414</v>
      </c>
      <c r="D1732" s="2" t="s">
        <v>413</v>
      </c>
      <c r="E1732" s="2" t="n">
        <v>10</v>
      </c>
      <c r="F1732" s="2" t="n">
        <v>9</v>
      </c>
      <c r="G1732" s="2" t="n">
        <v>7</v>
      </c>
      <c r="H1732" s="2" t="n">
        <v>6</v>
      </c>
      <c r="I1732" s="2" t="n">
        <v>1</v>
      </c>
      <c r="J1732" s="2" t="n">
        <v>42</v>
      </c>
      <c r="K1732" s="2" t="n">
        <v>62</v>
      </c>
      <c r="L1732" s="11" t="b">
        <f aca="false">TRUE()</f>
        <v>1</v>
      </c>
      <c r="M1732" s="2" t="s">
        <v>410</v>
      </c>
      <c r="N1732" s="2" t="n">
        <f aca="false">IF(E1732&gt;0,F1732/E1732,"")</f>
        <v>0.9</v>
      </c>
      <c r="O1732" s="2" t="n">
        <f aca="false">IF(AND(E1732&gt;0,L1732),J1732/E1732,"")</f>
        <v>4.2</v>
      </c>
    </row>
    <row r="1733" customFormat="false" ht="15" hidden="false" customHeight="false" outlineLevel="0" collapsed="false">
      <c r="A1733" s="2" t="n">
        <v>2026</v>
      </c>
      <c r="B1733" s="2" t="s">
        <v>641</v>
      </c>
      <c r="C1733" s="2" t="s">
        <v>412</v>
      </c>
      <c r="D1733" s="2" t="s">
        <v>413</v>
      </c>
      <c r="E1733" s="2" t="n">
        <v>4</v>
      </c>
      <c r="F1733" s="2" t="n">
        <v>7</v>
      </c>
      <c r="G1733" s="2" t="n">
        <v>2</v>
      </c>
      <c r="H1733" s="2" t="n">
        <v>1</v>
      </c>
      <c r="I1733" s="2" t="n">
        <v>1</v>
      </c>
      <c r="J1733" s="2" t="n">
        <v>9</v>
      </c>
      <c r="K1733" s="2" t="n">
        <v>21</v>
      </c>
      <c r="L1733" s="11" t="b">
        <f aca="false">TRUE()</f>
        <v>1</v>
      </c>
      <c r="M1733" s="2" t="s">
        <v>410</v>
      </c>
      <c r="N1733" s="2" t="n">
        <f aca="false">IF(E1733&gt;0,F1733/E1733,"")</f>
        <v>1.75</v>
      </c>
      <c r="O1733" s="2" t="n">
        <f aca="false">IF(AND(E1733&gt;0,L1733),J1733/E1733,"")</f>
        <v>2.25</v>
      </c>
    </row>
    <row r="1734" customFormat="false" ht="15" hidden="false" customHeight="false" outlineLevel="0" collapsed="false">
      <c r="A1734" s="2" t="n">
        <v>2026</v>
      </c>
      <c r="B1734" s="2" t="s">
        <v>336</v>
      </c>
      <c r="C1734" s="2" t="s">
        <v>545</v>
      </c>
      <c r="D1734" s="2" t="s">
        <v>24</v>
      </c>
      <c r="E1734" s="2" t="n">
        <v>1</v>
      </c>
      <c r="F1734" s="2" t="n">
        <v>1</v>
      </c>
      <c r="G1734" s="2" t="n">
        <v>0</v>
      </c>
      <c r="H1734" s="2" t="n">
        <v>0</v>
      </c>
      <c r="I1734" s="2" t="n">
        <v>0</v>
      </c>
      <c r="J1734" s="2" t="n">
        <v>6</v>
      </c>
      <c r="K1734" s="2" t="n">
        <v>7</v>
      </c>
      <c r="L1734" s="11" t="b">
        <f aca="false">TRUE()</f>
        <v>1</v>
      </c>
      <c r="M1734" s="2" t="s">
        <v>410</v>
      </c>
      <c r="N1734" s="2" t="n">
        <f aca="false">IF(E1734&gt;0,F1734/E1734,"")</f>
        <v>1</v>
      </c>
      <c r="O1734" s="2" t="n">
        <f aca="false">IF(AND(E1734&gt;0,L1734),J1734/E1734,"")</f>
        <v>6</v>
      </c>
    </row>
    <row r="1735" customFormat="false" ht="15" hidden="false" customHeight="false" outlineLevel="0" collapsed="false">
      <c r="A1735" s="2" t="n">
        <v>2026</v>
      </c>
      <c r="B1735" s="2" t="s">
        <v>287</v>
      </c>
      <c r="C1735" s="2" t="s">
        <v>420</v>
      </c>
      <c r="D1735" s="2" t="s">
        <v>83</v>
      </c>
      <c r="E1735" s="2" t="n">
        <v>2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7</v>
      </c>
      <c r="K1735" s="2" t="n">
        <v>9</v>
      </c>
      <c r="L1735" s="11" t="b">
        <f aca="false">TRUE()</f>
        <v>1</v>
      </c>
      <c r="M1735" s="2" t="s">
        <v>410</v>
      </c>
      <c r="N1735" s="2" t="n">
        <f aca="false">IF(E1735&gt;0,F1735/E1735,"")</f>
        <v>0</v>
      </c>
      <c r="O1735" s="2" t="n">
        <f aca="false">IF(AND(E1735&gt;0,L1735),J1735/E1735,"")</f>
        <v>3.5</v>
      </c>
    </row>
    <row r="1736" customFormat="false" ht="15" hidden="false" customHeight="false" outlineLevel="0" collapsed="false">
      <c r="A1736" s="2" t="n">
        <v>2026</v>
      </c>
      <c r="B1736" s="2" t="s">
        <v>228</v>
      </c>
      <c r="C1736" s="2" t="s">
        <v>408</v>
      </c>
      <c r="D1736" s="2" t="s">
        <v>117</v>
      </c>
      <c r="E1736" s="2" t="n">
        <v>12</v>
      </c>
      <c r="F1736" s="2" t="n">
        <v>2</v>
      </c>
      <c r="G1736" s="2" t="n">
        <v>1</v>
      </c>
      <c r="H1736" s="2" t="n">
        <v>0</v>
      </c>
      <c r="I1736" s="2" t="n">
        <v>0</v>
      </c>
      <c r="J1736" s="2" t="n">
        <v>67</v>
      </c>
      <c r="K1736" s="2" t="n">
        <v>73</v>
      </c>
      <c r="L1736" s="11" t="b">
        <f aca="false">TRUE()</f>
        <v>1</v>
      </c>
      <c r="M1736" s="2" t="s">
        <v>406</v>
      </c>
      <c r="N1736" s="2" t="n">
        <f aca="false">IF(E1736&gt;0,F1736/E1736,"")</f>
        <v>0.166666666666667</v>
      </c>
      <c r="O1736" s="2" t="n">
        <f aca="false">IF(AND(E1736&gt;0,L1736),J1736/E1736,"")</f>
        <v>5.58333333333333</v>
      </c>
    </row>
    <row r="1737" customFormat="false" ht="15" hidden="false" customHeight="false" outlineLevel="0" collapsed="false">
      <c r="A1737" s="2" t="n">
        <v>2026</v>
      </c>
      <c r="B1737" s="2" t="s">
        <v>68</v>
      </c>
      <c r="C1737" s="2" t="s">
        <v>622</v>
      </c>
      <c r="D1737" s="2" t="s">
        <v>24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11" t="b">
        <f aca="false">TRUE()</f>
        <v>1</v>
      </c>
      <c r="M1737" s="2" t="s">
        <v>410</v>
      </c>
      <c r="N1737" s="2" t="str">
        <f aca="false">IF(E1737&gt;0,F1737/E1737,"")</f>
        <v/>
      </c>
      <c r="O1737" s="2" t="str">
        <f aca="false">IF(AND(E1737&gt;0,L1737),J1737/E1737,"")</f>
        <v/>
      </c>
    </row>
    <row r="1738" customFormat="false" ht="15" hidden="false" customHeight="false" outlineLevel="0" collapsed="false">
      <c r="A1738" s="2" t="n">
        <v>2026</v>
      </c>
      <c r="B1738" s="2" t="s">
        <v>216</v>
      </c>
      <c r="C1738" s="2" t="s">
        <v>414</v>
      </c>
      <c r="D1738" s="2" t="s">
        <v>29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11" t="b">
        <f aca="false">TRUE()</f>
        <v>1</v>
      </c>
      <c r="M1738" s="2" t="s">
        <v>410</v>
      </c>
      <c r="N1738" s="2" t="str">
        <f aca="false">IF(E1738&gt;0,F1738/E1738,"")</f>
        <v/>
      </c>
      <c r="O1738" s="2" t="str">
        <f aca="false">IF(AND(E1738&gt;0,L1738),J1738/E1738,"")</f>
        <v/>
      </c>
    </row>
    <row r="1739" customFormat="false" ht="15" hidden="false" customHeight="false" outlineLevel="0" collapsed="false">
      <c r="A1739" s="2" t="n">
        <v>2026</v>
      </c>
      <c r="B1739" s="2" t="s">
        <v>48</v>
      </c>
      <c r="C1739" s="2" t="s">
        <v>408</v>
      </c>
      <c r="D1739" s="2" t="s">
        <v>29</v>
      </c>
      <c r="E1739" s="2" t="n">
        <v>10</v>
      </c>
      <c r="F1739" s="2" t="n">
        <v>48</v>
      </c>
      <c r="G1739" s="2" t="n">
        <v>29</v>
      </c>
      <c r="H1739" s="2" t="n">
        <v>16</v>
      </c>
      <c r="I1739" s="2" t="n">
        <v>10</v>
      </c>
      <c r="J1739" s="2" t="n">
        <v>181</v>
      </c>
      <c r="K1739" s="2" t="n">
        <v>236</v>
      </c>
      <c r="L1739" s="11" t="b">
        <f aca="false">TRUE()</f>
        <v>1</v>
      </c>
      <c r="M1739" s="2" t="s">
        <v>406</v>
      </c>
      <c r="N1739" s="2" t="n">
        <f aca="false">IF(E1739&gt;0,F1739/E1739,"")</f>
        <v>4.8</v>
      </c>
      <c r="O1739" s="2" t="n">
        <f aca="false">IF(AND(E1739&gt;0,L1739),J1739/E1739,"")</f>
        <v>18.1</v>
      </c>
    </row>
    <row r="1740" customFormat="false" ht="15" hidden="false" customHeight="false" outlineLevel="0" collapsed="false">
      <c r="A1740" s="2" t="n">
        <v>2026</v>
      </c>
      <c r="B1740" s="2" t="s">
        <v>257</v>
      </c>
      <c r="C1740" s="2" t="s">
        <v>405</v>
      </c>
      <c r="D1740" s="2" t="s">
        <v>29</v>
      </c>
      <c r="E1740" s="2" t="n">
        <v>5</v>
      </c>
      <c r="F1740" s="2" t="n">
        <v>18</v>
      </c>
      <c r="G1740" s="2" t="n">
        <v>13</v>
      </c>
      <c r="H1740" s="2" t="n">
        <v>3</v>
      </c>
      <c r="I1740" s="2" t="n">
        <v>2</v>
      </c>
      <c r="J1740" s="2" t="n">
        <v>44</v>
      </c>
      <c r="K1740" s="2" t="n">
        <v>66</v>
      </c>
      <c r="L1740" s="11" t="b">
        <f aca="false">TRUE()</f>
        <v>1</v>
      </c>
      <c r="M1740" s="2" t="s">
        <v>406</v>
      </c>
      <c r="N1740" s="2" t="n">
        <f aca="false">IF(E1740&gt;0,F1740/E1740,"")</f>
        <v>3.6</v>
      </c>
      <c r="O1740" s="2" t="n">
        <f aca="false">IF(AND(E1740&gt;0,L1740),J1740/E1740,"")</f>
        <v>8.8</v>
      </c>
    </row>
    <row r="1741" customFormat="false" ht="15" hidden="false" customHeight="false" outlineLevel="0" collapsed="false">
      <c r="A1741" s="2" t="n">
        <v>2026</v>
      </c>
      <c r="B1741" s="2" t="s">
        <v>218</v>
      </c>
      <c r="C1741" s="2" t="s">
        <v>518</v>
      </c>
      <c r="D1741" s="2" t="s">
        <v>29</v>
      </c>
      <c r="E1741" s="2" t="n">
        <v>9</v>
      </c>
      <c r="F1741" s="2" t="n">
        <v>23</v>
      </c>
      <c r="G1741" s="2" t="n">
        <v>12</v>
      </c>
      <c r="H1741" s="2" t="n">
        <v>7</v>
      </c>
      <c r="I1741" s="2" t="n">
        <v>2</v>
      </c>
      <c r="J1741" s="2" t="n">
        <v>81</v>
      </c>
      <c r="K1741" s="2" t="n">
        <v>109</v>
      </c>
      <c r="L1741" s="11" t="b">
        <f aca="false">TRUE()</f>
        <v>1</v>
      </c>
      <c r="M1741" s="2" t="s">
        <v>406</v>
      </c>
      <c r="N1741" s="2" t="n">
        <f aca="false">IF(E1741&gt;0,F1741/E1741,"")</f>
        <v>2.55555555555556</v>
      </c>
      <c r="O1741" s="2" t="n">
        <f aca="false">IF(AND(E1741&gt;0,L1741),J1741/E1741,"")</f>
        <v>9</v>
      </c>
    </row>
    <row r="1742" customFormat="false" ht="15" hidden="false" customHeight="false" outlineLevel="0" collapsed="false">
      <c r="A1742" s="2" t="n">
        <v>2026</v>
      </c>
      <c r="B1742" s="2" t="s">
        <v>123</v>
      </c>
      <c r="C1742" s="2" t="s">
        <v>412</v>
      </c>
      <c r="D1742" s="2" t="s">
        <v>83</v>
      </c>
      <c r="E1742" s="2" t="n">
        <v>9</v>
      </c>
      <c r="F1742" s="2" t="n">
        <v>5</v>
      </c>
      <c r="G1742" s="2" t="n">
        <v>4</v>
      </c>
      <c r="H1742" s="2" t="n">
        <v>1</v>
      </c>
      <c r="I1742" s="2" t="n">
        <v>0</v>
      </c>
      <c r="J1742" s="2" t="n">
        <v>69</v>
      </c>
      <c r="K1742" s="2" t="n">
        <v>78</v>
      </c>
      <c r="L1742" s="11" t="b">
        <f aca="false">TRUE()</f>
        <v>1</v>
      </c>
      <c r="M1742" s="2" t="s">
        <v>406</v>
      </c>
      <c r="N1742" s="2" t="n">
        <f aca="false">IF(E1742&gt;0,F1742/E1742,"")</f>
        <v>0.555555555555556</v>
      </c>
      <c r="O1742" s="2" t="n">
        <f aca="false">IF(AND(E1742&gt;0,L1742),J1742/E1742,"")</f>
        <v>7.66666666666667</v>
      </c>
    </row>
    <row r="1743" customFormat="false" ht="15" hidden="false" customHeight="false" outlineLevel="0" collapsed="false">
      <c r="A1743" s="2" t="n">
        <v>2026</v>
      </c>
      <c r="B1743" s="2" t="s">
        <v>150</v>
      </c>
      <c r="C1743" s="2" t="s">
        <v>420</v>
      </c>
      <c r="D1743" s="2" t="s">
        <v>83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11" t="b">
        <f aca="false">TRUE()</f>
        <v>1</v>
      </c>
      <c r="M1743" s="2" t="s">
        <v>410</v>
      </c>
      <c r="N1743" s="2" t="str">
        <f aca="false">IF(E1743&gt;0,F1743/E1743,"")</f>
        <v/>
      </c>
      <c r="O1743" s="2" t="str">
        <f aca="false">IF(AND(E1743&gt;0,L1743),J1743/E1743,"")</f>
        <v/>
      </c>
    </row>
    <row r="1744" customFormat="false" ht="15" hidden="false" customHeight="false" outlineLevel="0" collapsed="false">
      <c r="A1744" s="2" t="n">
        <v>2026</v>
      </c>
      <c r="B1744" s="2" t="s">
        <v>61</v>
      </c>
      <c r="C1744" s="2" t="s">
        <v>545</v>
      </c>
      <c r="D1744" s="2" t="s">
        <v>24</v>
      </c>
      <c r="E1744" s="2" t="n">
        <v>12</v>
      </c>
      <c r="F1744" s="2" t="n">
        <v>85</v>
      </c>
      <c r="G1744" s="2" t="n">
        <v>54</v>
      </c>
      <c r="H1744" s="2" t="n">
        <v>19</v>
      </c>
      <c r="I1744" s="2" t="n">
        <v>15</v>
      </c>
      <c r="J1744" s="2" t="n">
        <v>378</v>
      </c>
      <c r="K1744" s="2" t="n">
        <v>478</v>
      </c>
      <c r="L1744" s="11" t="b">
        <f aca="false">TRUE()</f>
        <v>1</v>
      </c>
      <c r="M1744" s="2" t="s">
        <v>406</v>
      </c>
      <c r="N1744" s="2" t="n">
        <f aca="false">IF(E1744&gt;0,F1744/E1744,"")</f>
        <v>7.08333333333333</v>
      </c>
      <c r="O1744" s="2" t="n">
        <f aca="false">IF(AND(E1744&gt;0,L1744),J1744/E1744,"")</f>
        <v>31.5</v>
      </c>
    </row>
    <row r="1745" customFormat="false" ht="15" hidden="false" customHeight="false" outlineLevel="0" collapsed="false">
      <c r="A1745" s="2" t="n">
        <v>2026</v>
      </c>
      <c r="B1745" s="2" t="s">
        <v>261</v>
      </c>
      <c r="C1745" s="2" t="s">
        <v>408</v>
      </c>
      <c r="D1745" s="2" t="s">
        <v>83</v>
      </c>
      <c r="E1745" s="2" t="n">
        <v>10</v>
      </c>
      <c r="F1745" s="2" t="n">
        <v>12</v>
      </c>
      <c r="G1745" s="2" t="n">
        <v>10</v>
      </c>
      <c r="H1745" s="2" t="n">
        <v>5</v>
      </c>
      <c r="I1745" s="2" t="n">
        <v>1</v>
      </c>
      <c r="J1745" s="2" t="n">
        <v>63</v>
      </c>
      <c r="K1745" s="2" t="n">
        <v>79</v>
      </c>
      <c r="L1745" s="11" t="b">
        <f aca="false">TRUE()</f>
        <v>1</v>
      </c>
      <c r="M1745" s="2" t="s">
        <v>406</v>
      </c>
      <c r="N1745" s="2" t="n">
        <f aca="false">IF(E1745&gt;0,F1745/E1745,"")</f>
        <v>1.2</v>
      </c>
      <c r="O1745" s="2" t="n">
        <f aca="false">IF(AND(E1745&gt;0,L1745),J1745/E1745,"")</f>
        <v>6.3</v>
      </c>
    </row>
    <row r="1746" customFormat="false" ht="15" hidden="false" customHeight="false" outlineLevel="0" collapsed="false">
      <c r="A1746" s="2" t="n">
        <v>2026</v>
      </c>
      <c r="B1746" s="2" t="s">
        <v>160</v>
      </c>
      <c r="C1746" s="2" t="s">
        <v>408</v>
      </c>
      <c r="D1746" s="2" t="s">
        <v>83</v>
      </c>
      <c r="E1746" s="2" t="n">
        <v>12</v>
      </c>
      <c r="F1746" s="2" t="n">
        <v>6</v>
      </c>
      <c r="G1746" s="2" t="n">
        <v>3</v>
      </c>
      <c r="H1746" s="2" t="n">
        <v>1</v>
      </c>
      <c r="I1746" s="2" t="n">
        <v>2</v>
      </c>
      <c r="J1746" s="2" t="n">
        <v>56</v>
      </c>
      <c r="K1746" s="2" t="n">
        <v>64</v>
      </c>
      <c r="L1746" s="11" t="b">
        <f aca="false">TRUE()</f>
        <v>1</v>
      </c>
      <c r="M1746" s="2" t="s">
        <v>406</v>
      </c>
      <c r="N1746" s="2" t="n">
        <f aca="false">IF(E1746&gt;0,F1746/E1746,"")</f>
        <v>0.5</v>
      </c>
      <c r="O1746" s="2" t="n">
        <f aca="false">IF(AND(E1746&gt;0,L1746),J1746/E1746,"")</f>
        <v>4.66666666666667</v>
      </c>
    </row>
    <row r="1747" customFormat="false" ht="15" hidden="false" customHeight="false" outlineLevel="0" collapsed="false">
      <c r="A1747" s="2" t="n">
        <v>2026</v>
      </c>
      <c r="B1747" s="2" t="s">
        <v>128</v>
      </c>
      <c r="C1747" s="2" t="s">
        <v>412</v>
      </c>
      <c r="D1747" s="2" t="s">
        <v>117</v>
      </c>
      <c r="E1747" s="2" t="n">
        <v>12</v>
      </c>
      <c r="F1747" s="2" t="n">
        <v>8</v>
      </c>
      <c r="G1747" s="2" t="n">
        <v>4</v>
      </c>
      <c r="H1747" s="2" t="n">
        <v>2</v>
      </c>
      <c r="I1747" s="2" t="n">
        <v>5</v>
      </c>
      <c r="J1747" s="2" t="n">
        <v>137</v>
      </c>
      <c r="K1747" s="2" t="n">
        <v>157</v>
      </c>
      <c r="L1747" s="11" t="b">
        <f aca="false">TRUE()</f>
        <v>1</v>
      </c>
      <c r="M1747" s="2" t="s">
        <v>406</v>
      </c>
      <c r="N1747" s="2" t="n">
        <f aca="false">IF(E1747&gt;0,F1747/E1747,"")</f>
        <v>0.666666666666667</v>
      </c>
      <c r="O1747" s="2" t="n">
        <f aca="false">IF(AND(E1747&gt;0,L1747),J1747/E1747,"")</f>
        <v>11.4166666666667</v>
      </c>
    </row>
    <row r="1748" customFormat="false" ht="15" hidden="false" customHeight="false" outlineLevel="0" collapsed="false">
      <c r="A1748" s="2" t="n">
        <v>2026</v>
      </c>
      <c r="B1748" s="2" t="s">
        <v>658</v>
      </c>
      <c r="C1748" s="2" t="s">
        <v>414</v>
      </c>
      <c r="D1748" s="2" t="s">
        <v>413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11" t="b">
        <f aca="false">TRUE()</f>
        <v>1</v>
      </c>
      <c r="M1748" s="2" t="s">
        <v>410</v>
      </c>
      <c r="N1748" s="2" t="str">
        <f aca="false">IF(E1748&gt;0,F1748/E1748,"")</f>
        <v/>
      </c>
      <c r="O1748" s="2" t="str">
        <f aca="false">IF(AND(E1748&gt;0,L1748),J1748/E1748,"")</f>
        <v/>
      </c>
    </row>
    <row r="1749" customFormat="false" ht="15" hidden="false" customHeight="false" outlineLevel="0" collapsed="false">
      <c r="A1749" s="2" t="n">
        <v>2026</v>
      </c>
      <c r="B1749" s="2" t="s">
        <v>41</v>
      </c>
      <c r="C1749" s="2" t="s">
        <v>414</v>
      </c>
      <c r="D1749" s="2" t="s">
        <v>24</v>
      </c>
      <c r="E1749" s="2" t="n">
        <v>12</v>
      </c>
      <c r="F1749" s="2" t="n">
        <v>79</v>
      </c>
      <c r="G1749" s="2" t="n">
        <v>60</v>
      </c>
      <c r="H1749" s="2" t="n">
        <v>24</v>
      </c>
      <c r="I1749" s="2" t="n">
        <v>8</v>
      </c>
      <c r="J1749" s="2" t="n">
        <v>279</v>
      </c>
      <c r="K1749" s="2" t="n">
        <v>372</v>
      </c>
      <c r="L1749" s="11" t="b">
        <f aca="false">TRUE()</f>
        <v>1</v>
      </c>
      <c r="M1749" s="2" t="s">
        <v>406</v>
      </c>
      <c r="N1749" s="2" t="n">
        <f aca="false">IF(E1749&gt;0,F1749/E1749,"")</f>
        <v>6.58333333333333</v>
      </c>
      <c r="O1749" s="2" t="n">
        <f aca="false">IF(AND(E1749&gt;0,L1749),J1749/E1749,"")</f>
        <v>23.25</v>
      </c>
    </row>
    <row r="1750" customFormat="false" ht="15" hidden="false" customHeight="false" outlineLevel="0" collapsed="false">
      <c r="A1750" s="2" t="n">
        <v>2026</v>
      </c>
      <c r="B1750" s="2" t="s">
        <v>151</v>
      </c>
      <c r="C1750" s="2" t="s">
        <v>420</v>
      </c>
      <c r="D1750" s="2" t="s">
        <v>29</v>
      </c>
      <c r="E1750" s="2" t="n">
        <v>10</v>
      </c>
      <c r="F1750" s="2" t="n">
        <v>40</v>
      </c>
      <c r="G1750" s="2" t="n">
        <v>26</v>
      </c>
      <c r="H1750" s="2" t="n">
        <v>16</v>
      </c>
      <c r="I1750" s="2" t="n">
        <v>8</v>
      </c>
      <c r="J1750" s="2" t="n">
        <v>165</v>
      </c>
      <c r="K1750" s="2" t="n">
        <v>216</v>
      </c>
      <c r="L1750" s="11" t="b">
        <f aca="false">TRUE()</f>
        <v>1</v>
      </c>
      <c r="M1750" s="2" t="s">
        <v>406</v>
      </c>
      <c r="N1750" s="2" t="n">
        <f aca="false">IF(E1750&gt;0,F1750/E1750,"")</f>
        <v>4</v>
      </c>
      <c r="O1750" s="2" t="n">
        <f aca="false">IF(AND(E1750&gt;0,L1750),J1750/E1750,"")</f>
        <v>16.5</v>
      </c>
    </row>
    <row r="1751" customFormat="false" ht="15" hidden="false" customHeight="false" outlineLevel="0" collapsed="false">
      <c r="A1751" s="2" t="n">
        <v>2026</v>
      </c>
      <c r="B1751" s="2" t="s">
        <v>116</v>
      </c>
      <c r="C1751" s="2" t="s">
        <v>622</v>
      </c>
      <c r="D1751" s="2" t="s">
        <v>117</v>
      </c>
      <c r="E1751" s="2" t="n">
        <v>10</v>
      </c>
      <c r="F1751" s="2" t="n">
        <v>4</v>
      </c>
      <c r="G1751" s="2" t="n">
        <v>2</v>
      </c>
      <c r="H1751" s="2" t="n">
        <v>0</v>
      </c>
      <c r="I1751" s="2" t="n">
        <v>0</v>
      </c>
      <c r="J1751" s="2" t="n">
        <v>58</v>
      </c>
      <c r="K1751" s="2" t="n">
        <v>67</v>
      </c>
      <c r="L1751" s="11" t="b">
        <f aca="false">TRUE()</f>
        <v>1</v>
      </c>
      <c r="M1751" s="2" t="s">
        <v>406</v>
      </c>
      <c r="N1751" s="2" t="n">
        <f aca="false">IF(E1751&gt;0,F1751/E1751,"")</f>
        <v>0.4</v>
      </c>
      <c r="O1751" s="2" t="n">
        <f aca="false">IF(AND(E1751&gt;0,L1751),J1751/E1751,"")</f>
        <v>5.8</v>
      </c>
    </row>
    <row r="1752" customFormat="false" ht="15" hidden="false" customHeight="false" outlineLevel="0" collapsed="false">
      <c r="A1752" s="2" t="n">
        <v>2026</v>
      </c>
      <c r="B1752" s="2" t="s">
        <v>643</v>
      </c>
      <c r="C1752" s="2" t="s">
        <v>412</v>
      </c>
      <c r="D1752" s="2" t="s">
        <v>409</v>
      </c>
      <c r="E1752" s="2" t="n">
        <v>1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5</v>
      </c>
      <c r="K1752" s="2" t="n">
        <v>5</v>
      </c>
      <c r="L1752" s="11" t="b">
        <f aca="false">TRUE()</f>
        <v>1</v>
      </c>
      <c r="M1752" s="2" t="s">
        <v>410</v>
      </c>
      <c r="N1752" s="2" t="n">
        <f aca="false">IF(E1752&gt;0,F1752/E1752,"")</f>
        <v>0</v>
      </c>
      <c r="O1752" s="2" t="n">
        <f aca="false">IF(AND(E1752&gt;0,L1752),J1752/E1752,"")</f>
        <v>5</v>
      </c>
    </row>
    <row r="1753" customFormat="false" ht="15" hidden="false" customHeight="false" outlineLevel="0" collapsed="false">
      <c r="A1753" s="2" t="n">
        <v>2026</v>
      </c>
      <c r="B1753" s="2" t="s">
        <v>351</v>
      </c>
      <c r="C1753" s="2" t="s">
        <v>408</v>
      </c>
      <c r="D1753" s="2" t="s">
        <v>24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11" t="b">
        <f aca="false">TRUE()</f>
        <v>1</v>
      </c>
      <c r="M1753" s="2" t="s">
        <v>410</v>
      </c>
      <c r="N1753" s="2" t="str">
        <f aca="false">IF(E1753&gt;0,F1753/E1753,"")</f>
        <v/>
      </c>
      <c r="O1753" s="2" t="str">
        <f aca="false">IF(AND(E1753&gt;0,L1753),J1753/E1753,"")</f>
        <v/>
      </c>
    </row>
    <row r="1754" customFormat="false" ht="15" hidden="false" customHeight="false" outlineLevel="0" collapsed="false">
      <c r="A1754" s="2" t="n">
        <v>2026</v>
      </c>
      <c r="B1754" s="2" t="s">
        <v>230</v>
      </c>
      <c r="C1754" s="2" t="s">
        <v>405</v>
      </c>
      <c r="D1754" s="2" t="s">
        <v>24</v>
      </c>
      <c r="E1754" s="2" t="n">
        <v>3</v>
      </c>
      <c r="F1754" s="2" t="n">
        <v>10</v>
      </c>
      <c r="G1754" s="2" t="n">
        <v>7</v>
      </c>
      <c r="H1754" s="2" t="n">
        <v>5</v>
      </c>
      <c r="I1754" s="2" t="n">
        <v>0</v>
      </c>
      <c r="J1754" s="2" t="n">
        <v>48</v>
      </c>
      <c r="K1754" s="2" t="n">
        <v>59</v>
      </c>
      <c r="L1754" s="11" t="b">
        <f aca="false">TRUE()</f>
        <v>1</v>
      </c>
      <c r="M1754" s="2" t="s">
        <v>406</v>
      </c>
      <c r="N1754" s="2" t="n">
        <f aca="false">IF(E1754&gt;0,F1754/E1754,"")</f>
        <v>3.33333333333333</v>
      </c>
      <c r="O1754" s="2" t="n">
        <f aca="false">IF(AND(E1754&gt;0,L1754),J1754/E1754,"")</f>
        <v>16</v>
      </c>
    </row>
    <row r="1755" customFormat="false" ht="15" hidden="false" customHeight="false" outlineLevel="0" collapsed="false">
      <c r="A1755" s="2" t="n">
        <v>2026</v>
      </c>
      <c r="B1755" s="2" t="s">
        <v>274</v>
      </c>
      <c r="C1755" s="2" t="s">
        <v>414</v>
      </c>
      <c r="D1755" s="2" t="s">
        <v>83</v>
      </c>
      <c r="E1755" s="2" t="n">
        <v>1</v>
      </c>
      <c r="F1755" s="2" t="n">
        <v>1</v>
      </c>
      <c r="G1755" s="2" t="n">
        <v>1</v>
      </c>
      <c r="H1755" s="2" t="n">
        <v>1</v>
      </c>
      <c r="I1755" s="2" t="n">
        <v>0</v>
      </c>
      <c r="J1755" s="2" t="n">
        <v>5</v>
      </c>
      <c r="K1755" s="2" t="n">
        <v>6</v>
      </c>
      <c r="L1755" s="11" t="b">
        <f aca="false">TRUE()</f>
        <v>1</v>
      </c>
      <c r="M1755" s="2" t="s">
        <v>410</v>
      </c>
      <c r="N1755" s="2" t="n">
        <f aca="false">IF(E1755&gt;0,F1755/E1755,"")</f>
        <v>1</v>
      </c>
      <c r="O1755" s="2" t="n">
        <f aca="false">IF(AND(E1755&gt;0,L1755),J1755/E1755,"")</f>
        <v>5</v>
      </c>
    </row>
    <row r="1756" customFormat="false" ht="15" hidden="false" customHeight="false" outlineLevel="0" collapsed="false">
      <c r="A1756" s="2" t="n">
        <v>2026</v>
      </c>
      <c r="B1756" s="2" t="s">
        <v>80</v>
      </c>
      <c r="C1756" s="2" t="s">
        <v>405</v>
      </c>
      <c r="D1756" s="2" t="s">
        <v>29</v>
      </c>
      <c r="E1756" s="2" t="n">
        <v>12</v>
      </c>
      <c r="F1756" s="2" t="n">
        <v>60</v>
      </c>
      <c r="G1756" s="2" t="n">
        <v>30</v>
      </c>
      <c r="H1756" s="2" t="n">
        <v>17</v>
      </c>
      <c r="I1756" s="2" t="n">
        <v>5</v>
      </c>
      <c r="J1756" s="2" t="n">
        <v>272</v>
      </c>
      <c r="K1756" s="2" t="n">
        <v>346</v>
      </c>
      <c r="L1756" s="11" t="b">
        <f aca="false">TRUE()</f>
        <v>1</v>
      </c>
      <c r="M1756" s="2" t="s">
        <v>406</v>
      </c>
      <c r="N1756" s="2" t="n">
        <f aca="false">IF(E1756&gt;0,F1756/E1756,"")</f>
        <v>5</v>
      </c>
      <c r="O1756" s="2" t="n">
        <f aca="false">IF(AND(E1756&gt;0,L1756),J1756/E1756,"")</f>
        <v>22.6666666666667</v>
      </c>
    </row>
    <row r="1757" customFormat="false" ht="15" hidden="false" customHeight="false" outlineLevel="0" collapsed="false">
      <c r="A1757" s="2" t="n">
        <v>2026</v>
      </c>
      <c r="B1757" s="2" t="s">
        <v>27</v>
      </c>
      <c r="C1757" s="2" t="s">
        <v>518</v>
      </c>
      <c r="D1757" s="2" t="s">
        <v>24</v>
      </c>
      <c r="E1757" s="2" t="n">
        <v>12</v>
      </c>
      <c r="F1757" s="2" t="n">
        <v>45</v>
      </c>
      <c r="G1757" s="2" t="n">
        <v>28</v>
      </c>
      <c r="H1757" s="2" t="n">
        <v>11</v>
      </c>
      <c r="I1757" s="2" t="n">
        <v>13</v>
      </c>
      <c r="J1757" s="2" t="n">
        <v>217</v>
      </c>
      <c r="K1757" s="2" t="n">
        <v>284</v>
      </c>
      <c r="L1757" s="11" t="b">
        <f aca="false">TRUE()</f>
        <v>1</v>
      </c>
      <c r="M1757" s="2" t="s">
        <v>406</v>
      </c>
      <c r="N1757" s="2" t="n">
        <f aca="false">IF(E1757&gt;0,F1757/E1757,"")</f>
        <v>3.75</v>
      </c>
      <c r="O1757" s="2" t="n">
        <f aca="false">IF(AND(E1757&gt;0,L1757),J1757/E1757,"")</f>
        <v>18.0833333333333</v>
      </c>
    </row>
    <row r="1758" customFormat="false" ht="15" hidden="false" customHeight="false" outlineLevel="0" collapsed="false">
      <c r="A1758" s="2" t="n">
        <v>2026</v>
      </c>
      <c r="B1758" s="2" t="s">
        <v>119</v>
      </c>
      <c r="C1758" s="2" t="s">
        <v>518</v>
      </c>
      <c r="D1758" s="2" t="s">
        <v>29</v>
      </c>
      <c r="E1758" s="2" t="n">
        <v>4</v>
      </c>
      <c r="F1758" s="2" t="n">
        <v>12</v>
      </c>
      <c r="G1758" s="2" t="n">
        <v>7</v>
      </c>
      <c r="H1758" s="2" t="n">
        <v>3</v>
      </c>
      <c r="I1758" s="2" t="n">
        <v>2</v>
      </c>
      <c r="J1758" s="2" t="n">
        <v>73</v>
      </c>
      <c r="K1758" s="2" t="n">
        <v>86</v>
      </c>
      <c r="L1758" s="11" t="b">
        <f aca="false">TRUE()</f>
        <v>1</v>
      </c>
      <c r="M1758" s="2" t="s">
        <v>406</v>
      </c>
      <c r="N1758" s="2" t="n">
        <f aca="false">IF(E1758&gt;0,F1758/E1758,"")</f>
        <v>3</v>
      </c>
      <c r="O1758" s="2" t="n">
        <f aca="false">IF(AND(E1758&gt;0,L1758),J1758/E1758,"")</f>
        <v>18.25</v>
      </c>
    </row>
    <row r="1759" customFormat="false" ht="15" hidden="false" customHeight="false" outlineLevel="0" collapsed="false">
      <c r="A1759" s="2" t="n">
        <v>2026</v>
      </c>
      <c r="B1759" s="2" t="s">
        <v>308</v>
      </c>
      <c r="C1759" s="2" t="s">
        <v>414</v>
      </c>
      <c r="D1759" s="2" t="s">
        <v>115</v>
      </c>
      <c r="E1759" s="2" t="n">
        <v>9</v>
      </c>
      <c r="F1759" s="2" t="n">
        <v>2</v>
      </c>
      <c r="G1759" s="2" t="n">
        <v>2</v>
      </c>
      <c r="H1759" s="2" t="n">
        <v>0</v>
      </c>
      <c r="I1759" s="2" t="n">
        <v>0</v>
      </c>
      <c r="J1759" s="2" t="n">
        <v>27</v>
      </c>
      <c r="K1759" s="2" t="n">
        <v>30</v>
      </c>
      <c r="L1759" s="11" t="b">
        <f aca="false">TRUE()</f>
        <v>1</v>
      </c>
      <c r="M1759" s="2" t="s">
        <v>406</v>
      </c>
      <c r="N1759" s="2" t="n">
        <f aca="false">IF(E1759&gt;0,F1759/E1759,"")</f>
        <v>0.222222222222222</v>
      </c>
      <c r="O1759" s="2" t="n">
        <f aca="false">IF(AND(E1759&gt;0,L1759),J1759/E1759,"")</f>
        <v>3</v>
      </c>
    </row>
    <row r="1760" customFormat="false" ht="15" hidden="false" customHeight="false" outlineLevel="0" collapsed="false">
      <c r="A1760" s="2" t="n">
        <v>2026</v>
      </c>
      <c r="B1760" s="2" t="s">
        <v>595</v>
      </c>
      <c r="C1760" s="2" t="s">
        <v>622</v>
      </c>
      <c r="D1760" s="2" t="s">
        <v>409</v>
      </c>
      <c r="E1760" s="2" t="n">
        <v>4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38</v>
      </c>
      <c r="K1760" s="2" t="n">
        <v>40</v>
      </c>
      <c r="L1760" s="11" t="b">
        <f aca="false">TRUE()</f>
        <v>1</v>
      </c>
      <c r="M1760" s="2" t="s">
        <v>410</v>
      </c>
      <c r="N1760" s="2" t="n">
        <f aca="false">IF(E1760&gt;0,F1760/E1760,"")</f>
        <v>0</v>
      </c>
      <c r="O1760" s="2" t="n">
        <f aca="false">IF(AND(E1760&gt;0,L1760),J1760/E1760,"")</f>
        <v>9.5</v>
      </c>
    </row>
    <row r="1761" customFormat="false" ht="15" hidden="false" customHeight="false" outlineLevel="0" collapsed="false">
      <c r="A1761" s="2" t="n">
        <v>2026</v>
      </c>
      <c r="B1761" s="2" t="s">
        <v>360</v>
      </c>
      <c r="C1761" s="2" t="s">
        <v>412</v>
      </c>
      <c r="D1761" s="2" t="s">
        <v>29</v>
      </c>
      <c r="E1761" s="2" t="n">
        <v>1</v>
      </c>
      <c r="F1761" s="2" t="n">
        <v>3</v>
      </c>
      <c r="G1761" s="2" t="n">
        <v>0</v>
      </c>
      <c r="H1761" s="2" t="n">
        <v>0</v>
      </c>
      <c r="I1761" s="2" t="n">
        <v>0</v>
      </c>
      <c r="J1761" s="2" t="n">
        <v>5</v>
      </c>
      <c r="K1761" s="2" t="n">
        <v>8</v>
      </c>
      <c r="L1761" s="11" t="b">
        <f aca="false">TRUE()</f>
        <v>1</v>
      </c>
      <c r="M1761" s="2" t="s">
        <v>410</v>
      </c>
      <c r="N1761" s="2" t="n">
        <f aca="false">IF(E1761&gt;0,F1761/E1761,"")</f>
        <v>3</v>
      </c>
      <c r="O1761" s="2" t="n">
        <f aca="false">IF(AND(E1761&gt;0,L1761),J1761/E1761,"")</f>
        <v>5</v>
      </c>
    </row>
    <row r="1762" customFormat="false" ht="15" hidden="false" customHeight="false" outlineLevel="0" collapsed="false">
      <c r="A1762" s="2" t="n">
        <v>2026</v>
      </c>
      <c r="B1762" s="2" t="s">
        <v>659</v>
      </c>
      <c r="C1762" s="2" t="s">
        <v>545</v>
      </c>
      <c r="D1762" s="2" t="s">
        <v>413</v>
      </c>
      <c r="E1762" s="2" t="n">
        <v>9</v>
      </c>
      <c r="F1762" s="2" t="n">
        <v>19</v>
      </c>
      <c r="G1762" s="2" t="n">
        <v>8</v>
      </c>
      <c r="H1762" s="2" t="n">
        <v>2</v>
      </c>
      <c r="I1762" s="2" t="n">
        <v>7</v>
      </c>
      <c r="J1762" s="2" t="n">
        <v>60</v>
      </c>
      <c r="K1762" s="2" t="n">
        <v>84</v>
      </c>
      <c r="L1762" s="11" t="b">
        <f aca="false">TRUE()</f>
        <v>1</v>
      </c>
      <c r="M1762" s="2" t="s">
        <v>410</v>
      </c>
      <c r="N1762" s="2" t="n">
        <f aca="false">IF(E1762&gt;0,F1762/E1762,"")</f>
        <v>2.11111111111111</v>
      </c>
      <c r="O1762" s="2" t="n">
        <f aca="false">IF(AND(E1762&gt;0,L1762),J1762/E1762,"")</f>
        <v>6.66666666666667</v>
      </c>
    </row>
    <row r="1763" customFormat="false" ht="15" hidden="false" customHeight="false" outlineLevel="0" collapsed="false">
      <c r="A1763" s="2" t="n">
        <v>2026</v>
      </c>
      <c r="B1763" s="2" t="s">
        <v>644</v>
      </c>
      <c r="C1763" s="2" t="s">
        <v>622</v>
      </c>
      <c r="D1763" s="2" t="s">
        <v>409</v>
      </c>
      <c r="E1763" s="2" t="n">
        <v>11</v>
      </c>
      <c r="F1763" s="2" t="n">
        <v>2</v>
      </c>
      <c r="G1763" s="2" t="n">
        <v>2</v>
      </c>
      <c r="H1763" s="2" t="n">
        <v>0</v>
      </c>
      <c r="I1763" s="2" t="n">
        <v>0</v>
      </c>
      <c r="J1763" s="2" t="n">
        <v>172</v>
      </c>
      <c r="K1763" s="2" t="n">
        <v>178</v>
      </c>
      <c r="L1763" s="11" t="b">
        <f aca="false">TRUE()</f>
        <v>1</v>
      </c>
      <c r="M1763" s="2" t="s">
        <v>410</v>
      </c>
      <c r="N1763" s="2" t="n">
        <f aca="false">IF(E1763&gt;0,F1763/E1763,"")</f>
        <v>0.181818181818182</v>
      </c>
      <c r="O1763" s="2" t="n">
        <f aca="false">IF(AND(E1763&gt;0,L1763),J1763/E1763,"")</f>
        <v>15.6363636363636</v>
      </c>
    </row>
    <row r="1764" customFormat="false" ht="15" hidden="false" customHeight="false" outlineLevel="0" collapsed="false">
      <c r="A1764" s="2" t="n">
        <v>2026</v>
      </c>
      <c r="B1764" s="2" t="s">
        <v>381</v>
      </c>
      <c r="C1764" s="2" t="s">
        <v>414</v>
      </c>
      <c r="D1764" s="2" t="s">
        <v>117</v>
      </c>
      <c r="E1764" s="2" t="n">
        <v>1</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="n">
        <v>3</v>
      </c>
      <c r="K1764" s="2" t="n">
        <v>4</v>
      </c>
      <c r="L1764" s="11" t="b">
        <f aca="false">TRUE()</f>
        <v>1</v>
      </c>
      <c r="M1764" s="2" t="s">
        <v>410</v>
      </c>
      <c r="N1764" s="2" t="n">
        <f aca="false">IF(E1764&gt;0,F1764/E1764,"")</f>
        <v>0</v>
      </c>
      <c r="O1764" s="2" t="n">
        <f aca="false">IF(AND(E1764&gt;0,L1764),J1764/E1764,"")</f>
        <v>3</v>
      </c>
    </row>
    <row r="1765" customFormat="false" ht="15" hidden="false" customHeight="false" outlineLevel="0" collapsed="false">
      <c r="A1765" s="2" t="n">
        <v>2026</v>
      </c>
      <c r="B1765" s="2" t="s">
        <v>203</v>
      </c>
      <c r="C1765" s="2" t="s">
        <v>405</v>
      </c>
      <c r="D1765" s="2" t="s">
        <v>83</v>
      </c>
      <c r="E1765" s="2" t="n">
        <v>10</v>
      </c>
      <c r="F1765" s="2" t="n">
        <v>5</v>
      </c>
      <c r="G1765" s="2" t="n">
        <v>3</v>
      </c>
      <c r="H1765" s="2" t="n">
        <v>1</v>
      </c>
      <c r="I1765" s="2" t="n">
        <v>0</v>
      </c>
      <c r="J1765" s="2" t="n">
        <v>29</v>
      </c>
      <c r="K1765" s="2" t="n">
        <v>35</v>
      </c>
      <c r="L1765" s="11" t="b">
        <f aca="false">TRUE()</f>
        <v>1</v>
      </c>
      <c r="M1765" s="2" t="s">
        <v>406</v>
      </c>
      <c r="N1765" s="2" t="n">
        <f aca="false">IF(E1765&gt;0,F1765/E1765,"")</f>
        <v>0.5</v>
      </c>
      <c r="O1765" s="2" t="n">
        <f aca="false">IF(AND(E1765&gt;0,L1765),J1765/E1765,"")</f>
        <v>2.9</v>
      </c>
    </row>
    <row r="1766" customFormat="false" ht="15" hidden="false" customHeight="false" outlineLevel="0" collapsed="false">
      <c r="A1766" s="2" t="n">
        <v>2026</v>
      </c>
      <c r="B1766" s="2" t="s">
        <v>38</v>
      </c>
      <c r="C1766" s="2" t="s">
        <v>405</v>
      </c>
      <c r="D1766" s="2" t="s">
        <v>24</v>
      </c>
      <c r="E1766" s="2" t="n">
        <v>12</v>
      </c>
      <c r="F1766" s="2" t="n">
        <v>87</v>
      </c>
      <c r="G1766" s="2" t="n">
        <v>54</v>
      </c>
      <c r="H1766" s="2" t="n">
        <v>25</v>
      </c>
      <c r="I1766" s="2" t="n">
        <v>9</v>
      </c>
      <c r="J1766" s="2" t="n">
        <v>188</v>
      </c>
      <c r="K1766" s="2" t="n">
        <v>304</v>
      </c>
      <c r="L1766" s="11" t="b">
        <f aca="false">TRUE()</f>
        <v>1</v>
      </c>
      <c r="M1766" s="2" t="s">
        <v>406</v>
      </c>
      <c r="N1766" s="2" t="n">
        <f aca="false">IF(E1766&gt;0,F1766/E1766,"")</f>
        <v>7.25</v>
      </c>
      <c r="O1766" s="2" t="n">
        <f aca="false">IF(AND(E1766&gt;0,L1766),J1766/E1766,"")</f>
        <v>15.6666666666667</v>
      </c>
    </row>
    <row r="1767" customFormat="false" ht="15" hidden="false" customHeight="false" outlineLevel="0" collapsed="false">
      <c r="A1767" s="2" t="n">
        <v>2026</v>
      </c>
      <c r="B1767" s="2" t="s">
        <v>109</v>
      </c>
      <c r="C1767" s="2" t="s">
        <v>518</v>
      </c>
      <c r="D1767" s="2" t="s">
        <v>83</v>
      </c>
      <c r="E1767" s="2" t="n">
        <v>1</v>
      </c>
      <c r="F1767" s="2" t="n">
        <v>1</v>
      </c>
      <c r="G1767" s="2" t="n">
        <v>1</v>
      </c>
      <c r="H1767" s="2" t="n">
        <v>0</v>
      </c>
      <c r="I1767" s="2" t="n">
        <v>0</v>
      </c>
      <c r="J1767" s="2" t="n">
        <v>10</v>
      </c>
      <c r="K1767" s="2" t="n">
        <v>11</v>
      </c>
      <c r="L1767" s="11" t="b">
        <f aca="false">TRUE()</f>
        <v>1</v>
      </c>
      <c r="M1767" s="2" t="s">
        <v>410</v>
      </c>
      <c r="N1767" s="2" t="n">
        <f aca="false">IF(E1767&gt;0,F1767/E1767,"")</f>
        <v>1</v>
      </c>
      <c r="O1767" s="2" t="n">
        <f aca="false">IF(AND(E1767&gt;0,L1767),J1767/E1767,"")</f>
        <v>10</v>
      </c>
    </row>
    <row r="1768" customFormat="false" ht="15" hidden="false" customHeight="false" outlineLevel="0" collapsed="false">
      <c r="A1768" s="2" t="n">
        <v>2026</v>
      </c>
      <c r="B1768" s="2" t="s">
        <v>67</v>
      </c>
      <c r="C1768" s="2" t="s">
        <v>408</v>
      </c>
      <c r="D1768" s="2" t="s">
        <v>24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11" t="b">
        <f aca="false">TRUE()</f>
        <v>1</v>
      </c>
      <c r="M1768" s="2" t="s">
        <v>410</v>
      </c>
      <c r="N1768" s="2" t="str">
        <f aca="false">IF(E1768&gt;0,F1768/E1768,"")</f>
        <v/>
      </c>
      <c r="O1768" s="2" t="str">
        <f aca="false">IF(AND(E1768&gt;0,L1768),J1768/E1768,"")</f>
        <v/>
      </c>
    </row>
    <row r="1769" customFormat="false" ht="15" hidden="false" customHeight="false" outlineLevel="0" collapsed="false">
      <c r="A1769" s="2" t="n">
        <v>2026</v>
      </c>
      <c r="B1769" s="2" t="s">
        <v>143</v>
      </c>
      <c r="C1769" s="2" t="s">
        <v>414</v>
      </c>
      <c r="D1769" s="2" t="s">
        <v>117</v>
      </c>
      <c r="E1769" s="2" t="n">
        <v>12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102</v>
      </c>
      <c r="K1769" s="2" t="n">
        <v>104</v>
      </c>
      <c r="L1769" s="11" t="b">
        <f aca="false">TRUE()</f>
        <v>1</v>
      </c>
      <c r="M1769" s="2" t="s">
        <v>406</v>
      </c>
      <c r="N1769" s="2" t="n">
        <f aca="false">IF(E1769&gt;0,F1769/E1769,"")</f>
        <v>0</v>
      </c>
      <c r="O1769" s="2" t="n">
        <f aca="false">IF(AND(E1769&gt;0,L1769),J1769/E1769,"")</f>
        <v>8.5</v>
      </c>
    </row>
    <row r="1770" customFormat="false" ht="15" hidden="false" customHeight="false" outlineLevel="0" collapsed="false">
      <c r="A1770" s="2" t="n">
        <v>2026</v>
      </c>
      <c r="B1770" s="2" t="s">
        <v>467</v>
      </c>
      <c r="C1770" s="2" t="s">
        <v>414</v>
      </c>
      <c r="D1770" s="2" t="s">
        <v>413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11" t="b">
        <f aca="false">TRUE()</f>
        <v>1</v>
      </c>
      <c r="M1770" s="2" t="s">
        <v>410</v>
      </c>
      <c r="N1770" s="2" t="str">
        <f aca="false">IF(E1770&gt;0,F1770/E1770,"")</f>
        <v/>
      </c>
      <c r="O1770" s="2" t="str">
        <f aca="false">IF(AND(E1770&gt;0,L1770),J1770/E1770,"")</f>
        <v/>
      </c>
    </row>
    <row r="1771" customFormat="false" ht="15" hidden="false" customHeight="false" outlineLevel="0" collapsed="false">
      <c r="A1771" s="2" t="n">
        <v>2026</v>
      </c>
      <c r="B1771" s="2" t="s">
        <v>146</v>
      </c>
      <c r="C1771" s="2" t="s">
        <v>420</v>
      </c>
      <c r="D1771" s="2" t="s">
        <v>117</v>
      </c>
      <c r="E1771" s="2" t="n">
        <v>12</v>
      </c>
      <c r="F1771" s="2" t="n">
        <v>6</v>
      </c>
      <c r="G1771" s="2" t="n">
        <v>3</v>
      </c>
      <c r="H1771" s="2" t="n">
        <v>0</v>
      </c>
      <c r="I1771" s="2" t="n">
        <v>0</v>
      </c>
      <c r="J1771" s="2" t="n">
        <v>69</v>
      </c>
      <c r="K1771" s="2" t="n">
        <v>80</v>
      </c>
      <c r="L1771" s="11" t="b">
        <f aca="false">TRUE()</f>
        <v>1</v>
      </c>
      <c r="M1771" s="2" t="s">
        <v>406</v>
      </c>
      <c r="N1771" s="2" t="n">
        <f aca="false">IF(E1771&gt;0,F1771/E1771,"")</f>
        <v>0.5</v>
      </c>
      <c r="O1771" s="2" t="n">
        <f aca="false">IF(AND(E1771&gt;0,L1771),J1771/E1771,"")</f>
        <v>5.75</v>
      </c>
    </row>
    <row r="1772" customFormat="false" ht="15" hidden="false" customHeight="false" outlineLevel="0" collapsed="false">
      <c r="A1772" s="2" t="n">
        <v>2026</v>
      </c>
      <c r="B1772" s="2" t="s">
        <v>79</v>
      </c>
      <c r="C1772" s="2" t="s">
        <v>420</v>
      </c>
      <c r="D1772" s="2" t="s">
        <v>24</v>
      </c>
      <c r="E1772" s="2" t="n">
        <v>6</v>
      </c>
      <c r="F1772" s="2" t="n">
        <v>24</v>
      </c>
      <c r="G1772" s="2" t="n">
        <v>16</v>
      </c>
      <c r="H1772" s="2" t="n">
        <v>8</v>
      </c>
      <c r="I1772" s="2" t="n">
        <v>5</v>
      </c>
      <c r="J1772" s="2" t="n">
        <v>121</v>
      </c>
      <c r="K1772" s="2" t="n">
        <v>155</v>
      </c>
      <c r="L1772" s="11" t="b">
        <f aca="false">TRUE()</f>
        <v>1</v>
      </c>
      <c r="M1772" s="2" t="s">
        <v>406</v>
      </c>
      <c r="N1772" s="2" t="n">
        <f aca="false">IF(E1772&gt;0,F1772/E1772,"")</f>
        <v>4</v>
      </c>
      <c r="O1772" s="2" t="n">
        <f aca="false">IF(AND(E1772&gt;0,L1772),J1772/E1772,"")</f>
        <v>20.1666666666667</v>
      </c>
    </row>
    <row r="1773" customFormat="false" ht="15" hidden="false" customHeight="false" outlineLevel="0" collapsed="false">
      <c r="A1773" s="2" t="n">
        <v>2026</v>
      </c>
      <c r="B1773" s="2" t="s">
        <v>37</v>
      </c>
      <c r="C1773" s="2" t="s">
        <v>545</v>
      </c>
      <c r="D1773" s="2" t="s">
        <v>24</v>
      </c>
      <c r="E1773" s="2" t="n">
        <v>1</v>
      </c>
      <c r="F1773" s="2" t="n">
        <v>0</v>
      </c>
      <c r="G1773" s="2" t="n">
        <v>0</v>
      </c>
      <c r="H1773" s="2" t="n">
        <v>0</v>
      </c>
      <c r="I1773" s="2" t="n">
        <v>2</v>
      </c>
      <c r="J1773" s="2" t="n">
        <v>33</v>
      </c>
      <c r="K1773" s="2" t="n">
        <v>38</v>
      </c>
      <c r="L1773" s="11" t="b">
        <f aca="false">TRUE()</f>
        <v>1</v>
      </c>
      <c r="M1773" s="2" t="s">
        <v>410</v>
      </c>
      <c r="N1773" s="2" t="n">
        <f aca="false">IF(E1773&gt;0,F1773/E1773,"")</f>
        <v>0</v>
      </c>
      <c r="O1773" s="2" t="n">
        <f aca="false">IF(AND(E1773&gt;0,L1773),J1773/E1773,"")</f>
        <v>33</v>
      </c>
    </row>
    <row r="1774" customFormat="false" ht="15" hidden="false" customHeight="false" outlineLevel="0" collapsed="false">
      <c r="A1774" s="2" t="n">
        <v>2026</v>
      </c>
      <c r="B1774" s="2" t="s">
        <v>33</v>
      </c>
      <c r="C1774" s="2" t="s">
        <v>408</v>
      </c>
      <c r="D1774" s="2" t="s">
        <v>24</v>
      </c>
      <c r="E1774" s="2" t="n">
        <v>12</v>
      </c>
      <c r="F1774" s="2" t="n">
        <v>69</v>
      </c>
      <c r="G1774" s="2" t="n">
        <v>41</v>
      </c>
      <c r="H1774" s="2" t="n">
        <v>22</v>
      </c>
      <c r="I1774" s="2" t="n">
        <v>4</v>
      </c>
      <c r="J1774" s="2" t="n">
        <v>233</v>
      </c>
      <c r="K1774" s="2" t="n">
        <v>314</v>
      </c>
      <c r="L1774" s="11" t="b">
        <f aca="false">TRUE()</f>
        <v>1</v>
      </c>
      <c r="M1774" s="2" t="s">
        <v>406</v>
      </c>
      <c r="N1774" s="2" t="n">
        <f aca="false">IF(E1774&gt;0,F1774/E1774,"")</f>
        <v>5.75</v>
      </c>
      <c r="O1774" s="2" t="n">
        <f aca="false">IF(AND(E1774&gt;0,L1774),J1774/E1774,"")</f>
        <v>19.4166666666667</v>
      </c>
    </row>
    <row r="1775" customFormat="false" ht="15" hidden="false" customHeight="false" outlineLevel="0" collapsed="false">
      <c r="A1775" s="2" t="n">
        <v>2026</v>
      </c>
      <c r="B1775" s="2" t="s">
        <v>660</v>
      </c>
      <c r="C1775" s="2" t="s">
        <v>408</v>
      </c>
      <c r="D1775" s="2" t="s">
        <v>24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11" t="b">
        <f aca="false">TRUE()</f>
        <v>1</v>
      </c>
      <c r="M1775" s="2" t="s">
        <v>410</v>
      </c>
      <c r="N1775" s="2" t="str">
        <f aca="false">IF(E1775&gt;0,F1775/E1775,"")</f>
        <v/>
      </c>
      <c r="O1775" s="2" t="str">
        <f aca="false">IF(AND(E1775&gt;0,L1775),J1775/E1775,"")</f>
        <v/>
      </c>
    </row>
    <row r="1776" customFormat="false" ht="15" hidden="false" customHeight="false" outlineLevel="0" collapsed="false">
      <c r="A1776" s="2" t="n">
        <v>2026</v>
      </c>
      <c r="B1776" s="2" t="s">
        <v>35</v>
      </c>
      <c r="C1776" s="2" t="s">
        <v>622</v>
      </c>
      <c r="D1776" s="2" t="s">
        <v>24</v>
      </c>
      <c r="E1776" s="2" t="n">
        <v>11</v>
      </c>
      <c r="F1776" s="2" t="n">
        <v>84</v>
      </c>
      <c r="G1776" s="2" t="n">
        <v>44</v>
      </c>
      <c r="H1776" s="2" t="n">
        <v>13</v>
      </c>
      <c r="I1776" s="2" t="n">
        <v>19</v>
      </c>
      <c r="J1776" s="2" t="n">
        <v>274</v>
      </c>
      <c r="K1776" s="2" t="n">
        <v>384</v>
      </c>
      <c r="L1776" s="11" t="b">
        <f aca="false">TRUE()</f>
        <v>1</v>
      </c>
      <c r="M1776" s="2" t="s">
        <v>406</v>
      </c>
      <c r="N1776" s="2" t="n">
        <f aca="false">IF(E1776&gt;0,F1776/E1776,"")</f>
        <v>7.63636363636364</v>
      </c>
      <c r="O1776" s="2" t="n">
        <f aca="false">IF(AND(E1776&gt;0,L1776),J1776/E1776,"")</f>
        <v>24.9090909090909</v>
      </c>
    </row>
    <row r="1777" customFormat="false" ht="15" hidden="false" customHeight="false" outlineLevel="0" collapsed="false">
      <c r="A1777" s="2" t="n">
        <v>2026</v>
      </c>
      <c r="B1777" s="2" t="s">
        <v>145</v>
      </c>
      <c r="C1777" s="2" t="s">
        <v>420</v>
      </c>
      <c r="D1777" s="2" t="s">
        <v>29</v>
      </c>
      <c r="E1777" s="2" t="n">
        <v>10</v>
      </c>
      <c r="F1777" s="2" t="n">
        <v>64</v>
      </c>
      <c r="G1777" s="2" t="n">
        <v>39</v>
      </c>
      <c r="H1777" s="2" t="n">
        <v>20</v>
      </c>
      <c r="I1777" s="2" t="n">
        <v>6</v>
      </c>
      <c r="J1777" s="2" t="n">
        <v>115</v>
      </c>
      <c r="K1777" s="2" t="n">
        <v>201</v>
      </c>
      <c r="L1777" s="11" t="b">
        <f aca="false">TRUE()</f>
        <v>1</v>
      </c>
      <c r="M1777" s="2" t="s">
        <v>406</v>
      </c>
      <c r="N1777" s="2" t="n">
        <f aca="false">IF(E1777&gt;0,F1777/E1777,"")</f>
        <v>6.4</v>
      </c>
      <c r="O1777" s="2" t="n">
        <f aca="false">IF(AND(E1777&gt;0,L1777),J1777/E1777,"")</f>
        <v>11.5</v>
      </c>
    </row>
    <row r="1778" customFormat="false" ht="15" hidden="false" customHeight="false" outlineLevel="0" collapsed="false">
      <c r="A1778" s="2" t="n">
        <v>2026</v>
      </c>
      <c r="B1778" s="2" t="s">
        <v>26</v>
      </c>
      <c r="C1778" s="2" t="s">
        <v>414</v>
      </c>
      <c r="D1778" s="2" t="s">
        <v>24</v>
      </c>
      <c r="E1778" s="2" t="n">
        <v>12</v>
      </c>
      <c r="F1778" s="2" t="n">
        <v>69</v>
      </c>
      <c r="G1778" s="2" t="n">
        <v>39</v>
      </c>
      <c r="H1778" s="2" t="n">
        <v>15</v>
      </c>
      <c r="I1778" s="2" t="n">
        <v>19</v>
      </c>
      <c r="J1778" s="2" t="n">
        <v>266</v>
      </c>
      <c r="K1778" s="2" t="n">
        <v>357</v>
      </c>
      <c r="L1778" s="11" t="b">
        <f aca="false">TRUE()</f>
        <v>1</v>
      </c>
      <c r="M1778" s="2" t="s">
        <v>406</v>
      </c>
      <c r="N1778" s="2" t="n">
        <f aca="false">IF(E1778&gt;0,F1778/E1778,"")</f>
        <v>5.75</v>
      </c>
      <c r="O1778" s="2" t="n">
        <f aca="false">IF(AND(E1778&gt;0,L1778),J1778/E1778,"")</f>
        <v>22.1666666666667</v>
      </c>
    </row>
    <row r="1779" customFormat="false" ht="15" hidden="false" customHeight="false" outlineLevel="0" collapsed="false">
      <c r="A1779" s="2" t="n">
        <v>2026</v>
      </c>
      <c r="B1779" s="2" t="s">
        <v>646</v>
      </c>
      <c r="C1779" s="2" t="s">
        <v>414</v>
      </c>
      <c r="D1779" s="2" t="s">
        <v>413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11" t="b">
        <f aca="false">TRUE()</f>
        <v>1</v>
      </c>
      <c r="M1779" s="2" t="s">
        <v>410</v>
      </c>
      <c r="N1779" s="2" t="str">
        <f aca="false">IF(E1779&gt;0,F1779/E1779,"")</f>
        <v/>
      </c>
      <c r="O1779" s="2" t="str">
        <f aca="false">IF(AND(E1779&gt;0,L1779),J1779/E1779,"")</f>
        <v/>
      </c>
    </row>
    <row r="1780" customFormat="false" ht="15" hidden="false" customHeight="false" outlineLevel="0" collapsed="false">
      <c r="A1780" s="2" t="n">
        <v>2026</v>
      </c>
      <c r="B1780" s="2" t="s">
        <v>332</v>
      </c>
      <c r="C1780" s="2" t="s">
        <v>622</v>
      </c>
      <c r="D1780" s="2" t="s">
        <v>117</v>
      </c>
      <c r="E1780" s="2" t="n">
        <v>4</v>
      </c>
      <c r="F1780" s="2" t="n">
        <v>1</v>
      </c>
      <c r="G1780" s="2" t="n">
        <v>0</v>
      </c>
      <c r="H1780" s="2" t="n">
        <v>0</v>
      </c>
      <c r="I1780" s="2" t="n">
        <v>0</v>
      </c>
      <c r="J1780" s="2" t="n">
        <v>36</v>
      </c>
      <c r="K1780" s="2" t="n">
        <v>37</v>
      </c>
      <c r="L1780" s="11" t="b">
        <f aca="false">TRUE()</f>
        <v>1</v>
      </c>
      <c r="M1780" s="2" t="s">
        <v>406</v>
      </c>
      <c r="N1780" s="2" t="n">
        <f aca="false">IF(E1780&gt;0,F1780/E1780,"")</f>
        <v>0.25</v>
      </c>
      <c r="O1780" s="2" t="n">
        <f aca="false">IF(AND(E1780&gt;0,L1780),J1780/E1780,"")</f>
        <v>9</v>
      </c>
    </row>
    <row r="1781" customFormat="false" ht="15" hidden="false" customHeight="false" outlineLevel="0" collapsed="false">
      <c r="A1781" s="2" t="n">
        <v>2026</v>
      </c>
      <c r="B1781" s="2" t="s">
        <v>174</v>
      </c>
      <c r="C1781" s="2" t="s">
        <v>408</v>
      </c>
      <c r="D1781" s="2" t="s">
        <v>83</v>
      </c>
      <c r="E1781" s="2" t="n">
        <v>12</v>
      </c>
      <c r="F1781" s="2" t="n">
        <v>6</v>
      </c>
      <c r="G1781" s="2" t="n">
        <v>5</v>
      </c>
      <c r="H1781" s="2" t="n">
        <v>4</v>
      </c>
      <c r="I1781" s="2" t="n">
        <v>2</v>
      </c>
      <c r="J1781" s="2" t="n">
        <v>63</v>
      </c>
      <c r="K1781" s="2" t="n">
        <v>76</v>
      </c>
      <c r="L1781" s="11" t="b">
        <f aca="false">TRUE()</f>
        <v>1</v>
      </c>
      <c r="M1781" s="2" t="s">
        <v>406</v>
      </c>
      <c r="N1781" s="2" t="n">
        <f aca="false">IF(E1781&gt;0,F1781/E1781,"")</f>
        <v>0.5</v>
      </c>
      <c r="O1781" s="2" t="n">
        <f aca="false">IF(AND(E1781&gt;0,L1781),J1781/E1781,"")</f>
        <v>5.25</v>
      </c>
    </row>
    <row r="1782" customFormat="false" ht="15" hidden="false" customHeight="false" outlineLevel="0" collapsed="false">
      <c r="A1782" s="2" t="n">
        <v>2026</v>
      </c>
      <c r="B1782" s="2" t="s">
        <v>86</v>
      </c>
      <c r="C1782" s="2" t="s">
        <v>420</v>
      </c>
      <c r="D1782" s="2" t="s">
        <v>29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11" t="b">
        <f aca="false">TRUE()</f>
        <v>1</v>
      </c>
      <c r="M1782" s="2" t="s">
        <v>410</v>
      </c>
      <c r="N1782" s="2" t="str">
        <f aca="false">IF(E1782&gt;0,F1782/E1782,"")</f>
        <v/>
      </c>
      <c r="O1782" s="2" t="str">
        <f aca="false">IF(AND(E1782&gt;0,L1782),J1782/E1782,"")</f>
        <v/>
      </c>
    </row>
    <row r="1783" customFormat="false" ht="15" hidden="false" customHeight="false" outlineLevel="0" collapsed="false">
      <c r="A1783" s="2" t="n">
        <v>2026</v>
      </c>
      <c r="B1783" s="2" t="s">
        <v>570</v>
      </c>
      <c r="C1783" s="2" t="s">
        <v>414</v>
      </c>
      <c r="D1783" s="2" t="s">
        <v>409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11" t="b">
        <f aca="false">TRUE()</f>
        <v>1</v>
      </c>
      <c r="M1783" s="2" t="s">
        <v>410</v>
      </c>
      <c r="N1783" s="2" t="str">
        <f aca="false">IF(E1783&gt;0,F1783/E1783,"")</f>
        <v/>
      </c>
      <c r="O1783" s="2" t="str">
        <f aca="false">IF(AND(E1783&gt;0,L1783),J1783/E1783,"")</f>
        <v/>
      </c>
    </row>
    <row r="1784" customFormat="false" ht="15" hidden="false" customHeight="false" outlineLevel="0" collapsed="false">
      <c r="A1784" s="2" t="n">
        <v>2026</v>
      </c>
      <c r="B1784" s="2" t="s">
        <v>375</v>
      </c>
      <c r="C1784" s="2" t="s">
        <v>622</v>
      </c>
      <c r="D1784" s="2" t="s">
        <v>117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11" t="b">
        <f aca="false">TRUE()</f>
        <v>1</v>
      </c>
      <c r="M1784" s="2" t="s">
        <v>410</v>
      </c>
      <c r="N1784" s="2" t="str">
        <f aca="false">IF(E1784&gt;0,F1784/E1784,"")</f>
        <v/>
      </c>
      <c r="O1784" s="2" t="str">
        <f aca="false">IF(AND(E1784&gt;0,L1784),J1784/E1784,"")</f>
        <v/>
      </c>
    </row>
    <row r="1785" customFormat="false" ht="15" hidden="false" customHeight="false" outlineLevel="0" collapsed="false">
      <c r="A1785" s="2" t="n">
        <v>2026</v>
      </c>
      <c r="B1785" s="2" t="s">
        <v>312</v>
      </c>
      <c r="C1785" s="2" t="s">
        <v>414</v>
      </c>
      <c r="D1785" s="2" t="s">
        <v>83</v>
      </c>
      <c r="E1785" s="2" t="n">
        <v>7</v>
      </c>
      <c r="F1785" s="2" t="n">
        <v>1</v>
      </c>
      <c r="G1785" s="2" t="n">
        <v>0</v>
      </c>
      <c r="H1785" s="2" t="n">
        <v>0</v>
      </c>
      <c r="I1785" s="2" t="n">
        <v>1</v>
      </c>
      <c r="J1785" s="2" t="n">
        <v>48</v>
      </c>
      <c r="K1785" s="2" t="n">
        <v>50</v>
      </c>
      <c r="L1785" s="11" t="b">
        <f aca="false">TRUE()</f>
        <v>1</v>
      </c>
      <c r="M1785" s="2" t="s">
        <v>406</v>
      </c>
      <c r="N1785" s="2" t="n">
        <f aca="false">IF(E1785&gt;0,F1785/E1785,"")</f>
        <v>0.142857142857143</v>
      </c>
      <c r="O1785" s="2" t="n">
        <f aca="false">IF(AND(E1785&gt;0,L1785),J1785/E1785,"")</f>
        <v>6.85714285714286</v>
      </c>
    </row>
    <row r="1786" customFormat="false" ht="15" hidden="false" customHeight="false" outlineLevel="0" collapsed="false">
      <c r="A1786" s="2" t="n">
        <v>2026</v>
      </c>
      <c r="B1786" s="2" t="s">
        <v>139</v>
      </c>
      <c r="C1786" s="2" t="s">
        <v>622</v>
      </c>
      <c r="D1786" s="2" t="s">
        <v>115</v>
      </c>
      <c r="E1786" s="2" t="n">
        <v>12</v>
      </c>
      <c r="F1786" s="2" t="n">
        <v>18</v>
      </c>
      <c r="G1786" s="2" t="n">
        <v>9</v>
      </c>
      <c r="H1786" s="2" t="n">
        <v>4</v>
      </c>
      <c r="I1786" s="2" t="n">
        <v>4</v>
      </c>
      <c r="J1786" s="2" t="n">
        <v>88</v>
      </c>
      <c r="K1786" s="2" t="n">
        <v>111</v>
      </c>
      <c r="L1786" s="11" t="b">
        <f aca="false">TRUE()</f>
        <v>1</v>
      </c>
      <c r="M1786" s="2" t="s">
        <v>406</v>
      </c>
      <c r="N1786" s="2" t="n">
        <f aca="false">IF(E1786&gt;0,F1786/E1786,"")</f>
        <v>1.5</v>
      </c>
      <c r="O1786" s="2" t="n">
        <f aca="false">IF(AND(E1786&gt;0,L1786),J1786/E1786,"")</f>
        <v>7.33333333333333</v>
      </c>
    </row>
    <row r="1787" customFormat="false" ht="15" hidden="false" customHeight="false" outlineLevel="0" collapsed="false">
      <c r="A1787" s="2" t="n">
        <v>2026</v>
      </c>
      <c r="B1787" s="2" t="s">
        <v>170</v>
      </c>
      <c r="C1787" s="2" t="s">
        <v>622</v>
      </c>
      <c r="D1787" s="2" t="s">
        <v>29</v>
      </c>
      <c r="E1787" s="2" t="n">
        <v>9</v>
      </c>
      <c r="F1787" s="2" t="n">
        <v>37</v>
      </c>
      <c r="G1787" s="2" t="n">
        <v>15</v>
      </c>
      <c r="H1787" s="2" t="n">
        <v>3</v>
      </c>
      <c r="I1787" s="2" t="n">
        <v>6</v>
      </c>
      <c r="J1787" s="2" t="n">
        <v>123</v>
      </c>
      <c r="K1787" s="2" t="n">
        <v>168</v>
      </c>
      <c r="L1787" s="11" t="b">
        <f aca="false">TRUE()</f>
        <v>1</v>
      </c>
      <c r="M1787" s="2" t="s">
        <v>406</v>
      </c>
      <c r="N1787" s="2" t="n">
        <f aca="false">IF(E1787&gt;0,F1787/E1787,"")</f>
        <v>4.11111111111111</v>
      </c>
      <c r="O1787" s="2" t="n">
        <f aca="false">IF(AND(E1787&gt;0,L1787),J1787/E1787,"")</f>
        <v>13.6666666666667</v>
      </c>
    </row>
    <row r="1788" customFormat="false" ht="15" hidden="false" customHeight="false" outlineLevel="0" collapsed="false">
      <c r="A1788" s="2" t="n">
        <v>2026</v>
      </c>
      <c r="B1788" s="2" t="s">
        <v>77</v>
      </c>
      <c r="C1788" s="2" t="s">
        <v>414</v>
      </c>
      <c r="D1788" s="2" t="s">
        <v>29</v>
      </c>
      <c r="E1788" s="2" t="n">
        <v>12</v>
      </c>
      <c r="F1788" s="2" t="n">
        <v>48</v>
      </c>
      <c r="G1788" s="2" t="n">
        <v>39</v>
      </c>
      <c r="H1788" s="2" t="n">
        <v>22</v>
      </c>
      <c r="I1788" s="2" t="n">
        <v>2</v>
      </c>
      <c r="J1788" s="2" t="n">
        <v>222</v>
      </c>
      <c r="K1788" s="2" t="n">
        <v>275</v>
      </c>
      <c r="L1788" s="11" t="b">
        <f aca="false">TRUE()</f>
        <v>1</v>
      </c>
      <c r="M1788" s="2" t="s">
        <v>406</v>
      </c>
      <c r="N1788" s="2" t="n">
        <f aca="false">IF(E1788&gt;0,F1788/E1788,"")</f>
        <v>4</v>
      </c>
      <c r="O1788" s="2" t="n">
        <f aca="false">IF(AND(E1788&gt;0,L1788),J1788/E1788,"")</f>
        <v>18.5</v>
      </c>
    </row>
    <row r="1789" customFormat="false" ht="15" hidden="false" customHeight="false" outlineLevel="0" collapsed="false">
      <c r="A1789" s="2" t="n">
        <v>2026</v>
      </c>
      <c r="B1789" s="2" t="s">
        <v>310</v>
      </c>
      <c r="C1789" s="2" t="s">
        <v>414</v>
      </c>
      <c r="D1789" s="2" t="s">
        <v>117</v>
      </c>
      <c r="E1789" s="2" t="n">
        <v>7</v>
      </c>
      <c r="F1789" s="2" t="n">
        <v>2</v>
      </c>
      <c r="G1789" s="2" t="n">
        <v>2</v>
      </c>
      <c r="H1789" s="2" t="n">
        <v>0</v>
      </c>
      <c r="I1789" s="2" t="n">
        <v>0</v>
      </c>
      <c r="J1789" s="2" t="n">
        <v>14</v>
      </c>
      <c r="K1789" s="2" t="n">
        <v>19</v>
      </c>
      <c r="L1789" s="11" t="b">
        <f aca="false">TRUE()</f>
        <v>1</v>
      </c>
      <c r="M1789" s="2" t="s">
        <v>406</v>
      </c>
      <c r="N1789" s="2" t="n">
        <f aca="false">IF(E1789&gt;0,F1789/E1789,"")</f>
        <v>0.285714285714286</v>
      </c>
      <c r="O1789" s="2" t="n">
        <f aca="false">IF(AND(E1789&gt;0,L1789),J1789/E1789,"")</f>
        <v>2</v>
      </c>
    </row>
    <row r="1790" customFormat="false" ht="15" hidden="false" customHeight="false" outlineLevel="0" collapsed="false">
      <c r="A1790" s="2" t="n">
        <v>2026</v>
      </c>
      <c r="B1790" s="2" t="s">
        <v>163</v>
      </c>
      <c r="C1790" s="2" t="s">
        <v>414</v>
      </c>
      <c r="D1790" s="2" t="s">
        <v>83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11" t="b">
        <f aca="false">TRUE()</f>
        <v>1</v>
      </c>
      <c r="M1790" s="2" t="s">
        <v>410</v>
      </c>
      <c r="N1790" s="2" t="str">
        <f aca="false">IF(E1790&gt;0,F1790/E1790,"")</f>
        <v/>
      </c>
      <c r="O1790" s="2" t="str">
        <f aca="false">IF(AND(E1790&gt;0,L1790),J1790/E1790,"")</f>
        <v/>
      </c>
    </row>
    <row r="1791" customFormat="false" ht="15" hidden="false" customHeight="false" outlineLevel="0" collapsed="false">
      <c r="A1791" s="2" t="n">
        <v>2026</v>
      </c>
      <c r="B1791" s="2" t="s">
        <v>185</v>
      </c>
      <c r="C1791" s="2" t="s">
        <v>545</v>
      </c>
      <c r="D1791" s="2" t="s">
        <v>115</v>
      </c>
      <c r="E1791" s="2" t="n">
        <v>12</v>
      </c>
      <c r="F1791" s="2" t="n">
        <v>5</v>
      </c>
      <c r="G1791" s="2" t="n">
        <v>4</v>
      </c>
      <c r="H1791" s="2" t="n">
        <v>1</v>
      </c>
      <c r="I1791" s="2" t="n">
        <v>0</v>
      </c>
      <c r="J1791" s="2" t="n">
        <v>53</v>
      </c>
      <c r="K1791" s="2" t="n">
        <v>62</v>
      </c>
      <c r="L1791" s="11" t="b">
        <f aca="false">TRUE()</f>
        <v>1</v>
      </c>
      <c r="M1791" s="2" t="s">
        <v>406</v>
      </c>
      <c r="N1791" s="2" t="n">
        <f aca="false">IF(E1791&gt;0,F1791/E1791,"")</f>
        <v>0.416666666666667</v>
      </c>
      <c r="O1791" s="2" t="n">
        <f aca="false">IF(AND(E1791&gt;0,L1791),J1791/E1791,"")</f>
        <v>4.41666666666667</v>
      </c>
    </row>
    <row r="1792" customFormat="false" ht="15" hidden="false" customHeight="false" outlineLevel="0" collapsed="false">
      <c r="A1792" s="2" t="n">
        <v>2026</v>
      </c>
      <c r="B1792" s="2" t="s">
        <v>42</v>
      </c>
      <c r="C1792" s="2" t="s">
        <v>412</v>
      </c>
      <c r="D1792" s="2" t="s">
        <v>24</v>
      </c>
      <c r="E1792" s="2" t="n">
        <v>6</v>
      </c>
      <c r="F1792" s="2" t="n">
        <v>16</v>
      </c>
      <c r="G1792" s="2" t="n">
        <v>8</v>
      </c>
      <c r="H1792" s="2" t="n">
        <v>3</v>
      </c>
      <c r="I1792" s="2" t="n">
        <v>2</v>
      </c>
      <c r="J1792" s="2" t="n">
        <v>87</v>
      </c>
      <c r="K1792" s="2" t="n">
        <v>110</v>
      </c>
      <c r="L1792" s="11" t="b">
        <f aca="false">TRUE()</f>
        <v>1</v>
      </c>
      <c r="M1792" s="2" t="s">
        <v>406</v>
      </c>
      <c r="N1792" s="2" t="n">
        <f aca="false">IF(E1792&gt;0,F1792/E1792,"")</f>
        <v>2.66666666666667</v>
      </c>
      <c r="O1792" s="2" t="n">
        <f aca="false">IF(AND(E1792&gt;0,L1792),J1792/E1792,"")</f>
        <v>14.5</v>
      </c>
    </row>
    <row r="1793" customFormat="false" ht="15" hidden="false" customHeight="false" outlineLevel="0" collapsed="false">
      <c r="A1793" s="2" t="n">
        <v>2026</v>
      </c>
      <c r="B1793" s="2" t="s">
        <v>192</v>
      </c>
      <c r="C1793" s="2" t="s">
        <v>545</v>
      </c>
      <c r="D1793" s="2" t="s">
        <v>83</v>
      </c>
      <c r="E1793" s="2" t="n">
        <v>12</v>
      </c>
      <c r="F1793" s="2" t="n">
        <v>6</v>
      </c>
      <c r="G1793" s="2" t="n">
        <v>5</v>
      </c>
      <c r="H1793" s="2" t="n">
        <v>1</v>
      </c>
      <c r="I1793" s="2" t="n">
        <v>0</v>
      </c>
      <c r="J1793" s="2" t="n">
        <v>90</v>
      </c>
      <c r="K1793" s="2" t="n">
        <v>101</v>
      </c>
      <c r="L1793" s="11" t="b">
        <f aca="false">TRUE()</f>
        <v>1</v>
      </c>
      <c r="M1793" s="2" t="s">
        <v>406</v>
      </c>
      <c r="N1793" s="2" t="n">
        <f aca="false">IF(E1793&gt;0,F1793/E1793,"")</f>
        <v>0.5</v>
      </c>
      <c r="O1793" s="2" t="n">
        <f aca="false">IF(AND(E1793&gt;0,L1793),J1793/E1793,"")</f>
        <v>7.5</v>
      </c>
    </row>
    <row r="1794" customFormat="false" ht="15" hidden="false" customHeight="false" outlineLevel="0" collapsed="false">
      <c r="A1794" s="2" t="n">
        <v>2026</v>
      </c>
      <c r="B1794" s="2" t="s">
        <v>130</v>
      </c>
      <c r="C1794" s="2" t="s">
        <v>622</v>
      </c>
      <c r="D1794" s="2" t="s">
        <v>117</v>
      </c>
      <c r="E1794" s="2" t="n">
        <v>10</v>
      </c>
      <c r="F1794" s="2" t="n">
        <v>1</v>
      </c>
      <c r="G1794" s="2" t="n">
        <v>1</v>
      </c>
      <c r="H1794" s="2" t="n">
        <v>0</v>
      </c>
      <c r="I1794" s="2" t="n">
        <v>0</v>
      </c>
      <c r="J1794" s="2" t="n">
        <v>55</v>
      </c>
      <c r="K1794" s="2" t="n">
        <v>62</v>
      </c>
      <c r="L1794" s="11" t="b">
        <f aca="false">TRUE()</f>
        <v>1</v>
      </c>
      <c r="M1794" s="2" t="s">
        <v>406</v>
      </c>
      <c r="N1794" s="2" t="n">
        <f aca="false">IF(E1794&gt;0,F1794/E1794,"")</f>
        <v>0.1</v>
      </c>
      <c r="O1794" s="2" t="n">
        <f aca="false">IF(AND(E1794&gt;0,L1794),J1794/E1794,"")</f>
        <v>5.5</v>
      </c>
    </row>
    <row r="1795" customFormat="false" ht="15" hidden="false" customHeight="false" outlineLevel="0" collapsed="false">
      <c r="A1795" s="2" t="n">
        <v>2026</v>
      </c>
      <c r="B1795" s="2" t="s">
        <v>156</v>
      </c>
      <c r="C1795" s="2" t="s">
        <v>545</v>
      </c>
      <c r="D1795" s="2" t="s">
        <v>24</v>
      </c>
      <c r="E1795" s="2" t="n">
        <v>8</v>
      </c>
      <c r="F1795" s="2" t="n">
        <v>47</v>
      </c>
      <c r="G1795" s="2" t="n">
        <v>23</v>
      </c>
      <c r="H1795" s="2" t="n">
        <v>11</v>
      </c>
      <c r="I1795" s="2" t="n">
        <v>7</v>
      </c>
      <c r="J1795" s="2" t="n">
        <v>119</v>
      </c>
      <c r="K1795" s="2" t="n">
        <v>175</v>
      </c>
      <c r="L1795" s="11" t="b">
        <f aca="false">TRUE()</f>
        <v>1</v>
      </c>
      <c r="M1795" s="2" t="s">
        <v>406</v>
      </c>
      <c r="N1795" s="2" t="n">
        <f aca="false">IF(E1795&gt;0,F1795/E1795,"")</f>
        <v>5.875</v>
      </c>
      <c r="O1795" s="2" t="n">
        <f aca="false">IF(AND(E1795&gt;0,L1795),J1795/E1795,"")</f>
        <v>14.875</v>
      </c>
    </row>
    <row r="1796" customFormat="false" ht="15" hidden="false" customHeight="false" outlineLevel="0" collapsed="false">
      <c r="A1796" s="2" t="n">
        <v>2026</v>
      </c>
      <c r="B1796" s="2" t="s">
        <v>114</v>
      </c>
      <c r="C1796" s="2" t="s">
        <v>420</v>
      </c>
      <c r="D1796" s="2" t="s">
        <v>115</v>
      </c>
      <c r="E1796" s="2" t="n">
        <v>12</v>
      </c>
      <c r="F1796" s="2" t="n">
        <v>1</v>
      </c>
      <c r="G1796" s="2" t="n">
        <v>1</v>
      </c>
      <c r="H1796" s="2" t="n">
        <v>0</v>
      </c>
      <c r="I1796" s="2" t="n">
        <v>0</v>
      </c>
      <c r="J1796" s="2" t="n">
        <v>92</v>
      </c>
      <c r="K1796" s="2" t="n">
        <v>95</v>
      </c>
      <c r="L1796" s="11" t="b">
        <f aca="false">TRUE()</f>
        <v>1</v>
      </c>
      <c r="M1796" s="2" t="s">
        <v>406</v>
      </c>
      <c r="N1796" s="2" t="n">
        <f aca="false">IF(E1796&gt;0,F1796/E1796,"")</f>
        <v>0.0833333333333333</v>
      </c>
      <c r="O1796" s="2" t="n">
        <f aca="false">IF(AND(E1796&gt;0,L1796),J1796/E1796,"")</f>
        <v>7.66666666666667</v>
      </c>
    </row>
    <row r="1797" customFormat="false" ht="15" hidden="false" customHeight="false" outlineLevel="0" collapsed="false">
      <c r="A1797" s="2" t="n">
        <v>2026</v>
      </c>
      <c r="B1797" s="2" t="s">
        <v>162</v>
      </c>
      <c r="C1797" s="2" t="s">
        <v>412</v>
      </c>
      <c r="D1797" s="2" t="s">
        <v>117</v>
      </c>
      <c r="E1797" s="2" t="n">
        <v>12</v>
      </c>
      <c r="F1797" s="2" t="n">
        <v>2</v>
      </c>
      <c r="G1797" s="2" t="n">
        <v>0</v>
      </c>
      <c r="H1797" s="2" t="n">
        <v>0</v>
      </c>
      <c r="I1797" s="2" t="n">
        <v>0</v>
      </c>
      <c r="J1797" s="2" t="n">
        <v>69</v>
      </c>
      <c r="K1797" s="2" t="n">
        <v>73</v>
      </c>
      <c r="L1797" s="11" t="b">
        <f aca="false">TRUE()</f>
        <v>1</v>
      </c>
      <c r="M1797" s="2" t="s">
        <v>406</v>
      </c>
      <c r="N1797" s="2" t="n">
        <f aca="false">IF(E1797&gt;0,F1797/E1797,"")</f>
        <v>0.166666666666667</v>
      </c>
      <c r="O1797" s="2" t="n">
        <f aca="false">IF(AND(E1797&gt;0,L1797),J1797/E1797,"")</f>
        <v>5.75</v>
      </c>
    </row>
    <row r="1798" customFormat="false" ht="15" hidden="false" customHeight="false" outlineLevel="0" collapsed="false">
      <c r="A1798" s="2" t="n">
        <v>2026</v>
      </c>
      <c r="B1798" s="2" t="s">
        <v>353</v>
      </c>
      <c r="C1798" s="2" t="s">
        <v>545</v>
      </c>
      <c r="D1798" s="2" t="s">
        <v>117</v>
      </c>
      <c r="E1798" s="2" t="n">
        <v>4</v>
      </c>
      <c r="F1798" s="2" t="n">
        <v>1</v>
      </c>
      <c r="G1798" s="2" t="n">
        <v>0</v>
      </c>
      <c r="H1798" s="2" t="n">
        <v>0</v>
      </c>
      <c r="I1798" s="2" t="n">
        <v>0</v>
      </c>
      <c r="J1798" s="2" t="n">
        <v>16</v>
      </c>
      <c r="K1798" s="2" t="n">
        <v>18</v>
      </c>
      <c r="L1798" s="11" t="b">
        <f aca="false">TRUE()</f>
        <v>1</v>
      </c>
      <c r="M1798" s="2" t="s">
        <v>406</v>
      </c>
      <c r="N1798" s="2" t="n">
        <f aca="false">IF(E1798&gt;0,F1798/E1798,"")</f>
        <v>0.25</v>
      </c>
      <c r="O1798" s="2" t="n">
        <f aca="false">IF(AND(E1798&gt;0,L1798),J1798/E1798,"")</f>
        <v>4</v>
      </c>
    </row>
    <row r="1799" customFormat="false" ht="15" hidden="false" customHeight="false" outlineLevel="0" collapsed="false">
      <c r="A1799" s="2" t="n">
        <v>2026</v>
      </c>
      <c r="B1799" s="2" t="s">
        <v>297</v>
      </c>
      <c r="C1799" s="2" t="s">
        <v>414</v>
      </c>
      <c r="D1799" s="2" t="s">
        <v>83</v>
      </c>
      <c r="E1799" s="2" t="n">
        <v>0</v>
      </c>
      <c r="F1799" s="2" t="n">
        <v>0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11" t="b">
        <f aca="false">TRUE()</f>
        <v>1</v>
      </c>
      <c r="M1799" s="2" t="s">
        <v>410</v>
      </c>
      <c r="N1799" s="2" t="str">
        <f aca="false">IF(E1799&gt;0,F1799/E1799,"")</f>
        <v/>
      </c>
      <c r="O1799" s="2" t="str">
        <f aca="false">IF(AND(E1799&gt;0,L1799),J1799/E1799,"")</f>
        <v/>
      </c>
    </row>
    <row r="1800" customFormat="false" ht="15" hidden="false" customHeight="false" outlineLevel="0" collapsed="false">
      <c r="A1800" s="2" t="n">
        <v>2026</v>
      </c>
      <c r="B1800" s="2" t="s">
        <v>316</v>
      </c>
      <c r="C1800" s="2" t="s">
        <v>412</v>
      </c>
      <c r="D1800" s="2" t="s">
        <v>29</v>
      </c>
      <c r="E1800" s="2" t="n">
        <v>2</v>
      </c>
      <c r="F1800" s="2" t="n">
        <v>8</v>
      </c>
      <c r="G1800" s="2" t="n">
        <v>3</v>
      </c>
      <c r="H1800" s="2" t="n">
        <v>0</v>
      </c>
      <c r="I1800" s="2" t="n">
        <v>0</v>
      </c>
      <c r="J1800" s="2" t="n">
        <v>19</v>
      </c>
      <c r="K1800" s="2" t="n">
        <v>28</v>
      </c>
      <c r="L1800" s="11" t="b">
        <f aca="false">TRUE()</f>
        <v>1</v>
      </c>
      <c r="M1800" s="2" t="s">
        <v>410</v>
      </c>
      <c r="N1800" s="2" t="n">
        <f aca="false">IF(E1800&gt;0,F1800/E1800,"")</f>
        <v>4</v>
      </c>
      <c r="O1800" s="2" t="n">
        <f aca="false">IF(AND(E1800&gt;0,L1800),J1800/E1800,"")</f>
        <v>9.5</v>
      </c>
    </row>
    <row r="1801" customFormat="false" ht="15" hidden="false" customHeight="false" outlineLevel="0" collapsed="false">
      <c r="A1801" s="2" t="n">
        <v>2026</v>
      </c>
      <c r="B1801" s="2" t="s">
        <v>254</v>
      </c>
      <c r="C1801" s="2" t="s">
        <v>405</v>
      </c>
      <c r="D1801" s="2" t="s">
        <v>83</v>
      </c>
      <c r="E1801" s="2" t="n">
        <v>10</v>
      </c>
      <c r="F1801" s="2" t="n">
        <v>0</v>
      </c>
      <c r="G1801" s="2" t="n">
        <v>0</v>
      </c>
      <c r="H1801" s="2" t="n">
        <v>0</v>
      </c>
      <c r="I1801" s="2" t="n">
        <v>0</v>
      </c>
      <c r="J1801" s="2" t="n">
        <v>53</v>
      </c>
      <c r="K1801" s="2" t="n">
        <v>56</v>
      </c>
      <c r="L1801" s="11" t="b">
        <f aca="false">TRUE()</f>
        <v>1</v>
      </c>
      <c r="M1801" s="2" t="s">
        <v>406</v>
      </c>
      <c r="N1801" s="2" t="n">
        <f aca="false">IF(E1801&gt;0,F1801/E1801,"")</f>
        <v>0</v>
      </c>
      <c r="O1801" s="2" t="n">
        <f aca="false">IF(AND(E1801&gt;0,L1801),J1801/E1801,"")</f>
        <v>5.3</v>
      </c>
    </row>
    <row r="1802" customFormat="false" ht="15" hidden="false" customHeight="false" outlineLevel="0" collapsed="false">
      <c r="A1802" s="2" t="n">
        <v>2026</v>
      </c>
      <c r="B1802" s="2" t="s">
        <v>196</v>
      </c>
      <c r="C1802" s="2" t="s">
        <v>518</v>
      </c>
      <c r="D1802" s="2" t="s">
        <v>24</v>
      </c>
      <c r="E1802" s="2" t="n">
        <v>7</v>
      </c>
      <c r="F1802" s="2" t="n">
        <v>27</v>
      </c>
      <c r="G1802" s="2" t="n">
        <v>16</v>
      </c>
      <c r="H1802" s="2" t="n">
        <v>6</v>
      </c>
      <c r="I1802" s="2" t="n">
        <v>1</v>
      </c>
      <c r="J1802" s="2" t="n">
        <v>102</v>
      </c>
      <c r="K1802" s="2" t="n">
        <v>133</v>
      </c>
      <c r="L1802" s="11" t="b">
        <f aca="false">TRUE()</f>
        <v>1</v>
      </c>
      <c r="M1802" s="2" t="s">
        <v>406</v>
      </c>
      <c r="N1802" s="2" t="n">
        <f aca="false">IF(E1802&gt;0,F1802/E1802,"")</f>
        <v>3.85714285714286</v>
      </c>
      <c r="O1802" s="2" t="n">
        <f aca="false">IF(AND(E1802&gt;0,L1802),J1802/E1802,"")</f>
        <v>14.5714285714286</v>
      </c>
    </row>
    <row r="1803" customFormat="false" ht="15" hidden="false" customHeight="false" outlineLevel="0" collapsed="false">
      <c r="A1803" s="2" t="n">
        <v>2026</v>
      </c>
      <c r="B1803" s="2" t="s">
        <v>487</v>
      </c>
      <c r="C1803" s="2" t="s">
        <v>420</v>
      </c>
      <c r="D1803" s="2" t="s">
        <v>409</v>
      </c>
      <c r="E1803" s="2" t="n">
        <v>11</v>
      </c>
      <c r="F1803" s="2" t="n">
        <v>2</v>
      </c>
      <c r="G1803" s="2" t="n">
        <v>1</v>
      </c>
      <c r="H1803" s="2" t="n">
        <v>0</v>
      </c>
      <c r="I1803" s="2" t="n">
        <v>0</v>
      </c>
      <c r="J1803" s="2" t="n">
        <v>181</v>
      </c>
      <c r="K1803" s="2" t="n">
        <v>185</v>
      </c>
      <c r="L1803" s="11" t="b">
        <f aca="false">TRUE()</f>
        <v>1</v>
      </c>
      <c r="M1803" s="2" t="s">
        <v>410</v>
      </c>
      <c r="N1803" s="2" t="n">
        <f aca="false">IF(E1803&gt;0,F1803/E1803,"")</f>
        <v>0.181818181818182</v>
      </c>
      <c r="O1803" s="2" t="n">
        <f aca="false">IF(AND(E1803&gt;0,L1803),J1803/E1803,"")</f>
        <v>16.4545454545455</v>
      </c>
    </row>
    <row r="1804" customFormat="false" ht="15" hidden="false" customHeight="false" outlineLevel="0" collapsed="false">
      <c r="A1804" s="2" t="n">
        <v>2026</v>
      </c>
      <c r="B1804" s="2" t="s">
        <v>253</v>
      </c>
      <c r="C1804" s="2" t="s">
        <v>412</v>
      </c>
      <c r="D1804" s="2" t="s">
        <v>115</v>
      </c>
      <c r="E1804" s="2" t="n">
        <v>10</v>
      </c>
      <c r="F1804" s="2" t="n">
        <v>2</v>
      </c>
      <c r="G1804" s="2" t="n">
        <v>1</v>
      </c>
      <c r="H1804" s="2" t="n">
        <v>0</v>
      </c>
      <c r="I1804" s="2" t="n">
        <v>0</v>
      </c>
      <c r="J1804" s="2" t="n">
        <v>15</v>
      </c>
      <c r="K1804" s="2" t="n">
        <v>20</v>
      </c>
      <c r="L1804" s="11" t="b">
        <f aca="false">TRUE()</f>
        <v>1</v>
      </c>
      <c r="M1804" s="2" t="s">
        <v>406</v>
      </c>
      <c r="N1804" s="2" t="n">
        <f aca="false">IF(E1804&gt;0,F1804/E1804,"")</f>
        <v>0.2</v>
      </c>
      <c r="O1804" s="2" t="n">
        <f aca="false">IF(AND(E1804&gt;0,L1804),J1804/E1804,"")</f>
        <v>1.5</v>
      </c>
    </row>
    <row r="1805" customFormat="false" ht="15" hidden="false" customHeight="false" outlineLevel="0" collapsed="false">
      <c r="A1805" s="2" t="n">
        <v>2026</v>
      </c>
      <c r="B1805" s="2" t="s">
        <v>350</v>
      </c>
      <c r="C1805" s="2" t="s">
        <v>545</v>
      </c>
      <c r="D1805" s="2" t="s">
        <v>24</v>
      </c>
      <c r="E1805" s="2" t="n">
        <v>0</v>
      </c>
      <c r="F1805" s="2" t="n">
        <v>0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11" t="b">
        <f aca="false">TRUE()</f>
        <v>1</v>
      </c>
      <c r="M1805" s="2" t="s">
        <v>410</v>
      </c>
      <c r="N1805" s="2" t="str">
        <f aca="false">IF(E1805&gt;0,F1805/E1805,"")</f>
        <v/>
      </c>
      <c r="O1805" s="2" t="str">
        <f aca="false">IF(AND(E1805&gt;0,L1805),J1805/E1805,"")</f>
        <v/>
      </c>
    </row>
    <row r="1806" customFormat="false" ht="15" hidden="false" customHeight="false" outlineLevel="0" collapsed="false">
      <c r="A1806" s="2" t="n">
        <v>2026</v>
      </c>
      <c r="B1806" s="2" t="s">
        <v>244</v>
      </c>
      <c r="C1806" s="2" t="s">
        <v>412</v>
      </c>
      <c r="D1806" s="2" t="s">
        <v>117</v>
      </c>
      <c r="E1806" s="2" t="n">
        <v>10</v>
      </c>
      <c r="F1806" s="2" t="n">
        <v>11</v>
      </c>
      <c r="G1806" s="2" t="n">
        <v>3</v>
      </c>
      <c r="H1806" s="2" t="n">
        <v>2</v>
      </c>
      <c r="I1806" s="2" t="n">
        <v>2</v>
      </c>
      <c r="J1806" s="2" t="n">
        <v>89</v>
      </c>
      <c r="K1806" s="2" t="n">
        <v>106</v>
      </c>
      <c r="L1806" s="11" t="b">
        <f aca="false">TRUE()</f>
        <v>1</v>
      </c>
      <c r="M1806" s="2" t="s">
        <v>406</v>
      </c>
      <c r="N1806" s="2" t="n">
        <f aca="false">IF(E1806&gt;0,F1806/E1806,"")</f>
        <v>1.1</v>
      </c>
      <c r="O1806" s="2" t="n">
        <f aca="false">IF(AND(E1806&gt;0,L1806),J1806/E1806,"")</f>
        <v>8.9</v>
      </c>
    </row>
    <row r="1807" customFormat="false" ht="15" hidden="false" customHeight="false" outlineLevel="0" collapsed="false">
      <c r="A1807" s="2" t="n">
        <v>2026</v>
      </c>
      <c r="B1807" s="2" t="s">
        <v>159</v>
      </c>
      <c r="C1807" s="2" t="s">
        <v>420</v>
      </c>
      <c r="D1807" s="2" t="s">
        <v>117</v>
      </c>
      <c r="E1807" s="2" t="n">
        <v>6</v>
      </c>
      <c r="F1807" s="2" t="n">
        <v>3</v>
      </c>
      <c r="G1807" s="2" t="n">
        <v>1</v>
      </c>
      <c r="H1807" s="2" t="n">
        <v>0</v>
      </c>
      <c r="I1807" s="2" t="n">
        <v>0</v>
      </c>
      <c r="J1807" s="2" t="n">
        <v>29</v>
      </c>
      <c r="K1807" s="2" t="n">
        <v>34</v>
      </c>
      <c r="L1807" s="11" t="b">
        <f aca="false">TRUE()</f>
        <v>1</v>
      </c>
      <c r="M1807" s="2" t="s">
        <v>406</v>
      </c>
      <c r="N1807" s="2" t="n">
        <f aca="false">IF(E1807&gt;0,F1807/E1807,"")</f>
        <v>0.5</v>
      </c>
      <c r="O1807" s="2" t="n">
        <f aca="false">IF(AND(E1807&gt;0,L1807),J1807/E1807,"")</f>
        <v>4.83333333333333</v>
      </c>
    </row>
    <row r="1808" customFormat="false" ht="15" hidden="false" customHeight="false" outlineLevel="0" collapsed="false">
      <c r="A1808" s="2" t="n">
        <v>2026</v>
      </c>
      <c r="B1808" s="2" t="s">
        <v>616</v>
      </c>
      <c r="C1808" s="2" t="s">
        <v>420</v>
      </c>
      <c r="D1808" s="2" t="s">
        <v>413</v>
      </c>
      <c r="E1808" s="2" t="n">
        <v>1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4</v>
      </c>
      <c r="K1808" s="2" t="n">
        <v>4</v>
      </c>
      <c r="L1808" s="11" t="b">
        <f aca="false">TRUE()</f>
        <v>1</v>
      </c>
      <c r="M1808" s="2" t="s">
        <v>410</v>
      </c>
      <c r="N1808" s="2" t="n">
        <f aca="false">IF(E1808&gt;0,F1808/E1808,"")</f>
        <v>0</v>
      </c>
      <c r="O1808" s="2" t="n">
        <f aca="false">IF(AND(E1808&gt;0,L1808),J1808/E1808,"")</f>
        <v>4</v>
      </c>
    </row>
    <row r="1809" customFormat="false" ht="15" hidden="false" customHeight="false" outlineLevel="0" collapsed="false">
      <c r="A1809" s="2" t="n">
        <v>2026</v>
      </c>
      <c r="B1809" s="2" t="s">
        <v>171</v>
      </c>
      <c r="C1809" s="2" t="s">
        <v>420</v>
      </c>
      <c r="D1809" s="2" t="s">
        <v>83</v>
      </c>
      <c r="E1809" s="2" t="n">
        <v>11</v>
      </c>
      <c r="F1809" s="2" t="n">
        <v>4</v>
      </c>
      <c r="G1809" s="2" t="n">
        <v>2</v>
      </c>
      <c r="H1809" s="2" t="n">
        <v>1</v>
      </c>
      <c r="I1809" s="2" t="n">
        <v>0</v>
      </c>
      <c r="J1809" s="2" t="n">
        <v>50</v>
      </c>
      <c r="K1809" s="2" t="n">
        <v>58</v>
      </c>
      <c r="L1809" s="11" t="b">
        <f aca="false">TRUE()</f>
        <v>1</v>
      </c>
      <c r="M1809" s="2" t="s">
        <v>406</v>
      </c>
      <c r="N1809" s="2" t="n">
        <f aca="false">IF(E1809&gt;0,F1809/E1809,"")</f>
        <v>0.363636363636364</v>
      </c>
      <c r="O1809" s="2" t="n">
        <f aca="false">IF(AND(E1809&gt;0,L1809),J1809/E1809,"")</f>
        <v>4.54545454545455</v>
      </c>
    </row>
    <row r="1810" customFormat="false" ht="15" hidden="false" customHeight="false" outlineLevel="0" collapsed="false">
      <c r="A1810" s="2" t="n">
        <v>2026</v>
      </c>
      <c r="B1810" s="2" t="s">
        <v>661</v>
      </c>
      <c r="C1810" s="2" t="s">
        <v>408</v>
      </c>
      <c r="D1810" s="2" t="s">
        <v>117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11" t="b">
        <f aca="false">TRUE()</f>
        <v>1</v>
      </c>
      <c r="M1810" s="2" t="s">
        <v>410</v>
      </c>
      <c r="N1810" s="2" t="str">
        <f aca="false">IF(E1810&gt;0,F1810/E1810,"")</f>
        <v/>
      </c>
      <c r="O1810" s="2" t="str">
        <f aca="false">IF(AND(E1810&gt;0,L1810),J1810/E1810,"")</f>
        <v/>
      </c>
    </row>
    <row r="1811" customFormat="false" ht="15" hidden="false" customHeight="false" outlineLevel="0" collapsed="false">
      <c r="A1811" s="2" t="n">
        <v>2026</v>
      </c>
      <c r="B1811" s="2" t="s">
        <v>180</v>
      </c>
      <c r="C1811" s="2" t="s">
        <v>622</v>
      </c>
      <c r="D1811" s="2" t="s">
        <v>29</v>
      </c>
      <c r="E1811" s="2" t="n">
        <v>1</v>
      </c>
      <c r="F1811" s="2" t="n">
        <v>1</v>
      </c>
      <c r="G1811" s="2" t="n">
        <v>0</v>
      </c>
      <c r="H1811" s="2" t="n">
        <v>0</v>
      </c>
      <c r="I1811" s="2" t="n">
        <v>0</v>
      </c>
      <c r="J1811" s="2" t="n">
        <v>3</v>
      </c>
      <c r="K1811" s="2" t="n">
        <v>4</v>
      </c>
      <c r="L1811" s="11" t="b">
        <f aca="false">TRUE()</f>
        <v>1</v>
      </c>
      <c r="M1811" s="2" t="s">
        <v>410</v>
      </c>
      <c r="N1811" s="2" t="n">
        <f aca="false">IF(E1811&gt;0,F1811/E1811,"")</f>
        <v>1</v>
      </c>
      <c r="O1811" s="2" t="n">
        <f aca="false">IF(AND(E1811&gt;0,L1811),J1811/E1811,"")</f>
        <v>3</v>
      </c>
    </row>
    <row r="1812" customFormat="false" ht="15" hidden="false" customHeight="false" outlineLevel="0" collapsed="false">
      <c r="A1812" s="2" t="n">
        <v>2026</v>
      </c>
      <c r="B1812" s="2" t="s">
        <v>34</v>
      </c>
      <c r="C1812" s="2" t="s">
        <v>408</v>
      </c>
      <c r="D1812" s="2" t="s">
        <v>29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11" t="b">
        <f aca="false">TRUE()</f>
        <v>1</v>
      </c>
      <c r="M1812" s="2" t="s">
        <v>410</v>
      </c>
      <c r="N1812" s="2" t="str">
        <f aca="false">IF(E1812&gt;0,F1812/E1812,"")</f>
        <v/>
      </c>
      <c r="O1812" s="2" t="str">
        <f aca="false">IF(AND(E1812&gt;0,L1812),J1812/E1812,"")</f>
        <v/>
      </c>
    </row>
    <row r="1813" customFormat="false" ht="15" hidden="false" customHeight="false" outlineLevel="0" collapsed="false">
      <c r="A1813" s="2" t="n">
        <v>2026</v>
      </c>
      <c r="B1813" s="2" t="s">
        <v>648</v>
      </c>
      <c r="C1813" s="2" t="s">
        <v>405</v>
      </c>
      <c r="D1813" s="2" t="s">
        <v>29</v>
      </c>
      <c r="E1813" s="2" t="n">
        <v>0</v>
      </c>
      <c r="F1813" s="2" t="n">
        <v>0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11" t="b">
        <f aca="false">TRUE()</f>
        <v>1</v>
      </c>
      <c r="M1813" s="2" t="s">
        <v>410</v>
      </c>
      <c r="N1813" s="2" t="str">
        <f aca="false">IF(E1813&gt;0,F1813/E1813,"")</f>
        <v/>
      </c>
      <c r="O1813" s="2" t="str">
        <f aca="false">IF(AND(E1813&gt;0,L1813),J1813/E1813,"")</f>
        <v/>
      </c>
    </row>
    <row r="1814" customFormat="false" ht="15" hidden="false" customHeight="false" outlineLevel="0" collapsed="false">
      <c r="A1814" s="2" t="n">
        <v>2026</v>
      </c>
      <c r="B1814" s="2" t="s">
        <v>63</v>
      </c>
      <c r="C1814" s="2" t="s">
        <v>420</v>
      </c>
      <c r="D1814" s="2" t="s">
        <v>29</v>
      </c>
      <c r="E1814" s="2" t="n">
        <v>12</v>
      </c>
      <c r="F1814" s="2" t="n">
        <v>40</v>
      </c>
      <c r="G1814" s="2" t="n">
        <v>30</v>
      </c>
      <c r="H1814" s="2" t="n">
        <v>17</v>
      </c>
      <c r="I1814" s="2" t="n">
        <v>8</v>
      </c>
      <c r="J1814" s="2" t="n">
        <v>210</v>
      </c>
      <c r="K1814" s="2" t="n">
        <v>268</v>
      </c>
      <c r="L1814" s="11" t="b">
        <f aca="false">TRUE()</f>
        <v>1</v>
      </c>
      <c r="M1814" s="2" t="s">
        <v>406</v>
      </c>
      <c r="N1814" s="2" t="n">
        <f aca="false">IF(E1814&gt;0,F1814/E1814,"")</f>
        <v>3.33333333333333</v>
      </c>
      <c r="O1814" s="2" t="n">
        <f aca="false">IF(AND(E1814&gt;0,L1814),J1814/E1814,"")</f>
        <v>17.5</v>
      </c>
    </row>
    <row r="1815" customFormat="false" ht="15" hidden="false" customHeight="false" outlineLevel="0" collapsed="false">
      <c r="A1815" s="2" t="n">
        <v>2026</v>
      </c>
      <c r="B1815" s="2" t="s">
        <v>371</v>
      </c>
      <c r="C1815" s="2" t="s">
        <v>408</v>
      </c>
      <c r="D1815" s="2" t="s">
        <v>83</v>
      </c>
      <c r="E1815" s="2" t="n">
        <v>2</v>
      </c>
      <c r="F1815" s="2" t="n">
        <v>1</v>
      </c>
      <c r="G1815" s="2" t="n">
        <v>1</v>
      </c>
      <c r="H1815" s="2" t="n">
        <v>0</v>
      </c>
      <c r="I1815" s="2" t="n">
        <v>0</v>
      </c>
      <c r="J1815" s="2" t="n">
        <v>7</v>
      </c>
      <c r="K1815" s="2" t="n">
        <v>8</v>
      </c>
      <c r="L1815" s="11" t="b">
        <f aca="false">TRUE()</f>
        <v>1</v>
      </c>
      <c r="M1815" s="2" t="s">
        <v>410</v>
      </c>
      <c r="N1815" s="2" t="n">
        <f aca="false">IF(E1815&gt;0,F1815/E1815,"")</f>
        <v>0.5</v>
      </c>
      <c r="O1815" s="2" t="n">
        <f aca="false">IF(AND(E1815&gt;0,L1815),J1815/E1815,"")</f>
        <v>3.5</v>
      </c>
    </row>
    <row r="1816" customFormat="false" ht="15" hidden="false" customHeight="false" outlineLevel="0" collapsed="false">
      <c r="A1816" s="2" t="n">
        <v>2026</v>
      </c>
      <c r="B1816" s="2" t="s">
        <v>51</v>
      </c>
      <c r="C1816" s="2" t="s">
        <v>412</v>
      </c>
      <c r="D1816" s="2" t="s">
        <v>24</v>
      </c>
      <c r="E1816" s="2" t="n">
        <v>10</v>
      </c>
      <c r="F1816" s="2" t="n">
        <v>32</v>
      </c>
      <c r="G1816" s="2" t="n">
        <v>25</v>
      </c>
      <c r="H1816" s="2" t="n">
        <v>9</v>
      </c>
      <c r="I1816" s="2" t="n">
        <v>16</v>
      </c>
      <c r="J1816" s="2" t="n">
        <v>263</v>
      </c>
      <c r="K1816" s="2" t="n">
        <v>310</v>
      </c>
      <c r="L1816" s="11" t="b">
        <f aca="false">TRUE()</f>
        <v>1</v>
      </c>
      <c r="M1816" s="2" t="s">
        <v>406</v>
      </c>
      <c r="N1816" s="2" t="n">
        <f aca="false">IF(E1816&gt;0,F1816/E1816,"")</f>
        <v>3.2</v>
      </c>
      <c r="O1816" s="2" t="n">
        <f aca="false">IF(AND(E1816&gt;0,L1816),J1816/E1816,"")</f>
        <v>26.3</v>
      </c>
    </row>
    <row r="1817" customFormat="false" ht="15" hidden="false" customHeight="false" outlineLevel="0" collapsed="false">
      <c r="A1817" s="2" t="n">
        <v>2026</v>
      </c>
      <c r="B1817" s="2" t="s">
        <v>354</v>
      </c>
      <c r="C1817" s="2" t="s">
        <v>414</v>
      </c>
      <c r="D1817" s="2" t="s">
        <v>83</v>
      </c>
      <c r="E1817" s="2" t="n">
        <v>2</v>
      </c>
      <c r="F1817" s="2" t="n">
        <v>0</v>
      </c>
      <c r="G1817" s="2" t="n">
        <v>0</v>
      </c>
      <c r="H1817" s="2" t="n">
        <v>0</v>
      </c>
      <c r="I1817" s="2" t="n">
        <v>1</v>
      </c>
      <c r="J1817" s="2" t="n">
        <v>19</v>
      </c>
      <c r="K1817" s="2" t="n">
        <v>21</v>
      </c>
      <c r="L1817" s="11" t="b">
        <f aca="false">TRUE()</f>
        <v>1</v>
      </c>
      <c r="M1817" s="2" t="s">
        <v>410</v>
      </c>
      <c r="N1817" s="2" t="n">
        <f aca="false">IF(E1817&gt;0,F1817/E1817,"")</f>
        <v>0</v>
      </c>
      <c r="O1817" s="2" t="n">
        <f aca="false">IF(AND(E1817&gt;0,L1817),J1817/E1817,"")</f>
        <v>9.5</v>
      </c>
    </row>
    <row r="1818" customFormat="false" ht="15" hidden="false" customHeight="false" outlineLevel="0" collapsed="false">
      <c r="A1818" s="2" t="n">
        <v>2026</v>
      </c>
      <c r="B1818" s="2" t="s">
        <v>204</v>
      </c>
      <c r="C1818" s="2" t="s">
        <v>420</v>
      </c>
      <c r="D1818" s="2" t="s">
        <v>29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11" t="b">
        <f aca="false">TRUE()</f>
        <v>1</v>
      </c>
      <c r="M1818" s="2" t="s">
        <v>410</v>
      </c>
      <c r="N1818" s="2" t="str">
        <f aca="false">IF(E1818&gt;0,F1818/E1818,"")</f>
        <v/>
      </c>
      <c r="O1818" s="2" t="str">
        <f aca="false">IF(AND(E1818&gt;0,L1818),J1818/E1818,"")</f>
        <v/>
      </c>
    </row>
    <row r="1819" customFormat="false" ht="15" hidden="false" customHeight="false" outlineLevel="0" collapsed="false">
      <c r="A1819" s="2" t="n">
        <v>2026</v>
      </c>
      <c r="B1819" s="2" t="s">
        <v>361</v>
      </c>
      <c r="C1819" s="2" t="s">
        <v>405</v>
      </c>
      <c r="D1819" s="2" t="s">
        <v>24</v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11" t="b">
        <f aca="false">TRUE()</f>
        <v>1</v>
      </c>
      <c r="M1819" s="2" t="s">
        <v>410</v>
      </c>
      <c r="N1819" s="2" t="str">
        <f aca="false">IF(E1819&gt;0,F1819/E1819,"")</f>
        <v/>
      </c>
      <c r="O1819" s="2" t="str">
        <f aca="false">IF(AND(E1819&gt;0,L1819),J1819/E1819,"")</f>
        <v/>
      </c>
    </row>
    <row r="1820" customFormat="false" ht="15" hidden="false" customHeight="false" outlineLevel="0" collapsed="false">
      <c r="A1820" s="2" t="n">
        <v>2026</v>
      </c>
      <c r="B1820" s="2" t="s">
        <v>619</v>
      </c>
      <c r="C1820" s="2" t="s">
        <v>408</v>
      </c>
      <c r="D1820" s="2" t="s">
        <v>413</v>
      </c>
      <c r="E1820" s="2" t="n">
        <v>12</v>
      </c>
      <c r="F1820" s="2" t="n">
        <v>9</v>
      </c>
      <c r="G1820" s="2" t="n">
        <v>3</v>
      </c>
      <c r="H1820" s="2" t="n">
        <v>1</v>
      </c>
      <c r="I1820" s="2" t="n">
        <v>2</v>
      </c>
      <c r="J1820" s="2" t="n">
        <v>75</v>
      </c>
      <c r="K1820" s="2" t="n">
        <v>97</v>
      </c>
      <c r="L1820" s="11" t="b">
        <f aca="false">TRUE()</f>
        <v>1</v>
      </c>
      <c r="M1820" s="2" t="s">
        <v>410</v>
      </c>
      <c r="N1820" s="2" t="n">
        <f aca="false">IF(E1820&gt;0,F1820/E1820,"")</f>
        <v>0.75</v>
      </c>
      <c r="O1820" s="2" t="n">
        <f aca="false">IF(AND(E1820&gt;0,L1820),J1820/E1820,"")</f>
        <v>6.25</v>
      </c>
    </row>
    <row r="1821" customFormat="false" ht="15" hidden="false" customHeight="false" outlineLevel="0" collapsed="false">
      <c r="A1821" s="2" t="n">
        <v>2026</v>
      </c>
      <c r="B1821" s="2" t="s">
        <v>241</v>
      </c>
      <c r="C1821" s="2" t="s">
        <v>622</v>
      </c>
      <c r="D1821" s="2" t="s">
        <v>83</v>
      </c>
      <c r="E1821" s="2" t="n">
        <v>6</v>
      </c>
      <c r="F1821" s="2" t="n">
        <v>0</v>
      </c>
      <c r="G1821" s="2" t="n">
        <v>0</v>
      </c>
      <c r="H1821" s="2" t="n">
        <v>0</v>
      </c>
      <c r="I1821" s="2" t="n">
        <v>0</v>
      </c>
      <c r="J1821" s="2" t="n">
        <v>23</v>
      </c>
      <c r="K1821" s="2" t="n">
        <v>23</v>
      </c>
      <c r="L1821" s="11" t="b">
        <f aca="false">TRUE()</f>
        <v>1</v>
      </c>
      <c r="M1821" s="2" t="s">
        <v>406</v>
      </c>
      <c r="N1821" s="2" t="n">
        <f aca="false">IF(E1821&gt;0,F1821/E1821,"")</f>
        <v>0</v>
      </c>
      <c r="O1821" s="2" t="n">
        <f aca="false">IF(AND(E1821&gt;0,L1821),J1821/E1821,"")</f>
        <v>3.83333333333333</v>
      </c>
    </row>
    <row r="1822" customFormat="false" ht="15" hidden="false" customHeight="false" outlineLevel="0" collapsed="false">
      <c r="A1822" s="2" t="n">
        <v>2026</v>
      </c>
      <c r="B1822" s="2" t="s">
        <v>70</v>
      </c>
      <c r="C1822" s="2" t="s">
        <v>414</v>
      </c>
      <c r="D1822" s="2" t="s">
        <v>29</v>
      </c>
      <c r="E1822" s="2" t="n">
        <v>2</v>
      </c>
      <c r="F1822" s="2" t="n">
        <v>5</v>
      </c>
      <c r="G1822" s="2" t="n">
        <v>3</v>
      </c>
      <c r="H1822" s="2" t="n">
        <v>1</v>
      </c>
      <c r="I1822" s="2" t="n">
        <v>0</v>
      </c>
      <c r="J1822" s="2" t="n">
        <v>19</v>
      </c>
      <c r="K1822" s="2" t="n">
        <v>26</v>
      </c>
      <c r="L1822" s="11" t="b">
        <f aca="false">TRUE()</f>
        <v>1</v>
      </c>
      <c r="M1822" s="2" t="s">
        <v>410</v>
      </c>
      <c r="N1822" s="2" t="n">
        <f aca="false">IF(E1822&gt;0,F1822/E1822,"")</f>
        <v>2.5</v>
      </c>
      <c r="O1822" s="2" t="n">
        <f aca="false">IF(AND(E1822&gt;0,L1822),J1822/E1822,"")</f>
        <v>9.5</v>
      </c>
    </row>
    <row r="1823" customFormat="false" ht="15" hidden="false" customHeight="false" outlineLevel="0" collapsed="false">
      <c r="A1823" s="2" t="n">
        <v>2026</v>
      </c>
      <c r="B1823" s="2" t="s">
        <v>98</v>
      </c>
      <c r="C1823" s="2" t="s">
        <v>420</v>
      </c>
      <c r="D1823" s="2" t="s">
        <v>29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11" t="b">
        <f aca="false">TRUE()</f>
        <v>1</v>
      </c>
      <c r="M1823" s="2" t="s">
        <v>410</v>
      </c>
      <c r="N1823" s="2" t="str">
        <f aca="false">IF(E1823&gt;0,F1823/E1823,"")</f>
        <v/>
      </c>
      <c r="O1823" s="2" t="str">
        <f aca="false">IF(AND(E1823&gt;0,L1823),J1823/E1823,"")</f>
        <v/>
      </c>
    </row>
    <row r="1824" customFormat="false" ht="15" hidden="false" customHeight="false" outlineLevel="0" collapsed="false">
      <c r="A1824" s="2" t="n">
        <v>2026</v>
      </c>
      <c r="B1824" s="2" t="s">
        <v>334</v>
      </c>
      <c r="C1824" s="2" t="s">
        <v>545</v>
      </c>
      <c r="D1824" s="2" t="s">
        <v>115</v>
      </c>
      <c r="E1824" s="2" t="n">
        <v>9</v>
      </c>
      <c r="F1824" s="2" t="n">
        <v>1</v>
      </c>
      <c r="G1824" s="2" t="n">
        <v>1</v>
      </c>
      <c r="H1824" s="2" t="n">
        <v>0</v>
      </c>
      <c r="I1824" s="2" t="n">
        <v>0</v>
      </c>
      <c r="J1824" s="2" t="n">
        <v>33</v>
      </c>
      <c r="K1824" s="2" t="n">
        <v>34</v>
      </c>
      <c r="L1824" s="11" t="b">
        <f aca="false">TRUE()</f>
        <v>1</v>
      </c>
      <c r="M1824" s="2" t="s">
        <v>406</v>
      </c>
      <c r="N1824" s="2" t="n">
        <f aca="false">IF(E1824&gt;0,F1824/E1824,"")</f>
        <v>0.111111111111111</v>
      </c>
      <c r="O1824" s="2" t="n">
        <f aca="false">IF(AND(E1824&gt;0,L1824),J1824/E1824,"")</f>
        <v>3.66666666666667</v>
      </c>
    </row>
    <row r="1825" customFormat="false" ht="15" hidden="false" customHeight="false" outlineLevel="0" collapsed="false">
      <c r="A1825" s="2" t="n">
        <v>2026</v>
      </c>
      <c r="B1825" s="2" t="s">
        <v>231</v>
      </c>
      <c r="C1825" s="2" t="s">
        <v>412</v>
      </c>
      <c r="D1825" s="2" t="s">
        <v>115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11" t="b">
        <f aca="false">TRUE()</f>
        <v>1</v>
      </c>
      <c r="M1825" s="2" t="s">
        <v>410</v>
      </c>
      <c r="N1825" s="2" t="str">
        <f aca="false">IF(E1825&gt;0,F1825/E1825,"")</f>
        <v/>
      </c>
      <c r="O1825" s="2" t="str">
        <f aca="false">IF(AND(E1825&gt;0,L1825),J1825/E1825,"")</f>
        <v/>
      </c>
    </row>
    <row r="1826" customFormat="false" ht="15" hidden="false" customHeight="false" outlineLevel="0" collapsed="false">
      <c r="A1826" s="2" t="n">
        <v>2026</v>
      </c>
      <c r="B1826" s="2" t="s">
        <v>234</v>
      </c>
      <c r="C1826" s="2" t="s">
        <v>420</v>
      </c>
      <c r="D1826" s="2" t="s">
        <v>117</v>
      </c>
      <c r="E1826" s="2" t="n">
        <v>12</v>
      </c>
      <c r="F1826" s="2" t="n">
        <v>6</v>
      </c>
      <c r="G1826" s="2" t="n">
        <v>3</v>
      </c>
      <c r="H1826" s="2" t="n">
        <v>1</v>
      </c>
      <c r="I1826" s="2" t="n">
        <v>2</v>
      </c>
      <c r="J1826" s="2" t="n">
        <v>55</v>
      </c>
      <c r="K1826" s="2" t="n">
        <v>66</v>
      </c>
      <c r="L1826" s="11" t="b">
        <f aca="false">TRUE()</f>
        <v>1</v>
      </c>
      <c r="M1826" s="2" t="s">
        <v>406</v>
      </c>
      <c r="N1826" s="2" t="n">
        <f aca="false">IF(E1826&gt;0,F1826/E1826,"")</f>
        <v>0.5</v>
      </c>
      <c r="O1826" s="2" t="n">
        <f aca="false">IF(AND(E1826&gt;0,L1826),J1826/E1826,"")</f>
        <v>4.58333333333333</v>
      </c>
    </row>
    <row r="1827" customFormat="false" ht="15" hidden="false" customHeight="false" outlineLevel="0" collapsed="false">
      <c r="A1827" s="2" t="n">
        <v>2026</v>
      </c>
      <c r="B1827" s="2" t="s">
        <v>25</v>
      </c>
      <c r="C1827" s="2" t="s">
        <v>518</v>
      </c>
      <c r="D1827" s="2" t="s">
        <v>24</v>
      </c>
      <c r="E1827" s="2" t="n">
        <v>12</v>
      </c>
      <c r="F1827" s="2" t="n">
        <v>78</v>
      </c>
      <c r="G1827" s="2" t="n">
        <v>62</v>
      </c>
      <c r="H1827" s="2" t="n">
        <v>29</v>
      </c>
      <c r="I1827" s="2" t="n">
        <v>22</v>
      </c>
      <c r="J1827" s="2" t="n">
        <v>348</v>
      </c>
      <c r="K1827" s="2" t="n">
        <v>448</v>
      </c>
      <c r="L1827" s="11" t="b">
        <f aca="false">TRUE()</f>
        <v>1</v>
      </c>
      <c r="M1827" s="2" t="s">
        <v>406</v>
      </c>
      <c r="N1827" s="2" t="n">
        <f aca="false">IF(E1827&gt;0,F1827/E1827,"")</f>
        <v>6.5</v>
      </c>
      <c r="O1827" s="2" t="n">
        <f aca="false">IF(AND(E1827&gt;0,L1827),J1827/E1827,"")</f>
        <v>29</v>
      </c>
    </row>
    <row r="1828" customFormat="false" ht="15" hidden="false" customHeight="false" outlineLevel="0" collapsed="false">
      <c r="A1828" s="2" t="n">
        <v>2026</v>
      </c>
      <c r="B1828" s="2" t="s">
        <v>107</v>
      </c>
      <c r="C1828" s="2" t="s">
        <v>414</v>
      </c>
      <c r="D1828" s="2" t="s">
        <v>24</v>
      </c>
      <c r="E1828" s="2" t="n">
        <v>10</v>
      </c>
      <c r="F1828" s="2" t="n">
        <v>59</v>
      </c>
      <c r="G1828" s="2" t="n">
        <v>29</v>
      </c>
      <c r="H1828" s="2" t="n">
        <v>16</v>
      </c>
      <c r="I1828" s="2" t="n">
        <v>18</v>
      </c>
      <c r="J1828" s="2" t="n">
        <v>321</v>
      </c>
      <c r="K1828" s="2" t="n">
        <v>392</v>
      </c>
      <c r="L1828" s="11" t="b">
        <f aca="false">TRUE()</f>
        <v>1</v>
      </c>
      <c r="M1828" s="2" t="s">
        <v>406</v>
      </c>
      <c r="N1828" s="2" t="n">
        <f aca="false">IF(E1828&gt;0,F1828/E1828,"")</f>
        <v>5.9</v>
      </c>
      <c r="O1828" s="2" t="n">
        <f aca="false">IF(AND(E1828&gt;0,L1828),J1828/E1828,"")</f>
        <v>32.1</v>
      </c>
    </row>
    <row r="1829" customFormat="false" ht="15" hidden="false" customHeight="false" outlineLevel="0" collapsed="false">
      <c r="A1829" s="2" t="n">
        <v>2026</v>
      </c>
      <c r="B1829" s="2" t="s">
        <v>177</v>
      </c>
      <c r="C1829" s="2" t="s">
        <v>420</v>
      </c>
      <c r="D1829" s="2" t="s">
        <v>29</v>
      </c>
      <c r="E1829" s="2" t="n">
        <v>9</v>
      </c>
      <c r="F1829" s="2" t="n">
        <v>38</v>
      </c>
      <c r="G1829" s="2" t="n">
        <v>31</v>
      </c>
      <c r="H1829" s="2" t="n">
        <v>11</v>
      </c>
      <c r="I1829" s="2" t="n">
        <v>1</v>
      </c>
      <c r="J1829" s="2" t="n">
        <v>105</v>
      </c>
      <c r="K1829" s="2" t="n">
        <v>152</v>
      </c>
      <c r="L1829" s="11" t="b">
        <f aca="false">TRUE()</f>
        <v>1</v>
      </c>
      <c r="M1829" s="2" t="s">
        <v>406</v>
      </c>
      <c r="N1829" s="2" t="n">
        <f aca="false">IF(E1829&gt;0,F1829/E1829,"")</f>
        <v>4.22222222222222</v>
      </c>
      <c r="O1829" s="2" t="n">
        <f aca="false">IF(AND(E1829&gt;0,L1829),J1829/E1829,"")</f>
        <v>11.6666666666667</v>
      </c>
    </row>
    <row r="1830" customFormat="false" ht="15" hidden="false" customHeight="false" outlineLevel="0" collapsed="false">
      <c r="A1830" s="2" t="n">
        <v>2026</v>
      </c>
      <c r="B1830" s="2" t="s">
        <v>206</v>
      </c>
      <c r="C1830" s="2" t="s">
        <v>414</v>
      </c>
      <c r="D1830" s="2" t="s">
        <v>115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11" t="b">
        <f aca="false">TRUE()</f>
        <v>1</v>
      </c>
      <c r="M1830" s="2" t="s">
        <v>410</v>
      </c>
      <c r="N1830" s="2" t="str">
        <f aca="false">IF(E1830&gt;0,F1830/E1830,"")</f>
        <v/>
      </c>
      <c r="O1830" s="2" t="str">
        <f aca="false">IF(AND(E1830&gt;0,L1830),J1830/E1830,"")</f>
        <v/>
      </c>
    </row>
    <row r="1831" customFormat="false" ht="15" hidden="false" customHeight="false" outlineLevel="0" collapsed="false">
      <c r="A1831" s="2" t="n">
        <v>2026</v>
      </c>
      <c r="B1831" s="2" t="s">
        <v>632</v>
      </c>
      <c r="C1831" s="2" t="s">
        <v>518</v>
      </c>
      <c r="D1831" s="2" t="s">
        <v>413</v>
      </c>
      <c r="E1831" s="2" t="n">
        <v>7</v>
      </c>
      <c r="F1831" s="2" t="n">
        <v>9</v>
      </c>
      <c r="G1831" s="2" t="n">
        <v>3</v>
      </c>
      <c r="H1831" s="2" t="n">
        <v>1</v>
      </c>
      <c r="I1831" s="2" t="n">
        <v>0</v>
      </c>
      <c r="J1831" s="2" t="n">
        <v>43</v>
      </c>
      <c r="K1831" s="2" t="n">
        <v>57</v>
      </c>
      <c r="L1831" s="11" t="b">
        <f aca="false">TRUE()</f>
        <v>1</v>
      </c>
      <c r="M1831" s="2" t="s">
        <v>410</v>
      </c>
      <c r="N1831" s="2" t="n">
        <f aca="false">IF(E1831&gt;0,F1831/E1831,"")</f>
        <v>1.28571428571429</v>
      </c>
      <c r="O1831" s="2" t="n">
        <f aca="false">IF(AND(E1831&gt;0,L1831),J1831/E1831,"")</f>
        <v>6.14285714285714</v>
      </c>
    </row>
    <row r="1832" customFormat="false" ht="15" hidden="false" customHeight="false" outlineLevel="0" collapsed="false">
      <c r="A1832" s="2" t="n">
        <v>2026</v>
      </c>
      <c r="B1832" s="2" t="s">
        <v>262</v>
      </c>
      <c r="C1832" s="2" t="s">
        <v>518</v>
      </c>
      <c r="D1832" s="2" t="s">
        <v>115</v>
      </c>
      <c r="E1832" s="2" t="n">
        <v>10</v>
      </c>
      <c r="F1832" s="2" t="n">
        <v>11</v>
      </c>
      <c r="G1832" s="2" t="n">
        <v>7</v>
      </c>
      <c r="H1832" s="2" t="n">
        <v>1</v>
      </c>
      <c r="I1832" s="2" t="n">
        <v>0</v>
      </c>
      <c r="J1832" s="2" t="n">
        <v>65</v>
      </c>
      <c r="K1832" s="2" t="n">
        <v>77</v>
      </c>
      <c r="L1832" s="11" t="b">
        <f aca="false">TRUE()</f>
        <v>1</v>
      </c>
      <c r="M1832" s="2" t="s">
        <v>406</v>
      </c>
      <c r="N1832" s="2" t="n">
        <f aca="false">IF(E1832&gt;0,F1832/E1832,"")</f>
        <v>1.1</v>
      </c>
      <c r="O1832" s="2" t="n">
        <f aca="false">IF(AND(E1832&gt;0,L1832),J1832/E1832,"")</f>
        <v>6.5</v>
      </c>
    </row>
    <row r="1833" customFormat="false" ht="15" hidden="false" customHeight="false" outlineLevel="0" collapsed="false">
      <c r="A1833" s="2" t="n">
        <v>2026</v>
      </c>
      <c r="B1833" s="2" t="s">
        <v>120</v>
      </c>
      <c r="C1833" s="2" t="s">
        <v>412</v>
      </c>
      <c r="D1833" s="2" t="s">
        <v>29</v>
      </c>
      <c r="E1833" s="2" t="n">
        <v>7</v>
      </c>
      <c r="F1833" s="2" t="n">
        <v>15</v>
      </c>
      <c r="G1833" s="2" t="n">
        <v>9</v>
      </c>
      <c r="H1833" s="2" t="n">
        <v>1</v>
      </c>
      <c r="I1833" s="2" t="n">
        <v>1</v>
      </c>
      <c r="J1833" s="2" t="n">
        <v>59</v>
      </c>
      <c r="K1833" s="2" t="n">
        <v>77</v>
      </c>
      <c r="L1833" s="11" t="b">
        <f aca="false">TRUE()</f>
        <v>1</v>
      </c>
      <c r="M1833" s="2" t="s">
        <v>406</v>
      </c>
      <c r="N1833" s="2" t="n">
        <f aca="false">IF(E1833&gt;0,F1833/E1833,"")</f>
        <v>2.14285714285714</v>
      </c>
      <c r="O1833" s="2" t="n">
        <f aca="false">IF(AND(E1833&gt;0,L1833),J1833/E1833,"")</f>
        <v>8.42857142857143</v>
      </c>
    </row>
    <row r="1834" customFormat="false" ht="15" hidden="false" customHeight="false" outlineLevel="0" collapsed="false">
      <c r="A1834" s="2" t="n">
        <v>2026</v>
      </c>
      <c r="B1834" s="2" t="s">
        <v>112</v>
      </c>
      <c r="C1834" s="2" t="s">
        <v>408</v>
      </c>
      <c r="D1834" s="2" t="s">
        <v>24</v>
      </c>
      <c r="E1834" s="2" t="n">
        <v>12</v>
      </c>
      <c r="F1834" s="2" t="n">
        <v>60</v>
      </c>
      <c r="G1834" s="2" t="n">
        <v>39</v>
      </c>
      <c r="H1834" s="2" t="n">
        <v>18</v>
      </c>
      <c r="I1834" s="2" t="n">
        <v>12</v>
      </c>
      <c r="J1834" s="2" t="n">
        <v>256</v>
      </c>
      <c r="K1834" s="2" t="n">
        <v>334</v>
      </c>
      <c r="L1834" s="11" t="b">
        <f aca="false">TRUE()</f>
        <v>1</v>
      </c>
      <c r="M1834" s="2" t="s">
        <v>406</v>
      </c>
      <c r="N1834" s="2" t="n">
        <f aca="false">IF(E1834&gt;0,F1834/E1834,"")</f>
        <v>5</v>
      </c>
      <c r="O1834" s="2" t="n">
        <f aca="false">IF(AND(E1834&gt;0,L1834),J1834/E1834,"")</f>
        <v>21.3333333333333</v>
      </c>
    </row>
    <row r="1835" customFormat="false" ht="15" hidden="false" customHeight="false" outlineLevel="0" collapsed="false">
      <c r="A1835" s="2" t="n">
        <v>2026</v>
      </c>
      <c r="B1835" s="2" t="s">
        <v>379</v>
      </c>
      <c r="C1835" s="2" t="s">
        <v>408</v>
      </c>
      <c r="D1835" s="2" t="s">
        <v>115</v>
      </c>
      <c r="E1835" s="2" t="n">
        <v>2</v>
      </c>
      <c r="F1835" s="2" t="n">
        <v>0</v>
      </c>
      <c r="G1835" s="2" t="n">
        <v>0</v>
      </c>
      <c r="H1835" s="2" t="n">
        <v>0</v>
      </c>
      <c r="I1835" s="2" t="n">
        <v>0</v>
      </c>
      <c r="J1835" s="2" t="n">
        <v>6</v>
      </c>
      <c r="K1835" s="2" t="n">
        <v>6</v>
      </c>
      <c r="L1835" s="11" t="b">
        <f aca="false">TRUE()</f>
        <v>1</v>
      </c>
      <c r="M1835" s="2" t="s">
        <v>410</v>
      </c>
      <c r="N1835" s="2" t="n">
        <f aca="false">IF(E1835&gt;0,F1835/E1835,"")</f>
        <v>0</v>
      </c>
      <c r="O1835" s="2" t="n">
        <f aca="false">IF(AND(E1835&gt;0,L1835),J1835/E1835,"")</f>
        <v>3</v>
      </c>
    </row>
    <row r="1836" customFormat="false" ht="15" hidden="false" customHeight="false" outlineLevel="0" collapsed="false">
      <c r="A1836" s="2" t="n">
        <v>2026</v>
      </c>
      <c r="B1836" s="2" t="s">
        <v>259</v>
      </c>
      <c r="C1836" s="2" t="s">
        <v>414</v>
      </c>
      <c r="D1836" s="2" t="s">
        <v>29</v>
      </c>
      <c r="E1836" s="2" t="n">
        <v>6</v>
      </c>
      <c r="F1836" s="2" t="n">
        <v>13</v>
      </c>
      <c r="G1836" s="2" t="n">
        <v>10</v>
      </c>
      <c r="H1836" s="2" t="n">
        <v>4</v>
      </c>
      <c r="I1836" s="2" t="n">
        <v>5</v>
      </c>
      <c r="J1836" s="2" t="n">
        <v>62</v>
      </c>
      <c r="K1836" s="2" t="n">
        <v>78</v>
      </c>
      <c r="L1836" s="11" t="b">
        <f aca="false">TRUE()</f>
        <v>1</v>
      </c>
      <c r="M1836" s="2" t="s">
        <v>406</v>
      </c>
      <c r="N1836" s="2" t="n">
        <f aca="false">IF(E1836&gt;0,F1836/E1836,"")</f>
        <v>2.16666666666667</v>
      </c>
      <c r="O1836" s="2" t="n">
        <f aca="false">IF(AND(E1836&gt;0,L1836),J1836/E1836,"")</f>
        <v>10.3333333333333</v>
      </c>
    </row>
    <row r="1837" customFormat="false" ht="15" hidden="false" customHeight="false" outlineLevel="0" collapsed="false">
      <c r="A1837" s="2" t="n">
        <v>2026</v>
      </c>
      <c r="B1837" s="2" t="s">
        <v>380</v>
      </c>
      <c r="C1837" s="2" t="s">
        <v>420</v>
      </c>
      <c r="D1837" s="2" t="s">
        <v>117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11" t="b">
        <f aca="false">TRUE()</f>
        <v>1</v>
      </c>
      <c r="M1837" s="2" t="s">
        <v>410</v>
      </c>
      <c r="N1837" s="2" t="str">
        <f aca="false">IF(E1837&gt;0,F1837/E1837,"")</f>
        <v/>
      </c>
      <c r="O1837" s="2" t="str">
        <f aca="false">IF(AND(E1837&gt;0,L1837),J1837/E1837,"")</f>
        <v/>
      </c>
    </row>
    <row r="1838" customFormat="false" ht="15" hidden="false" customHeight="false" outlineLevel="0" collapsed="false">
      <c r="A1838" s="2" t="n">
        <v>2026</v>
      </c>
      <c r="B1838" s="2" t="s">
        <v>327</v>
      </c>
      <c r="C1838" s="2" t="s">
        <v>420</v>
      </c>
      <c r="D1838" s="2" t="s">
        <v>29</v>
      </c>
      <c r="E1838" s="2" t="n">
        <v>1</v>
      </c>
      <c r="F1838" s="2" t="n">
        <v>6</v>
      </c>
      <c r="G1838" s="2" t="n">
        <v>2</v>
      </c>
      <c r="H1838" s="2" t="n">
        <v>1</v>
      </c>
      <c r="I1838" s="2" t="n">
        <v>0</v>
      </c>
      <c r="J1838" s="2" t="n">
        <v>19</v>
      </c>
      <c r="K1838" s="2" t="n">
        <v>27</v>
      </c>
      <c r="L1838" s="11" t="b">
        <f aca="false">TRUE()</f>
        <v>1</v>
      </c>
      <c r="M1838" s="2" t="s">
        <v>410</v>
      </c>
      <c r="N1838" s="2" t="n">
        <f aca="false">IF(E1838&gt;0,F1838/E1838,"")</f>
        <v>6</v>
      </c>
      <c r="O1838" s="2" t="n">
        <f aca="false">IF(AND(E1838&gt;0,L1838),J1838/E1838,"")</f>
        <v>19</v>
      </c>
    </row>
    <row r="1839" customFormat="false" ht="15" hidden="false" customHeight="false" outlineLevel="0" collapsed="false">
      <c r="A1839" s="2" t="n">
        <v>2026</v>
      </c>
      <c r="B1839" s="2" t="s">
        <v>166</v>
      </c>
      <c r="C1839" s="2" t="s">
        <v>622</v>
      </c>
      <c r="D1839" s="2" t="s">
        <v>24</v>
      </c>
      <c r="E1839" s="2" t="n">
        <v>4</v>
      </c>
      <c r="F1839" s="2" t="n">
        <v>16</v>
      </c>
      <c r="G1839" s="2" t="n">
        <v>9</v>
      </c>
      <c r="H1839" s="2" t="n">
        <v>5</v>
      </c>
      <c r="I1839" s="2" t="n">
        <v>2</v>
      </c>
      <c r="J1839" s="2" t="n">
        <v>37</v>
      </c>
      <c r="K1839" s="2" t="n">
        <v>56</v>
      </c>
      <c r="L1839" s="11" t="b">
        <f aca="false">TRUE()</f>
        <v>1</v>
      </c>
      <c r="M1839" s="2" t="s">
        <v>406</v>
      </c>
      <c r="N1839" s="2" t="n">
        <f aca="false">IF(E1839&gt;0,F1839/E1839,"")</f>
        <v>4</v>
      </c>
      <c r="O1839" s="2" t="n">
        <f aca="false">IF(AND(E1839&gt;0,L1839),J1839/E1839,"")</f>
        <v>9.25</v>
      </c>
    </row>
    <row r="1840" customFormat="false" ht="15" hidden="false" customHeight="false" outlineLevel="0" collapsed="false">
      <c r="A1840" s="2" t="n">
        <v>2026</v>
      </c>
      <c r="B1840" s="2" t="s">
        <v>31</v>
      </c>
      <c r="C1840" s="2" t="s">
        <v>412</v>
      </c>
      <c r="D1840" s="2" t="s">
        <v>24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11" t="b">
        <f aca="false">TRUE()</f>
        <v>1</v>
      </c>
      <c r="M1840" s="2" t="s">
        <v>410</v>
      </c>
      <c r="N1840" s="2" t="str">
        <f aca="false">IF(E1840&gt;0,F1840/E1840,"")</f>
        <v/>
      </c>
      <c r="O1840" s="2" t="str">
        <f aca="false">IF(AND(E1840&gt;0,L1840),J1840/E1840,"")</f>
        <v/>
      </c>
    </row>
    <row r="1841" customFormat="false" ht="15" hidden="false" customHeight="false" outlineLevel="0" collapsed="false">
      <c r="A1841" s="2" t="n">
        <v>2026</v>
      </c>
      <c r="B1841" s="2" t="s">
        <v>90</v>
      </c>
      <c r="C1841" s="2" t="s">
        <v>622</v>
      </c>
      <c r="D1841" s="2" t="s">
        <v>83</v>
      </c>
      <c r="E1841" s="2" t="n">
        <v>10</v>
      </c>
      <c r="F1841" s="2" t="n">
        <v>15</v>
      </c>
      <c r="G1841" s="2" t="n">
        <v>12</v>
      </c>
      <c r="H1841" s="2" t="n">
        <v>4</v>
      </c>
      <c r="I1841" s="2" t="n">
        <v>3</v>
      </c>
      <c r="J1841" s="2" t="n">
        <v>113</v>
      </c>
      <c r="K1841" s="2" t="n">
        <v>134</v>
      </c>
      <c r="L1841" s="11" t="b">
        <f aca="false">TRUE()</f>
        <v>1</v>
      </c>
      <c r="M1841" s="2" t="s">
        <v>406</v>
      </c>
      <c r="N1841" s="2" t="n">
        <f aca="false">IF(E1841&gt;0,F1841/E1841,"")</f>
        <v>1.5</v>
      </c>
      <c r="O1841" s="2" t="n">
        <f aca="false">IF(AND(E1841&gt;0,L1841),J1841/E1841,"")</f>
        <v>11.3</v>
      </c>
    </row>
    <row r="1842" customFormat="false" ht="15" hidden="false" customHeight="false" outlineLevel="0" collapsed="false">
      <c r="A1842" s="2" t="n">
        <v>2026</v>
      </c>
      <c r="B1842" s="2" t="s">
        <v>105</v>
      </c>
      <c r="C1842" s="2" t="s">
        <v>405</v>
      </c>
      <c r="D1842" s="2" t="s">
        <v>83</v>
      </c>
      <c r="E1842" s="2" t="n">
        <v>12</v>
      </c>
      <c r="F1842" s="2" t="n">
        <v>16</v>
      </c>
      <c r="G1842" s="2" t="n">
        <v>12</v>
      </c>
      <c r="H1842" s="2" t="n">
        <v>7</v>
      </c>
      <c r="I1842" s="2" t="n">
        <v>6</v>
      </c>
      <c r="J1842" s="2" t="n">
        <v>92</v>
      </c>
      <c r="K1842" s="2" t="n">
        <v>113</v>
      </c>
      <c r="L1842" s="11" t="b">
        <f aca="false">TRUE()</f>
        <v>1</v>
      </c>
      <c r="M1842" s="2" t="s">
        <v>406</v>
      </c>
      <c r="N1842" s="2" t="n">
        <f aca="false">IF(E1842&gt;0,F1842/E1842,"")</f>
        <v>1.33333333333333</v>
      </c>
      <c r="O1842" s="2" t="n">
        <f aca="false">IF(AND(E1842&gt;0,L1842),J1842/E1842,"")</f>
        <v>7.66666666666667</v>
      </c>
    </row>
    <row r="1843" customFormat="false" ht="15" hidden="false" customHeight="false" outlineLevel="0" collapsed="false">
      <c r="A1843" s="2" t="n">
        <v>2026</v>
      </c>
      <c r="B1843" s="2" t="s">
        <v>280</v>
      </c>
      <c r="C1843" s="2" t="s">
        <v>405</v>
      </c>
      <c r="D1843" s="2" t="s">
        <v>24</v>
      </c>
      <c r="E1843" s="2" t="n">
        <v>4</v>
      </c>
      <c r="F1843" s="2" t="n">
        <v>11</v>
      </c>
      <c r="G1843" s="2" t="n">
        <v>10</v>
      </c>
      <c r="H1843" s="2" t="n">
        <v>7</v>
      </c>
      <c r="I1843" s="2" t="n">
        <v>2</v>
      </c>
      <c r="J1843" s="2" t="n">
        <v>41</v>
      </c>
      <c r="K1843" s="2" t="n">
        <v>55</v>
      </c>
      <c r="L1843" s="11" t="b">
        <f aca="false">TRUE()</f>
        <v>1</v>
      </c>
      <c r="M1843" s="2" t="s">
        <v>406</v>
      </c>
      <c r="N1843" s="2" t="n">
        <f aca="false">IF(E1843&gt;0,F1843/E1843,"")</f>
        <v>2.75</v>
      </c>
      <c r="O1843" s="2" t="n">
        <f aca="false">IF(AND(E1843&gt;0,L1843),J1843/E1843,"")</f>
        <v>10.25</v>
      </c>
    </row>
    <row r="1844" customFormat="false" ht="15" hidden="false" customHeight="false" outlineLevel="0" collapsed="false">
      <c r="A1844" s="2" t="n">
        <v>2026</v>
      </c>
      <c r="B1844" s="2" t="s">
        <v>111</v>
      </c>
      <c r="C1844" s="2" t="s">
        <v>545</v>
      </c>
      <c r="D1844" s="2" t="s">
        <v>83</v>
      </c>
      <c r="E1844" s="2" t="n">
        <v>10</v>
      </c>
      <c r="F1844" s="2" t="n">
        <v>10</v>
      </c>
      <c r="G1844" s="2" t="n">
        <v>7</v>
      </c>
      <c r="H1844" s="2" t="n">
        <v>4</v>
      </c>
      <c r="I1844" s="2" t="n">
        <v>2</v>
      </c>
      <c r="J1844" s="2" t="n">
        <v>54</v>
      </c>
      <c r="K1844" s="2" t="n">
        <v>67</v>
      </c>
      <c r="L1844" s="11" t="b">
        <f aca="false">TRUE()</f>
        <v>1</v>
      </c>
      <c r="M1844" s="2" t="s">
        <v>406</v>
      </c>
      <c r="N1844" s="2" t="n">
        <f aca="false">IF(E1844&gt;0,F1844/E1844,"")</f>
        <v>1</v>
      </c>
      <c r="O1844" s="2" t="n">
        <f aca="false">IF(AND(E1844&gt;0,L1844),J1844/E1844,"")</f>
        <v>5.4</v>
      </c>
    </row>
    <row r="1845" customFormat="false" ht="15" hidden="false" customHeight="false" outlineLevel="0" collapsed="false">
      <c r="A1845" s="2" t="n">
        <v>2026</v>
      </c>
      <c r="B1845" s="2" t="s">
        <v>87</v>
      </c>
      <c r="C1845" s="2" t="s">
        <v>412</v>
      </c>
      <c r="D1845" s="2" t="s">
        <v>29</v>
      </c>
      <c r="E1845" s="2" t="n">
        <v>11</v>
      </c>
      <c r="F1845" s="2" t="n">
        <v>70</v>
      </c>
      <c r="G1845" s="2" t="n">
        <v>50</v>
      </c>
      <c r="H1845" s="2" t="n">
        <v>20</v>
      </c>
      <c r="I1845" s="2" t="n">
        <v>6</v>
      </c>
      <c r="J1845" s="2" t="n">
        <v>168</v>
      </c>
      <c r="K1845" s="2" t="n">
        <v>262</v>
      </c>
      <c r="L1845" s="11" t="b">
        <f aca="false">TRUE()</f>
        <v>1</v>
      </c>
      <c r="M1845" s="2" t="s">
        <v>406</v>
      </c>
      <c r="N1845" s="2" t="n">
        <f aca="false">IF(E1845&gt;0,F1845/E1845,"")</f>
        <v>6.36363636363636</v>
      </c>
      <c r="O1845" s="2" t="n">
        <f aca="false">IF(AND(E1845&gt;0,L1845),J1845/E1845,"")</f>
        <v>15.2727272727273</v>
      </c>
    </row>
    <row r="1846" customFormat="false" ht="15" hidden="false" customHeight="false" outlineLevel="0" collapsed="false">
      <c r="A1846" s="2" t="n">
        <v>2026</v>
      </c>
      <c r="B1846" s="2" t="s">
        <v>508</v>
      </c>
      <c r="C1846" s="2" t="s">
        <v>518</v>
      </c>
      <c r="D1846" s="2" t="s">
        <v>409</v>
      </c>
      <c r="E1846" s="2" t="n">
        <v>2</v>
      </c>
      <c r="F1846" s="2" t="n">
        <v>0</v>
      </c>
      <c r="G1846" s="2" t="n">
        <v>0</v>
      </c>
      <c r="H1846" s="2" t="n">
        <v>0</v>
      </c>
      <c r="I1846" s="2" t="n">
        <v>0</v>
      </c>
      <c r="J1846" s="2" t="n">
        <v>2</v>
      </c>
      <c r="K1846" s="2" t="n">
        <v>2</v>
      </c>
      <c r="L1846" s="11" t="b">
        <f aca="false">TRUE()</f>
        <v>1</v>
      </c>
      <c r="M1846" s="2" t="s">
        <v>410</v>
      </c>
      <c r="N1846" s="2" t="n">
        <f aca="false">IF(E1846&gt;0,F1846/E1846,"")</f>
        <v>0</v>
      </c>
      <c r="O1846" s="2" t="n">
        <f aca="false">IF(AND(E1846&gt;0,L1846),J1846/E1846,"")</f>
        <v>1</v>
      </c>
    </row>
    <row r="1847" customFormat="false" ht="15" hidden="false" customHeight="false" outlineLevel="0" collapsed="false">
      <c r="A1847" s="2" t="n">
        <v>2026</v>
      </c>
      <c r="B1847" s="2" t="s">
        <v>603</v>
      </c>
      <c r="C1847" s="2" t="s">
        <v>412</v>
      </c>
      <c r="D1847" s="2" t="s">
        <v>413</v>
      </c>
      <c r="E1847" s="2" t="n">
        <v>4</v>
      </c>
      <c r="F1847" s="2" t="n">
        <v>2</v>
      </c>
      <c r="G1847" s="2" t="n">
        <v>2</v>
      </c>
      <c r="H1847" s="2" t="n">
        <v>1</v>
      </c>
      <c r="I1847" s="2" t="n">
        <v>0</v>
      </c>
      <c r="J1847" s="2" t="n">
        <v>11</v>
      </c>
      <c r="K1847" s="2" t="n">
        <v>17</v>
      </c>
      <c r="L1847" s="11" t="b">
        <f aca="false">TRUE()</f>
        <v>1</v>
      </c>
      <c r="M1847" s="2" t="s">
        <v>410</v>
      </c>
      <c r="N1847" s="2" t="n">
        <f aca="false">IF(E1847&gt;0,F1847/E1847,"")</f>
        <v>0.5</v>
      </c>
      <c r="O1847" s="2" t="n">
        <f aca="false">IF(AND(E1847&gt;0,L1847),J1847/E1847,"")</f>
        <v>2.75</v>
      </c>
    </row>
    <row r="1848" customFormat="false" ht="15" hidden="false" customHeight="false" outlineLevel="0" collapsed="false">
      <c r="A1848" s="2" t="n">
        <v>2026</v>
      </c>
      <c r="B1848" s="2" t="s">
        <v>57</v>
      </c>
      <c r="C1848" s="2" t="s">
        <v>518</v>
      </c>
      <c r="D1848" s="2" t="s">
        <v>24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11" t="b">
        <f aca="false">TRUE()</f>
        <v>1</v>
      </c>
      <c r="M1848" s="2" t="s">
        <v>410</v>
      </c>
      <c r="N1848" s="2" t="str">
        <f aca="false">IF(E1848&gt;0,F1848/E1848,"")</f>
        <v/>
      </c>
      <c r="O1848" s="2" t="str">
        <f aca="false">IF(AND(E1848&gt;0,L1848),J1848/E1848,"")</f>
        <v/>
      </c>
    </row>
    <row r="1849" customFormat="false" ht="15" hidden="false" customHeight="false" outlineLevel="0" collapsed="false">
      <c r="A1849" s="2" t="n">
        <v>2026</v>
      </c>
      <c r="B1849" s="2" t="s">
        <v>539</v>
      </c>
      <c r="C1849" s="2" t="s">
        <v>405</v>
      </c>
      <c r="D1849" s="2" t="s">
        <v>409</v>
      </c>
      <c r="E1849" s="2" t="n">
        <v>12</v>
      </c>
      <c r="F1849" s="2" t="n">
        <v>1</v>
      </c>
      <c r="G1849" s="2" t="n">
        <v>1</v>
      </c>
      <c r="H1849" s="2" t="n">
        <v>0</v>
      </c>
      <c r="I1849" s="2" t="n">
        <v>0</v>
      </c>
      <c r="J1849" s="2" t="n">
        <v>135</v>
      </c>
      <c r="K1849" s="2" t="n">
        <v>139</v>
      </c>
      <c r="L1849" s="11" t="b">
        <f aca="false">TRUE()</f>
        <v>1</v>
      </c>
      <c r="M1849" s="2" t="s">
        <v>410</v>
      </c>
      <c r="N1849" s="2" t="n">
        <f aca="false">IF(E1849&gt;0,F1849/E1849,"")</f>
        <v>0.0833333333333333</v>
      </c>
      <c r="O1849" s="2" t="n">
        <f aca="false">IF(AND(E1849&gt;0,L1849),J1849/E1849,"")</f>
        <v>11.25</v>
      </c>
    </row>
    <row r="1850" customFormat="false" ht="15" hidden="false" customHeight="false" outlineLevel="0" collapsed="false">
      <c r="A1850" s="2" t="n">
        <v>2026</v>
      </c>
      <c r="B1850" s="2" t="s">
        <v>584</v>
      </c>
      <c r="C1850" s="2" t="s">
        <v>408</v>
      </c>
      <c r="D1850" s="2" t="s">
        <v>409</v>
      </c>
      <c r="E1850" s="2" t="n">
        <v>3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39</v>
      </c>
      <c r="K1850" s="2" t="n">
        <v>39</v>
      </c>
      <c r="L1850" s="11" t="b">
        <f aca="false">TRUE()</f>
        <v>1</v>
      </c>
      <c r="M1850" s="2" t="s">
        <v>410</v>
      </c>
      <c r="N1850" s="2" t="n">
        <f aca="false">IF(E1850&gt;0,F1850/E1850,"")</f>
        <v>0</v>
      </c>
      <c r="O1850" s="2" t="n">
        <f aca="false">IF(AND(E1850&gt;0,L1850),J1850/E1850,"")</f>
        <v>13</v>
      </c>
    </row>
    <row r="1851" customFormat="false" ht="15" hidden="false" customHeight="false" outlineLevel="0" collapsed="false">
      <c r="A1851" s="2" t="n">
        <v>2026</v>
      </c>
      <c r="B1851" s="2" t="s">
        <v>233</v>
      </c>
      <c r="C1851" s="2" t="s">
        <v>518</v>
      </c>
      <c r="D1851" s="2" t="s">
        <v>115</v>
      </c>
      <c r="E1851" s="2" t="n">
        <v>3</v>
      </c>
      <c r="F1851" s="2" t="n">
        <v>5</v>
      </c>
      <c r="G1851" s="2" t="n">
        <v>2</v>
      </c>
      <c r="H1851" s="2" t="n">
        <v>0</v>
      </c>
      <c r="I1851" s="2" t="n">
        <v>0</v>
      </c>
      <c r="J1851" s="2" t="n">
        <v>17</v>
      </c>
      <c r="K1851" s="2" t="n">
        <v>23</v>
      </c>
      <c r="L1851" s="11" t="b">
        <f aca="false">TRUE()</f>
        <v>1</v>
      </c>
      <c r="M1851" s="2" t="s">
        <v>406</v>
      </c>
      <c r="N1851" s="2" t="n">
        <f aca="false">IF(E1851&gt;0,F1851/E1851,"")</f>
        <v>1.66666666666667</v>
      </c>
      <c r="O1851" s="2" t="n">
        <f aca="false">IF(AND(E1851&gt;0,L1851),J1851/E1851,"")</f>
        <v>5.66666666666667</v>
      </c>
    </row>
    <row r="1852" customFormat="false" ht="15" hidden="false" customHeight="false" outlineLevel="0" collapsed="false">
      <c r="A1852" s="2" t="n">
        <v>2026</v>
      </c>
      <c r="B1852" s="2" t="s">
        <v>131</v>
      </c>
      <c r="C1852" s="2" t="s">
        <v>545</v>
      </c>
      <c r="D1852" s="2" t="s">
        <v>29</v>
      </c>
      <c r="E1852" s="2" t="n">
        <v>12</v>
      </c>
      <c r="F1852" s="2" t="n">
        <v>53</v>
      </c>
      <c r="G1852" s="2" t="n">
        <v>34</v>
      </c>
      <c r="H1852" s="2" t="n">
        <v>18</v>
      </c>
      <c r="I1852" s="2" t="n">
        <v>2</v>
      </c>
      <c r="J1852" s="2" t="n">
        <v>217</v>
      </c>
      <c r="K1852" s="2" t="n">
        <v>287</v>
      </c>
      <c r="L1852" s="11" t="b">
        <f aca="false">TRUE()</f>
        <v>1</v>
      </c>
      <c r="M1852" s="2" t="s">
        <v>406</v>
      </c>
      <c r="N1852" s="2" t="n">
        <f aca="false">IF(E1852&gt;0,F1852/E1852,"")</f>
        <v>4.41666666666667</v>
      </c>
      <c r="O1852" s="2" t="n">
        <f aca="false">IF(AND(E1852&gt;0,L1852),J1852/E1852,"")</f>
        <v>18.0833333333333</v>
      </c>
    </row>
    <row r="1853" customFormat="false" ht="15" hidden="false" customHeight="false" outlineLevel="0" collapsed="false">
      <c r="A1853" s="2" t="n">
        <v>2026</v>
      </c>
      <c r="B1853" s="2" t="s">
        <v>296</v>
      </c>
      <c r="C1853" s="2" t="s">
        <v>405</v>
      </c>
      <c r="D1853" s="2" t="s">
        <v>29</v>
      </c>
      <c r="E1853" s="2" t="n">
        <v>2</v>
      </c>
      <c r="F1853" s="2" t="n">
        <v>7</v>
      </c>
      <c r="G1853" s="2" t="n">
        <v>3</v>
      </c>
      <c r="H1853" s="2" t="n">
        <v>0</v>
      </c>
      <c r="I1853" s="2" t="n">
        <v>1</v>
      </c>
      <c r="J1853" s="2" t="n">
        <v>39</v>
      </c>
      <c r="K1853" s="2" t="n">
        <v>48</v>
      </c>
      <c r="L1853" s="11" t="b">
        <f aca="false">TRUE()</f>
        <v>1</v>
      </c>
      <c r="M1853" s="2" t="s">
        <v>410</v>
      </c>
      <c r="N1853" s="2" t="n">
        <f aca="false">IF(E1853&gt;0,F1853/E1853,"")</f>
        <v>3.5</v>
      </c>
      <c r="O1853" s="2" t="n">
        <f aca="false">IF(AND(E1853&gt;0,L1853),J1853/E1853,"")</f>
        <v>19.5</v>
      </c>
    </row>
    <row r="1854" customFormat="false" ht="15" hidden="false" customHeight="false" outlineLevel="0" collapsed="false">
      <c r="A1854" s="2" t="n">
        <v>2026</v>
      </c>
      <c r="B1854" s="2" t="s">
        <v>282</v>
      </c>
      <c r="C1854" s="2" t="s">
        <v>622</v>
      </c>
      <c r="D1854" s="2" t="s">
        <v>115</v>
      </c>
      <c r="E1854" s="2" t="n">
        <v>10</v>
      </c>
      <c r="F1854" s="2" t="n">
        <v>4</v>
      </c>
      <c r="G1854" s="2" t="n">
        <v>0</v>
      </c>
      <c r="H1854" s="2" t="n">
        <v>0</v>
      </c>
      <c r="I1854" s="2" t="n">
        <v>0</v>
      </c>
      <c r="J1854" s="2" t="n">
        <v>21</v>
      </c>
      <c r="K1854" s="2" t="n">
        <v>26</v>
      </c>
      <c r="L1854" s="11" t="b">
        <f aca="false">TRUE()</f>
        <v>1</v>
      </c>
      <c r="M1854" s="2" t="s">
        <v>406</v>
      </c>
      <c r="N1854" s="2" t="n">
        <f aca="false">IF(E1854&gt;0,F1854/E1854,"")</f>
        <v>0.4</v>
      </c>
      <c r="O1854" s="2" t="n">
        <f aca="false">IF(AND(E1854&gt;0,L1854),J1854/E1854,"")</f>
        <v>2.1</v>
      </c>
    </row>
    <row r="1855" customFormat="false" ht="15" hidden="false" customHeight="false" outlineLevel="0" collapsed="false">
      <c r="A1855" s="2" t="n">
        <v>2026</v>
      </c>
      <c r="B1855" s="2" t="s">
        <v>124</v>
      </c>
      <c r="C1855" s="2" t="s">
        <v>518</v>
      </c>
      <c r="D1855" s="2" t="s">
        <v>83</v>
      </c>
      <c r="E1855" s="2" t="n">
        <v>11</v>
      </c>
      <c r="F1855" s="2" t="n">
        <v>9</v>
      </c>
      <c r="G1855" s="2" t="n">
        <v>6</v>
      </c>
      <c r="H1855" s="2" t="n">
        <v>2</v>
      </c>
      <c r="I1855" s="2" t="n">
        <v>2</v>
      </c>
      <c r="J1855" s="2" t="n">
        <v>70</v>
      </c>
      <c r="K1855" s="2" t="n">
        <v>82</v>
      </c>
      <c r="L1855" s="11" t="b">
        <f aca="false">TRUE()</f>
        <v>1</v>
      </c>
      <c r="M1855" s="2" t="s">
        <v>406</v>
      </c>
      <c r="N1855" s="2" t="n">
        <f aca="false">IF(E1855&gt;0,F1855/E1855,"")</f>
        <v>0.818181818181818</v>
      </c>
      <c r="O1855" s="2" t="n">
        <f aca="false">IF(AND(E1855&gt;0,L1855),J1855/E1855,"")</f>
        <v>6.36363636363636</v>
      </c>
    </row>
    <row r="1856" customFormat="false" ht="15" hidden="false" customHeight="false" outlineLevel="0" collapsed="false">
      <c r="A1856" s="2" t="n">
        <v>2026</v>
      </c>
      <c r="B1856" s="2" t="s">
        <v>650</v>
      </c>
      <c r="C1856" s="2" t="s">
        <v>545</v>
      </c>
      <c r="D1856" s="2" t="s">
        <v>83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11" t="b">
        <f aca="false">TRUE()</f>
        <v>1</v>
      </c>
      <c r="M1856" s="2" t="s">
        <v>410</v>
      </c>
      <c r="N1856" s="2" t="str">
        <f aca="false">IF(E1856&gt;0,F1856/E1856,"")</f>
        <v/>
      </c>
      <c r="O1856" s="2" t="str">
        <f aca="false">IF(AND(E1856&gt;0,L1856),J1856/E1856,"")</f>
        <v/>
      </c>
    </row>
    <row r="1857" customFormat="false" ht="15" hidden="false" customHeight="false" outlineLevel="0" collapsed="false">
      <c r="A1857" s="2" t="n">
        <v>2026</v>
      </c>
      <c r="B1857" s="2" t="s">
        <v>633</v>
      </c>
      <c r="C1857" s="2" t="s">
        <v>622</v>
      </c>
      <c r="D1857" s="2" t="s">
        <v>413</v>
      </c>
      <c r="E1857" s="2" t="n">
        <v>12</v>
      </c>
      <c r="F1857" s="2" t="n">
        <v>14</v>
      </c>
      <c r="G1857" s="2" t="n">
        <v>7</v>
      </c>
      <c r="H1857" s="2" t="n">
        <v>2</v>
      </c>
      <c r="I1857" s="2" t="n">
        <v>4</v>
      </c>
      <c r="J1857" s="2" t="n">
        <v>71</v>
      </c>
      <c r="K1857" s="2" t="n">
        <v>94</v>
      </c>
      <c r="L1857" s="11" t="b">
        <f aca="false">TRUE()</f>
        <v>1</v>
      </c>
      <c r="M1857" s="2" t="s">
        <v>410</v>
      </c>
      <c r="N1857" s="2" t="n">
        <f aca="false">IF(E1857&gt;0,F1857/E1857,"")</f>
        <v>1.16666666666667</v>
      </c>
      <c r="O1857" s="2" t="n">
        <f aca="false">IF(AND(E1857&gt;0,L1857),J1857/E1857,"")</f>
        <v>5.91666666666667</v>
      </c>
    </row>
    <row r="1858" customFormat="false" ht="15" hidden="false" customHeight="false" outlineLevel="0" collapsed="false">
      <c r="A1858" s="2" t="n">
        <v>2026</v>
      </c>
      <c r="B1858" s="2" t="s">
        <v>212</v>
      </c>
      <c r="C1858" s="2" t="s">
        <v>412</v>
      </c>
      <c r="D1858" s="2" t="s">
        <v>29</v>
      </c>
      <c r="E1858" s="2" t="n">
        <v>2</v>
      </c>
      <c r="F1858" s="2" t="n">
        <v>7</v>
      </c>
      <c r="G1858" s="2" t="n">
        <v>3</v>
      </c>
      <c r="H1858" s="2" t="n">
        <v>1</v>
      </c>
      <c r="I1858" s="2" t="n">
        <v>1</v>
      </c>
      <c r="J1858" s="2" t="n">
        <v>21</v>
      </c>
      <c r="K1858" s="2" t="n">
        <v>33</v>
      </c>
      <c r="L1858" s="11" t="b">
        <f aca="false">TRUE()</f>
        <v>1</v>
      </c>
      <c r="M1858" s="2" t="s">
        <v>410</v>
      </c>
      <c r="N1858" s="2" t="n">
        <f aca="false">IF(E1858&gt;0,F1858/E1858,"")</f>
        <v>3.5</v>
      </c>
      <c r="O1858" s="2" t="n">
        <f aca="false">IF(AND(E1858&gt;0,L1858),J1858/E1858,"")</f>
        <v>10.5</v>
      </c>
    </row>
    <row r="1859" customFormat="false" ht="15" hidden="false" customHeight="false" outlineLevel="0" collapsed="false">
      <c r="A1859" s="2" t="n">
        <v>2026</v>
      </c>
      <c r="B1859" s="2" t="s">
        <v>189</v>
      </c>
      <c r="C1859" s="2" t="s">
        <v>408</v>
      </c>
      <c r="D1859" s="2" t="s">
        <v>29</v>
      </c>
      <c r="E1859" s="2" t="n">
        <v>1</v>
      </c>
      <c r="F1859" s="2" t="n">
        <v>4</v>
      </c>
      <c r="G1859" s="2" t="n">
        <v>3</v>
      </c>
      <c r="H1859" s="2" t="n">
        <v>0</v>
      </c>
      <c r="I1859" s="2" t="n">
        <v>0</v>
      </c>
      <c r="J1859" s="2" t="n">
        <v>5</v>
      </c>
      <c r="K1859" s="2" t="n">
        <v>9</v>
      </c>
      <c r="L1859" s="11" t="b">
        <f aca="false">TRUE()</f>
        <v>1</v>
      </c>
      <c r="M1859" s="2" t="s">
        <v>410</v>
      </c>
      <c r="N1859" s="2" t="n">
        <f aca="false">IF(E1859&gt;0,F1859/E1859,"")</f>
        <v>4</v>
      </c>
      <c r="O1859" s="2" t="n">
        <f aca="false">IF(AND(E1859&gt;0,L1859),J1859/E1859,"")</f>
        <v>5</v>
      </c>
    </row>
    <row r="1860" customFormat="false" ht="15" hidden="false" customHeight="false" outlineLevel="0" collapsed="false">
      <c r="A1860" s="2" t="n">
        <v>2026</v>
      </c>
      <c r="B1860" s="2" t="s">
        <v>50</v>
      </c>
      <c r="C1860" s="2" t="s">
        <v>518</v>
      </c>
      <c r="D1860" s="2" t="s">
        <v>29</v>
      </c>
      <c r="E1860" s="2" t="n">
        <v>2</v>
      </c>
      <c r="F1860" s="2" t="n">
        <v>5</v>
      </c>
      <c r="G1860" s="2" t="n">
        <v>4</v>
      </c>
      <c r="H1860" s="2" t="n">
        <v>1</v>
      </c>
      <c r="I1860" s="2" t="n">
        <v>0</v>
      </c>
      <c r="J1860" s="2" t="n">
        <v>35</v>
      </c>
      <c r="K1860" s="2" t="n">
        <v>43</v>
      </c>
      <c r="L1860" s="11" t="b">
        <f aca="false">TRUE()</f>
        <v>1</v>
      </c>
      <c r="M1860" s="2" t="s">
        <v>410</v>
      </c>
      <c r="N1860" s="2" t="n">
        <f aca="false">IF(E1860&gt;0,F1860/E1860,"")</f>
        <v>2.5</v>
      </c>
      <c r="O1860" s="2" t="n">
        <f aca="false">IF(AND(E1860&gt;0,L1860),J1860/E1860,"")</f>
        <v>17.5</v>
      </c>
    </row>
    <row r="1861" customFormat="false" ht="15" hidden="false" customHeight="false" outlineLevel="0" collapsed="false">
      <c r="A1861" s="2" t="n">
        <v>2026</v>
      </c>
      <c r="B1861" s="2" t="s">
        <v>342</v>
      </c>
      <c r="C1861" s="2" t="s">
        <v>518</v>
      </c>
      <c r="D1861" s="2" t="s">
        <v>29</v>
      </c>
      <c r="E1861" s="2" t="n">
        <v>4</v>
      </c>
      <c r="F1861" s="2" t="n">
        <v>2</v>
      </c>
      <c r="G1861" s="2" t="n">
        <v>2</v>
      </c>
      <c r="H1861" s="2" t="n">
        <v>2</v>
      </c>
      <c r="I1861" s="2" t="n">
        <v>0</v>
      </c>
      <c r="J1861" s="2" t="n">
        <v>22</v>
      </c>
      <c r="K1861" s="2" t="n">
        <v>26</v>
      </c>
      <c r="L1861" s="11" t="b">
        <f aca="false">TRUE()</f>
        <v>1</v>
      </c>
      <c r="M1861" s="2" t="s">
        <v>406</v>
      </c>
      <c r="N1861" s="2" t="n">
        <f aca="false">IF(E1861&gt;0,F1861/E1861,"")</f>
        <v>0.5</v>
      </c>
      <c r="O1861" s="2" t="n">
        <f aca="false">IF(AND(E1861&gt;0,L1861),J1861/E1861,"")</f>
        <v>5.5</v>
      </c>
    </row>
    <row r="1862" customFormat="false" ht="15" hidden="false" customHeight="false" outlineLevel="0" collapsed="false">
      <c r="A1862" s="2" t="n">
        <v>2026</v>
      </c>
      <c r="B1862" s="2" t="s">
        <v>36</v>
      </c>
      <c r="C1862" s="2" t="s">
        <v>622</v>
      </c>
      <c r="D1862" s="2" t="s">
        <v>24</v>
      </c>
      <c r="E1862" s="2" t="n">
        <v>12</v>
      </c>
      <c r="F1862" s="2" t="n">
        <v>42</v>
      </c>
      <c r="G1862" s="2" t="n">
        <v>34</v>
      </c>
      <c r="H1862" s="2" t="n">
        <v>25</v>
      </c>
      <c r="I1862" s="2" t="n">
        <v>9</v>
      </c>
      <c r="J1862" s="2" t="n">
        <v>240</v>
      </c>
      <c r="K1862" s="2" t="n">
        <v>295</v>
      </c>
      <c r="L1862" s="11" t="b">
        <f aca="false">TRUE()</f>
        <v>1</v>
      </c>
      <c r="M1862" s="2" t="s">
        <v>406</v>
      </c>
      <c r="N1862" s="2" t="n">
        <f aca="false">IF(E1862&gt;0,F1862/E1862,"")</f>
        <v>3.5</v>
      </c>
      <c r="O1862" s="2" t="n">
        <f aca="false">IF(AND(E1862&gt;0,L1862),J1862/E1862,"")</f>
        <v>20</v>
      </c>
    </row>
    <row r="1863" customFormat="false" ht="15" hidden="false" customHeight="false" outlineLevel="0" collapsed="false">
      <c r="A1863" s="2" t="n">
        <v>2026</v>
      </c>
      <c r="B1863" s="2" t="s">
        <v>140</v>
      </c>
      <c r="C1863" s="2" t="s">
        <v>408</v>
      </c>
      <c r="D1863" s="2" t="s">
        <v>117</v>
      </c>
      <c r="E1863" s="2" t="n">
        <v>12</v>
      </c>
      <c r="F1863" s="2" t="n">
        <v>15</v>
      </c>
      <c r="G1863" s="2" t="n">
        <v>6</v>
      </c>
      <c r="H1863" s="2" t="n">
        <v>0</v>
      </c>
      <c r="I1863" s="2" t="n">
        <v>0</v>
      </c>
      <c r="J1863" s="2" t="n">
        <v>110</v>
      </c>
      <c r="K1863" s="2" t="n">
        <v>129</v>
      </c>
      <c r="L1863" s="11" t="b">
        <f aca="false">TRUE()</f>
        <v>1</v>
      </c>
      <c r="M1863" s="2" t="s">
        <v>406</v>
      </c>
      <c r="N1863" s="2" t="n">
        <f aca="false">IF(E1863&gt;0,F1863/E1863,"")</f>
        <v>1.25</v>
      </c>
      <c r="O1863" s="2" t="n">
        <f aca="false">IF(AND(E1863&gt;0,L1863),J1863/E1863,"")</f>
        <v>9.16666666666667</v>
      </c>
    </row>
    <row r="1864" customFormat="false" ht="15" hidden="false" customHeight="false" outlineLevel="0" collapsed="false">
      <c r="A1864" s="2" t="n">
        <v>2026</v>
      </c>
      <c r="B1864" s="2" t="s">
        <v>370</v>
      </c>
      <c r="C1864" s="2" t="s">
        <v>405</v>
      </c>
      <c r="D1864" s="2" t="s">
        <v>115</v>
      </c>
      <c r="E1864" s="2" t="n">
        <v>2</v>
      </c>
      <c r="F1864" s="2" t="n">
        <v>0</v>
      </c>
      <c r="G1864" s="2" t="n">
        <v>0</v>
      </c>
      <c r="H1864" s="2" t="n">
        <v>0</v>
      </c>
      <c r="I1864" s="2" t="n">
        <v>0</v>
      </c>
      <c r="J1864" s="2" t="n">
        <v>11</v>
      </c>
      <c r="K1864" s="2" t="n">
        <v>11</v>
      </c>
      <c r="L1864" s="11" t="b">
        <f aca="false">TRUE()</f>
        <v>1</v>
      </c>
      <c r="M1864" s="2" t="s">
        <v>410</v>
      </c>
      <c r="N1864" s="2" t="n">
        <f aca="false">IF(E1864&gt;0,F1864/E1864,"")</f>
        <v>0</v>
      </c>
      <c r="O1864" s="2" t="n">
        <f aca="false">IF(AND(E1864&gt;0,L1864),J1864/E1864,"")</f>
        <v>5.5</v>
      </c>
    </row>
    <row r="1865" customFormat="false" ht="15" hidden="false" customHeight="false" outlineLevel="0" collapsed="false">
      <c r="A1865" s="2" t="n">
        <v>2026</v>
      </c>
      <c r="B1865" s="2" t="s">
        <v>243</v>
      </c>
      <c r="C1865" s="2" t="s">
        <v>408</v>
      </c>
      <c r="D1865" s="2" t="s">
        <v>117</v>
      </c>
      <c r="E1865" s="2" t="n">
        <v>11</v>
      </c>
      <c r="F1865" s="2" t="n">
        <v>1</v>
      </c>
      <c r="G1865" s="2" t="n">
        <v>0</v>
      </c>
      <c r="H1865" s="2" t="n">
        <v>0</v>
      </c>
      <c r="I1865" s="2" t="n">
        <v>1</v>
      </c>
      <c r="J1865" s="2" t="n">
        <v>30</v>
      </c>
      <c r="K1865" s="2" t="n">
        <v>35</v>
      </c>
      <c r="L1865" s="11" t="b">
        <f aca="false">TRUE()</f>
        <v>1</v>
      </c>
      <c r="M1865" s="2" t="s">
        <v>406</v>
      </c>
      <c r="N1865" s="2" t="n">
        <f aca="false">IF(E1865&gt;0,F1865/E1865,"")</f>
        <v>0.0909090909090909</v>
      </c>
      <c r="O1865" s="2" t="n">
        <f aca="false">IF(AND(E1865&gt;0,L1865),J1865/E1865,"")</f>
        <v>2.72727272727273</v>
      </c>
    </row>
    <row r="1866" customFormat="false" ht="15" hidden="false" customHeight="false" outlineLevel="0" collapsed="false">
      <c r="A1866" s="2" t="n">
        <v>2026</v>
      </c>
      <c r="B1866" s="2" t="s">
        <v>149</v>
      </c>
      <c r="C1866" s="2" t="s">
        <v>518</v>
      </c>
      <c r="D1866" s="2" t="s">
        <v>29</v>
      </c>
      <c r="E1866" s="2" t="n">
        <v>10</v>
      </c>
      <c r="F1866" s="2" t="n">
        <v>35</v>
      </c>
      <c r="G1866" s="2" t="n">
        <v>20</v>
      </c>
      <c r="H1866" s="2" t="n">
        <v>10</v>
      </c>
      <c r="I1866" s="2" t="n">
        <v>8</v>
      </c>
      <c r="J1866" s="2" t="n">
        <v>198</v>
      </c>
      <c r="K1866" s="2" t="n">
        <v>237</v>
      </c>
      <c r="L1866" s="11" t="b">
        <f aca="false">TRUE()</f>
        <v>1</v>
      </c>
      <c r="M1866" s="2" t="s">
        <v>406</v>
      </c>
      <c r="N1866" s="2" t="n">
        <f aca="false">IF(E1866&gt;0,F1866/E1866,"")</f>
        <v>3.5</v>
      </c>
      <c r="O1866" s="2" t="n">
        <f aca="false">IF(AND(E1866&gt;0,L1866),J1866/E1866,"")</f>
        <v>19.8</v>
      </c>
    </row>
    <row r="1867" customFormat="false" ht="15" hidden="false" customHeight="false" outlineLevel="0" collapsed="false">
      <c r="A1867" s="2" t="n">
        <v>2026</v>
      </c>
      <c r="B1867" s="2" t="s">
        <v>198</v>
      </c>
      <c r="C1867" s="2" t="s">
        <v>545</v>
      </c>
      <c r="D1867" s="2" t="s">
        <v>117</v>
      </c>
      <c r="E1867" s="2" t="n">
        <v>0</v>
      </c>
      <c r="F1867" s="2" t="n">
        <v>0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11" t="b">
        <f aca="false">TRUE()</f>
        <v>1</v>
      </c>
      <c r="M1867" s="2" t="s">
        <v>410</v>
      </c>
      <c r="N1867" s="2" t="str">
        <f aca="false">IF(E1867&gt;0,F1867/E1867,"")</f>
        <v/>
      </c>
      <c r="O1867" s="2" t="str">
        <f aca="false">IF(AND(E1867&gt;0,L1867),J1867/E1867,"")</f>
        <v/>
      </c>
    </row>
    <row r="1868" customFormat="false" ht="15" hidden="false" customHeight="false" outlineLevel="0" collapsed="false">
      <c r="A1868" s="2" t="n">
        <v>2026</v>
      </c>
      <c r="B1868" s="2" t="s">
        <v>84</v>
      </c>
      <c r="C1868" s="2" t="s">
        <v>622</v>
      </c>
      <c r="D1868" s="2" t="s">
        <v>29</v>
      </c>
      <c r="E1868" s="2" t="n">
        <v>12</v>
      </c>
      <c r="F1868" s="2" t="n">
        <v>43</v>
      </c>
      <c r="G1868" s="2" t="n">
        <v>32</v>
      </c>
      <c r="H1868" s="2" t="n">
        <v>15</v>
      </c>
      <c r="I1868" s="2" t="n">
        <v>11</v>
      </c>
      <c r="J1868" s="2" t="n">
        <v>212</v>
      </c>
      <c r="K1868" s="2" t="n">
        <v>280</v>
      </c>
      <c r="L1868" s="11" t="b">
        <f aca="false">TRUE()</f>
        <v>1</v>
      </c>
      <c r="M1868" s="2" t="s">
        <v>406</v>
      </c>
      <c r="N1868" s="2" t="n">
        <f aca="false">IF(E1868&gt;0,F1868/E1868,"")</f>
        <v>3.58333333333333</v>
      </c>
      <c r="O1868" s="2" t="n">
        <f aca="false">IF(AND(E1868&gt;0,L1868),J1868/E1868,"")</f>
        <v>17.6666666666667</v>
      </c>
    </row>
    <row r="1869" customFormat="false" ht="15" hidden="false" customHeight="false" outlineLevel="0" collapsed="false">
      <c r="A1869" s="2" t="n">
        <v>2026</v>
      </c>
      <c r="B1869" s="2" t="s">
        <v>152</v>
      </c>
      <c r="C1869" s="2" t="s">
        <v>414</v>
      </c>
      <c r="D1869" s="2" t="s">
        <v>117</v>
      </c>
      <c r="E1869" s="2" t="n">
        <v>12</v>
      </c>
      <c r="F1869" s="2" t="n">
        <v>6</v>
      </c>
      <c r="G1869" s="2" t="n">
        <v>4</v>
      </c>
      <c r="H1869" s="2" t="n">
        <v>1</v>
      </c>
      <c r="I1869" s="2" t="n">
        <v>0</v>
      </c>
      <c r="J1869" s="2" t="n">
        <v>108</v>
      </c>
      <c r="K1869" s="2" t="n">
        <v>120</v>
      </c>
      <c r="L1869" s="11" t="b">
        <f aca="false">TRUE()</f>
        <v>1</v>
      </c>
      <c r="M1869" s="2" t="s">
        <v>406</v>
      </c>
      <c r="N1869" s="2" t="n">
        <f aca="false">IF(E1869&gt;0,F1869/E1869,"")</f>
        <v>0.5</v>
      </c>
      <c r="O1869" s="2" t="n">
        <f aca="false">IF(AND(E1869&gt;0,L1869),J1869/E1869,"")</f>
        <v>9</v>
      </c>
    </row>
  </sheetData>
  <autoFilter ref="A1:O18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26.85" hidden="false" customHeight="false" outlineLevel="0" collapsed="false">
      <c r="A1" s="10" t="s">
        <v>394</v>
      </c>
      <c r="B1" s="10" t="s">
        <v>662</v>
      </c>
      <c r="C1" s="10" t="s">
        <v>663</v>
      </c>
      <c r="D1" s="10" t="s">
        <v>664</v>
      </c>
      <c r="E1" s="10" t="s">
        <v>665</v>
      </c>
      <c r="F1" s="10" t="s">
        <v>666</v>
      </c>
    </row>
    <row r="2" customFormat="false" ht="15" hidden="false" customHeight="false" outlineLevel="0" collapsed="false">
      <c r="A2" s="2" t="n">
        <v>2019</v>
      </c>
      <c r="B2" s="2" t="n">
        <f aca="false">COUNTIFS(Player_Season!$A$2:$A$1869,A2)</f>
        <v>169</v>
      </c>
      <c r="C2" s="2" t="n">
        <f aca="false">COUNTIFS(Player_Season!$A$2:$A$1869,A2,Player_Season!$M$2:$M$1869,"Yes")</f>
        <v>123</v>
      </c>
      <c r="D2" s="2" t="n">
        <f aca="false">SUMIFS(Player_Season!$F$2:$F$1869,Player_Season!$A$2:$A$1869,A2)</f>
        <v>2516</v>
      </c>
      <c r="E2" s="8" t="n">
        <f aca="false">AVERAGEIFS(Player_Season!$N$2:$N$1869,Player_Season!$A$2:$A$1869,A2,Player_Season!$M$2:$M$1869,"Yes")</f>
        <v>2.254316686024</v>
      </c>
      <c r="F2" s="8" t="str">
        <f aca="false">IF(A2&gt;=2022,AVERAGEIFS(Player_Season!$O$2:$O$1869,Player_Season!$A$2:$A$1869,A2,Player_Season!$M$2:$M$1869,"Yes"),"n/a")</f>
        <v>n/a</v>
      </c>
    </row>
    <row r="3" customFormat="false" ht="15" hidden="false" customHeight="false" outlineLevel="0" collapsed="false">
      <c r="A3" s="2" t="n">
        <v>2020</v>
      </c>
      <c r="B3" s="2" t="n">
        <f aca="false">COUNTIFS(Player_Season!$A$2:$A$1869,A3)</f>
        <v>174</v>
      </c>
      <c r="C3" s="2" t="n">
        <f aca="false">COUNTIFS(Player_Season!$A$2:$A$1869,A3,Player_Season!$M$2:$M$1869,"Yes")</f>
        <v>128</v>
      </c>
      <c r="D3" s="2" t="n">
        <f aca="false">SUMIFS(Player_Season!$F$2:$F$1869,Player_Season!$A$2:$A$1869,A3)</f>
        <v>1546</v>
      </c>
      <c r="E3" s="8" t="n">
        <f aca="false">AVERAGEIFS(Player_Season!$N$2:$N$1869,Player_Season!$A$2:$A$1869,A3,Player_Season!$M$2:$M$1869,"Yes")</f>
        <v>2.07862723214286</v>
      </c>
      <c r="F3" s="8" t="str">
        <f aca="false">IF(A3&gt;=2022,AVERAGEIFS(Player_Season!$O$2:$O$1869,Player_Season!$A$2:$A$1869,A3,Player_Season!$M$2:$M$1869,"Yes"),"n/a")</f>
        <v>n/a</v>
      </c>
    </row>
    <row r="4" customFormat="false" ht="15" hidden="false" customHeight="false" outlineLevel="0" collapsed="false">
      <c r="A4" s="2" t="n">
        <v>2021</v>
      </c>
      <c r="B4" s="2" t="n">
        <f aca="false">COUNTIFS(Player_Season!$A$2:$A$1869,A4)</f>
        <v>262</v>
      </c>
      <c r="C4" s="2" t="n">
        <f aca="false">COUNTIFS(Player_Season!$A$2:$A$1869,A4,Player_Season!$M$2:$M$1869,"Yes")</f>
        <v>148</v>
      </c>
      <c r="D4" s="2" t="n">
        <f aca="false">SUMIFS(Player_Season!$F$2:$F$1869,Player_Season!$A$2:$A$1869,A4)</f>
        <v>2864</v>
      </c>
      <c r="E4" s="8" t="n">
        <f aca="false">AVERAGEIFS(Player_Season!$N$2:$N$1869,Player_Season!$A$2:$A$1869,A4,Player_Season!$M$2:$M$1869,"Yes")</f>
        <v>2.43983268983269</v>
      </c>
      <c r="F4" s="8" t="str">
        <f aca="false">IF(A4&gt;=2022,AVERAGEIFS(Player_Season!$O$2:$O$1869,Player_Season!$A$2:$A$1869,A4,Player_Season!$M$2:$M$1869,"Yes"),"n/a")</f>
        <v>n/a</v>
      </c>
    </row>
    <row r="5" customFormat="false" ht="15" hidden="false" customHeight="false" outlineLevel="0" collapsed="false">
      <c r="A5" s="2" t="n">
        <v>2022</v>
      </c>
      <c r="B5" s="2" t="n">
        <f aca="false">COUNTIFS(Player_Season!$A$2:$A$1869,A5)</f>
        <v>247</v>
      </c>
      <c r="C5" s="2" t="n">
        <f aca="false">COUNTIFS(Player_Season!$A$2:$A$1869,A5,Player_Season!$M$2:$M$1869,"Yes")</f>
        <v>157</v>
      </c>
      <c r="D5" s="2" t="n">
        <f aca="false">SUMIFS(Player_Season!$F$2:$F$1869,Player_Season!$A$2:$A$1869,A5)</f>
        <v>3171</v>
      </c>
      <c r="E5" s="8" t="n">
        <f aca="false">AVERAGEIFS(Player_Season!$N$2:$N$1869,Player_Season!$A$2:$A$1869,A5,Player_Season!$M$2:$M$1869,"Yes")</f>
        <v>2.38882317258113</v>
      </c>
      <c r="F5" s="8" t="n">
        <f aca="false">IF(A5&gt;=2022,AVERAGEIFS(Player_Season!$O$2:$O$1869,Player_Season!$A$2:$A$1869,A5,Player_Season!$M$2:$M$1869,"Yes"),"n/a")</f>
        <v>11.2606232939036</v>
      </c>
    </row>
    <row r="6" customFormat="false" ht="15" hidden="false" customHeight="false" outlineLevel="0" collapsed="false">
      <c r="A6" s="2" t="n">
        <v>2023</v>
      </c>
      <c r="B6" s="2" t="n">
        <f aca="false">COUNTIFS(Player_Season!$A$2:$A$1869,A6)</f>
        <v>242</v>
      </c>
      <c r="C6" s="2" t="n">
        <f aca="false">COUNTIFS(Player_Season!$A$2:$A$1869,A6,Player_Season!$M$2:$M$1869,"Yes")</f>
        <v>153</v>
      </c>
      <c r="D6" s="2" t="n">
        <f aca="false">SUMIFS(Player_Season!$F$2:$F$1869,Player_Season!$A$2:$A$1869,A6)</f>
        <v>3354</v>
      </c>
      <c r="E6" s="8" t="n">
        <f aca="false">AVERAGEIFS(Player_Season!$N$2:$N$1869,Player_Season!$A$2:$A$1869,A6,Player_Season!$M$2:$M$1869,"Yes")</f>
        <v>2.46847702043781</v>
      </c>
      <c r="F6" s="8" t="n">
        <f aca="false">IF(A6&gt;=2022,AVERAGEIFS(Player_Season!$O$2:$O$1869,Player_Season!$A$2:$A$1869,A6,Player_Season!$M$2:$M$1869,"Yes"),"n/a")</f>
        <v>11.1793910156655</v>
      </c>
    </row>
    <row r="7" customFormat="false" ht="15" hidden="false" customHeight="false" outlineLevel="0" collapsed="false">
      <c r="A7" s="2" t="n">
        <v>2024</v>
      </c>
      <c r="B7" s="2" t="n">
        <f aca="false">COUNTIFS(Player_Season!$A$2:$A$1869,A7)</f>
        <v>246</v>
      </c>
      <c r="C7" s="2" t="n">
        <f aca="false">COUNTIFS(Player_Season!$A$2:$A$1869,A7,Player_Season!$M$2:$M$1869,"Yes")</f>
        <v>153</v>
      </c>
      <c r="D7" s="2" t="n">
        <f aca="false">SUMIFS(Player_Season!$F$2:$F$1869,Player_Season!$A$2:$A$1869,A7)</f>
        <v>3384</v>
      </c>
      <c r="E7" s="8" t="n">
        <f aca="false">AVERAGEIFS(Player_Season!$N$2:$N$1869,Player_Season!$A$2:$A$1869,A7,Player_Season!$M$2:$M$1869,"Yes")</f>
        <v>2.4940813362382</v>
      </c>
      <c r="F7" s="8" t="n">
        <f aca="false">IF(A7&gt;=2022,AVERAGEIFS(Player_Season!$O$2:$O$1869,Player_Season!$A$2:$A$1869,A7,Player_Season!$M$2:$M$1869,"Yes"),"n/a")</f>
        <v>10.7786233011723</v>
      </c>
    </row>
    <row r="8" customFormat="false" ht="15" hidden="false" customHeight="false" outlineLevel="0" collapsed="false">
      <c r="A8" s="2" t="n">
        <v>2025</v>
      </c>
      <c r="B8" s="2" t="n">
        <f aca="false">COUNTIFS(Player_Season!$A$2:$A$1869,A8)</f>
        <v>251</v>
      </c>
      <c r="C8" s="2" t="n">
        <f aca="false">COUNTIFS(Player_Season!$A$2:$A$1869,A8,Player_Season!$M$2:$M$1869,"Yes")</f>
        <v>154</v>
      </c>
      <c r="D8" s="2" t="n">
        <f aca="false">SUMIFS(Player_Season!$F$2:$F$1869,Player_Season!$A$2:$A$1869,A8)</f>
        <v>3345</v>
      </c>
      <c r="E8" s="8" t="n">
        <f aca="false">AVERAGEIFS(Player_Season!$N$2:$N$1869,Player_Season!$A$2:$A$1869,A8,Player_Season!$M$2:$M$1869,"Yes")</f>
        <v>2.50750103071532</v>
      </c>
      <c r="F8" s="8" t="n">
        <f aca="false">IF(A8&gt;=2022,AVERAGEIFS(Player_Season!$O$2:$O$1869,Player_Season!$A$2:$A$1869,A8,Player_Season!$M$2:$M$1869,"Yes"),"n/a")</f>
        <v>11.0860028860029</v>
      </c>
    </row>
    <row r="9" customFormat="false" ht="15" hidden="false" customHeight="false" outlineLevel="0" collapsed="false">
      <c r="A9" s="2" t="n">
        <v>2026</v>
      </c>
      <c r="B9" s="2" t="n">
        <f aca="false">COUNTIFS(Player_Season!$A$2:$A$1869,A9)</f>
        <v>277</v>
      </c>
      <c r="C9" s="2" t="n">
        <f aca="false">COUNTIFS(Player_Season!$A$2:$A$1869,A9,Player_Season!$M$2:$M$1869,"Yes")</f>
        <v>157</v>
      </c>
      <c r="D9" s="2" t="n">
        <f aca="false">SUMIFS(Player_Season!$F$2:$F$1869,Player_Season!$A$2:$A$1869,A9)</f>
        <v>3953</v>
      </c>
      <c r="E9" s="8" t="n">
        <f aca="false">AVERAGEIFS(Player_Season!$N$2:$N$1869,Player_Season!$A$2:$A$1869,A9,Player_Season!$M$2:$M$1869,"Yes")</f>
        <v>2.47499310668101</v>
      </c>
      <c r="F9" s="8" t="n">
        <f aca="false">IF(A9&gt;=2022,AVERAGEIFS(Player_Season!$O$2:$O$1869,Player_Season!$A$2:$A$1869,A9,Player_Season!$M$2:$M$1869,"Yes"),"n/a")</f>
        <v>11.5338229887593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26.85" hidden="false" customHeight="false" outlineLevel="0" collapsed="false">
      <c r="A1" s="10" t="s">
        <v>15</v>
      </c>
      <c r="B1" s="10" t="s">
        <v>667</v>
      </c>
      <c r="C1" s="10" t="s">
        <v>668</v>
      </c>
      <c r="D1" s="10" t="s">
        <v>669</v>
      </c>
    </row>
    <row r="2" customFormat="false" ht="15" hidden="false" customHeight="false" outlineLevel="0" collapsed="false">
      <c r="A2" s="2" t="s">
        <v>24</v>
      </c>
      <c r="B2" s="2" t="n">
        <f aca="false">COUNTIFS(Player_Season!$D$2:$D$1869,A2,Player_Season!$M$2:$M$1869,"Yes",Player_Season!$A$2:$A$1869,"&gt;=2022")</f>
        <v>153</v>
      </c>
      <c r="C2" s="8" t="n">
        <f aca="false">AVERAGEIFS(Player_Season!$N$2:$N$1869,Player_Season!$D$2:$D$1869,A2,Player_Season!$M$2:$M$1869,"Yes",Player_Season!$A$2:$A$1869,"&gt;=2022")</f>
        <v>5.39884088315461</v>
      </c>
      <c r="D2" s="8" t="n">
        <f aca="false">AVERAGEIFS(Player_Season!$O$2:$O$1869,Player_Season!$D$2:$D$1869,A2,Player_Season!$M$2:$M$1869,"Yes",Player_Season!$A$2:$A$1869,"&gt;=2022")</f>
        <v>20.5586992709542</v>
      </c>
    </row>
    <row r="3" customFormat="false" ht="15" hidden="false" customHeight="false" outlineLevel="0" collapsed="false">
      <c r="A3" s="2" t="s">
        <v>29</v>
      </c>
      <c r="B3" s="2" t="n">
        <f aca="false">COUNTIFS(Player_Season!$D$2:$D$1869,A3,Player_Season!$M$2:$M$1869,"Yes",Player_Season!$A$2:$A$1869,"&gt;=2022")</f>
        <v>243</v>
      </c>
      <c r="C3" s="8" t="n">
        <f aca="false">AVERAGEIFS(Player_Season!$N$2:$N$1869,Player_Season!$D$2:$D$1869,A3,Player_Season!$M$2:$M$1869,"Yes",Player_Season!$A$2:$A$1869,"&gt;=2022")</f>
        <v>3.69787290898402</v>
      </c>
      <c r="D3" s="8" t="n">
        <f aca="false">AVERAGEIFS(Player_Season!$O$2:$O$1869,Player_Season!$D$2:$D$1869,A3,Player_Season!$M$2:$M$1869,"Yes",Player_Season!$A$2:$A$1869,"&gt;=2022")</f>
        <v>14.0173857920772</v>
      </c>
    </row>
    <row r="4" customFormat="false" ht="15" hidden="false" customHeight="false" outlineLevel="0" collapsed="false">
      <c r="A4" s="2" t="s">
        <v>117</v>
      </c>
      <c r="B4" s="2" t="n">
        <f aca="false">COUNTIFS(Player_Season!$D$2:$D$1869,A4,Player_Season!$M$2:$M$1869,"Yes",Player_Season!$A$2:$A$1869,"&gt;=2022")</f>
        <v>146</v>
      </c>
      <c r="C4" s="8" t="n">
        <f aca="false">AVERAGEIFS(Player_Season!$N$2:$N$1869,Player_Season!$D$2:$D$1869,A4,Player_Season!$M$2:$M$1869,"Yes",Player_Season!$A$2:$A$1869,"&gt;=2022")</f>
        <v>0.295459981418886</v>
      </c>
      <c r="D4" s="8" t="n">
        <f aca="false">AVERAGEIFS(Player_Season!$O$2:$O$1869,Player_Season!$D$2:$D$1869,A4,Player_Season!$M$2:$M$1869,"Yes",Player_Season!$A$2:$A$1869,"&gt;=2022")</f>
        <v>5.81809360730594</v>
      </c>
    </row>
    <row r="5" customFormat="false" ht="15" hidden="false" customHeight="false" outlineLevel="0" collapsed="false">
      <c r="A5" s="2" t="s">
        <v>83</v>
      </c>
      <c r="B5" s="2" t="n">
        <f aca="false">COUNTIFS(Player_Season!$D$2:$D$1869,A5,Player_Season!$M$2:$M$1869,"Yes",Player_Season!$A$2:$A$1869,"&gt;=2022")</f>
        <v>142</v>
      </c>
      <c r="C5" s="8" t="n">
        <f aca="false">AVERAGEIFS(Player_Season!$N$2:$N$1869,Player_Season!$D$2:$D$1869,A5,Player_Season!$M$2:$M$1869,"Yes",Player_Season!$A$2:$A$1869,"&gt;=2022")</f>
        <v>0.617044184297706</v>
      </c>
      <c r="D5" s="8" t="n">
        <f aca="false">AVERAGEIFS(Player_Season!$O$2:$O$1869,Player_Season!$D$2:$D$1869,A5,Player_Season!$M$2:$M$1869,"Yes",Player_Season!$A$2:$A$1869,"&gt;=2022")</f>
        <v>6.14656118529358</v>
      </c>
    </row>
    <row r="6" customFormat="false" ht="15" hidden="false" customHeight="false" outlineLevel="0" collapsed="false">
      <c r="A6" s="2" t="s">
        <v>115</v>
      </c>
      <c r="B6" s="2" t="n">
        <f aca="false">COUNTIFS(Player_Season!$D$2:$D$1869,A6,Player_Season!$M$2:$M$1869,"Yes",Player_Season!$A$2:$A$1869,"&gt;=2022")</f>
        <v>90</v>
      </c>
      <c r="C6" s="8" t="n">
        <f aca="false">AVERAGEIFS(Player_Season!$N$2:$N$1869,Player_Season!$D$2:$D$1869,A6,Player_Season!$M$2:$M$1869,"Yes",Player_Season!$A$2:$A$1869,"&gt;=2022")</f>
        <v>0.59647266313933</v>
      </c>
      <c r="D6" s="8" t="n">
        <f aca="false">AVERAGEIFS(Player_Season!$O$2:$O$1869,Player_Season!$D$2:$D$1869,A6,Player_Season!$M$2:$M$1869,"Yes",Player_Season!$A$2:$A$1869,"&gt;=2022")</f>
        <v>4.12877344877345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39.55" hidden="false" customHeight="false" outlineLevel="0" collapsed="false">
      <c r="A1" s="10" t="s">
        <v>14</v>
      </c>
      <c r="B1" s="10" t="s">
        <v>670</v>
      </c>
      <c r="C1" s="10" t="s">
        <v>671</v>
      </c>
      <c r="D1" s="10" t="s">
        <v>672</v>
      </c>
      <c r="E1" s="10" t="s">
        <v>396</v>
      </c>
      <c r="F1" s="10" t="s">
        <v>673</v>
      </c>
      <c r="G1" s="10" t="s">
        <v>403</v>
      </c>
      <c r="H1" s="10" t="s">
        <v>674</v>
      </c>
    </row>
    <row r="2" customFormat="false" ht="15" hidden="false" customHeight="false" outlineLevel="0" collapsed="false">
      <c r="A2" s="2" t="s">
        <v>23</v>
      </c>
      <c r="B2" s="2" t="n">
        <v>8</v>
      </c>
      <c r="C2" s="2" t="n">
        <v>2019</v>
      </c>
      <c r="D2" s="2" t="n">
        <v>2026</v>
      </c>
      <c r="E2" s="2" t="n">
        <f aca="false">SUMIFS(Player_Season!$E$2:$E$1869,Player_Season!$B$2:$B$1869,A2)</f>
        <v>77</v>
      </c>
      <c r="F2" s="2" t="n">
        <f aca="false">SUMIFS(Player_Season!$F$2:$F$1869,Player_Season!$B$2:$B$1869,A2)</f>
        <v>497</v>
      </c>
      <c r="G2" s="2" t="n">
        <f aca="false">IF(E2&gt;0,F2/E2,"")</f>
        <v>6.45454545454545</v>
      </c>
      <c r="H2" s="2" t="s">
        <v>24</v>
      </c>
    </row>
    <row r="3" customFormat="false" ht="15" hidden="false" customHeight="false" outlineLevel="0" collapsed="false">
      <c r="A3" s="2" t="s">
        <v>28</v>
      </c>
      <c r="B3" s="2" t="n">
        <v>8</v>
      </c>
      <c r="C3" s="2" t="n">
        <v>2019</v>
      </c>
      <c r="D3" s="2" t="n">
        <v>2026</v>
      </c>
      <c r="E3" s="2" t="n">
        <f aca="false">SUMIFS(Player_Season!$E$2:$E$1869,Player_Season!$B$2:$B$1869,A3)</f>
        <v>73</v>
      </c>
      <c r="F3" s="2" t="n">
        <f aca="false">SUMIFS(Player_Season!$F$2:$F$1869,Player_Season!$B$2:$B$1869,A3)</f>
        <v>441</v>
      </c>
      <c r="G3" s="2" t="n">
        <f aca="false">IF(E3&gt;0,F3/E3,"")</f>
        <v>6.04109589041096</v>
      </c>
      <c r="H3" s="2" t="s">
        <v>24</v>
      </c>
    </row>
    <row r="4" customFormat="false" ht="15" hidden="false" customHeight="false" outlineLevel="0" collapsed="false">
      <c r="A4" s="2" t="s">
        <v>27</v>
      </c>
      <c r="B4" s="2" t="n">
        <v>8</v>
      </c>
      <c r="C4" s="2" t="n">
        <v>2019</v>
      </c>
      <c r="D4" s="2" t="n">
        <v>2026</v>
      </c>
      <c r="E4" s="2" t="n">
        <f aca="false">SUMIFS(Player_Season!$E$2:$E$1869,Player_Season!$B$2:$B$1869,A4)</f>
        <v>75</v>
      </c>
      <c r="F4" s="2" t="n">
        <f aca="false">SUMIFS(Player_Season!$F$2:$F$1869,Player_Season!$B$2:$B$1869,A4)</f>
        <v>421</v>
      </c>
      <c r="G4" s="2" t="n">
        <f aca="false">IF(E4&gt;0,F4/E4,"")</f>
        <v>5.61333333333333</v>
      </c>
      <c r="H4" s="2" t="s">
        <v>24</v>
      </c>
    </row>
    <row r="5" customFormat="false" ht="15" hidden="false" customHeight="false" outlineLevel="0" collapsed="false">
      <c r="A5" s="2" t="s">
        <v>26</v>
      </c>
      <c r="B5" s="2" t="n">
        <v>7</v>
      </c>
      <c r="C5" s="2" t="n">
        <v>2020</v>
      </c>
      <c r="D5" s="2" t="n">
        <v>2026</v>
      </c>
      <c r="E5" s="2" t="n">
        <f aca="false">SUMIFS(Player_Season!$E$2:$E$1869,Player_Season!$B$2:$B$1869,A5)</f>
        <v>64</v>
      </c>
      <c r="F5" s="2" t="n">
        <f aca="false">SUMIFS(Player_Season!$F$2:$F$1869,Player_Season!$B$2:$B$1869,A5)</f>
        <v>404</v>
      </c>
      <c r="G5" s="2" t="n">
        <f aca="false">IF(E5&gt;0,F5/E5,"")</f>
        <v>6.3125</v>
      </c>
      <c r="H5" s="2" t="s">
        <v>24</v>
      </c>
    </row>
    <row r="6" customFormat="false" ht="15" hidden="false" customHeight="false" outlineLevel="0" collapsed="false">
      <c r="A6" s="2" t="s">
        <v>30</v>
      </c>
      <c r="B6" s="2" t="n">
        <v>8</v>
      </c>
      <c r="C6" s="2" t="n">
        <v>2019</v>
      </c>
      <c r="D6" s="2" t="n">
        <v>2026</v>
      </c>
      <c r="E6" s="2" t="n">
        <f aca="false">SUMIFS(Player_Season!$E$2:$E$1869,Player_Season!$B$2:$B$1869,A6)</f>
        <v>74</v>
      </c>
      <c r="F6" s="2" t="n">
        <f aca="false">SUMIFS(Player_Season!$F$2:$F$1869,Player_Season!$B$2:$B$1869,A6)</f>
        <v>387</v>
      </c>
      <c r="G6" s="2" t="n">
        <f aca="false">IF(E6&gt;0,F6/E6,"")</f>
        <v>5.22972972972973</v>
      </c>
      <c r="H6" s="2" t="s">
        <v>24</v>
      </c>
    </row>
    <row r="7" customFormat="false" ht="15" hidden="false" customHeight="false" outlineLevel="0" collapsed="false">
      <c r="A7" s="2" t="s">
        <v>32</v>
      </c>
      <c r="B7" s="2" t="n">
        <v>7</v>
      </c>
      <c r="C7" s="2" t="n">
        <v>2020</v>
      </c>
      <c r="D7" s="2" t="n">
        <v>2026</v>
      </c>
      <c r="E7" s="2" t="n">
        <f aca="false">SUMIFS(Player_Season!$E$2:$E$1869,Player_Season!$B$2:$B$1869,A7)</f>
        <v>64</v>
      </c>
      <c r="F7" s="2" t="n">
        <f aca="false">SUMIFS(Player_Season!$F$2:$F$1869,Player_Season!$B$2:$B$1869,A7)</f>
        <v>381</v>
      </c>
      <c r="G7" s="2" t="n">
        <f aca="false">IF(E7&gt;0,F7/E7,"")</f>
        <v>5.953125</v>
      </c>
      <c r="H7" s="2" t="s">
        <v>29</v>
      </c>
    </row>
    <row r="8" customFormat="false" ht="15" hidden="false" customHeight="false" outlineLevel="0" collapsed="false">
      <c r="A8" s="2" t="s">
        <v>39</v>
      </c>
      <c r="B8" s="2" t="n">
        <v>8</v>
      </c>
      <c r="C8" s="2" t="n">
        <v>2019</v>
      </c>
      <c r="D8" s="2" t="n">
        <v>2026</v>
      </c>
      <c r="E8" s="2" t="n">
        <f aca="false">SUMIFS(Player_Season!$E$2:$E$1869,Player_Season!$B$2:$B$1869,A8)</f>
        <v>62</v>
      </c>
      <c r="F8" s="2" t="n">
        <f aca="false">SUMIFS(Player_Season!$F$2:$F$1869,Player_Season!$B$2:$B$1869,A8)</f>
        <v>375</v>
      </c>
      <c r="G8" s="2" t="n">
        <f aca="false">IF(E8&gt;0,F8/E8,"")</f>
        <v>6.04838709677419</v>
      </c>
      <c r="H8" s="2" t="s">
        <v>29</v>
      </c>
    </row>
    <row r="9" customFormat="false" ht="15" hidden="false" customHeight="false" outlineLevel="0" collapsed="false">
      <c r="A9" s="2" t="s">
        <v>34</v>
      </c>
      <c r="B9" s="2" t="n">
        <v>8</v>
      </c>
      <c r="C9" s="2" t="n">
        <v>2019</v>
      </c>
      <c r="D9" s="2" t="n">
        <v>2026</v>
      </c>
      <c r="E9" s="2" t="n">
        <f aca="false">SUMIFS(Player_Season!$E$2:$E$1869,Player_Season!$B$2:$B$1869,A9)</f>
        <v>62</v>
      </c>
      <c r="F9" s="2" t="n">
        <f aca="false">SUMIFS(Player_Season!$F$2:$F$1869,Player_Season!$B$2:$B$1869,A9)</f>
        <v>353</v>
      </c>
      <c r="G9" s="2" t="n">
        <f aca="false">IF(E9&gt;0,F9/E9,"")</f>
        <v>5.69354838709677</v>
      </c>
      <c r="H9" s="2" t="s">
        <v>29</v>
      </c>
    </row>
    <row r="10" customFormat="false" ht="15" hidden="false" customHeight="false" outlineLevel="0" collapsed="false">
      <c r="A10" s="2" t="s">
        <v>25</v>
      </c>
      <c r="B10" s="2" t="n">
        <v>6</v>
      </c>
      <c r="C10" s="2" t="n">
        <v>2021</v>
      </c>
      <c r="D10" s="2" t="n">
        <v>2026</v>
      </c>
      <c r="E10" s="2" t="n">
        <f aca="false">SUMIFS(Player_Season!$E$2:$E$1869,Player_Season!$B$2:$B$1869,A10)</f>
        <v>52</v>
      </c>
      <c r="F10" s="2" t="n">
        <f aca="false">SUMIFS(Player_Season!$F$2:$F$1869,Player_Season!$B$2:$B$1869,A10)</f>
        <v>347</v>
      </c>
      <c r="G10" s="2" t="n">
        <f aca="false">IF(E10&gt;0,F10/E10,"")</f>
        <v>6.67307692307692</v>
      </c>
      <c r="H10" s="2" t="s">
        <v>24</v>
      </c>
    </row>
    <row r="11" customFormat="false" ht="15" hidden="false" customHeight="false" outlineLevel="0" collapsed="false">
      <c r="A11" s="2" t="s">
        <v>50</v>
      </c>
      <c r="B11" s="2" t="n">
        <v>7</v>
      </c>
      <c r="C11" s="2" t="n">
        <v>2020</v>
      </c>
      <c r="D11" s="2" t="n">
        <v>2026</v>
      </c>
      <c r="E11" s="2" t="n">
        <f aca="false">SUMIFS(Player_Season!$E$2:$E$1869,Player_Season!$B$2:$B$1869,A11)</f>
        <v>42</v>
      </c>
      <c r="F11" s="2" t="n">
        <f aca="false">SUMIFS(Player_Season!$F$2:$F$1869,Player_Season!$B$2:$B$1869,A11)</f>
        <v>342</v>
      </c>
      <c r="G11" s="2" t="n">
        <f aca="false">IF(E11&gt;0,F11/E11,"")</f>
        <v>8.14285714285714</v>
      </c>
      <c r="H11" s="2" t="s">
        <v>24</v>
      </c>
    </row>
    <row r="12" customFormat="false" ht="15" hidden="false" customHeight="false" outlineLevel="0" collapsed="false">
      <c r="A12" s="2" t="s">
        <v>33</v>
      </c>
      <c r="B12" s="2" t="n">
        <v>6</v>
      </c>
      <c r="C12" s="2" t="n">
        <v>2021</v>
      </c>
      <c r="D12" s="2" t="n">
        <v>2026</v>
      </c>
      <c r="E12" s="2" t="n">
        <f aca="false">SUMIFS(Player_Season!$E$2:$E$1869,Player_Season!$B$2:$B$1869,A12)</f>
        <v>61</v>
      </c>
      <c r="F12" s="2" t="n">
        <f aca="false">SUMIFS(Player_Season!$F$2:$F$1869,Player_Season!$B$2:$B$1869,A12)</f>
        <v>340</v>
      </c>
      <c r="G12" s="2" t="n">
        <f aca="false">IF(E12&gt;0,F12/E12,"")</f>
        <v>5.57377049180328</v>
      </c>
      <c r="H12" s="2" t="s">
        <v>24</v>
      </c>
    </row>
    <row r="13" customFormat="false" ht="15" hidden="false" customHeight="false" outlineLevel="0" collapsed="false">
      <c r="A13" s="2" t="s">
        <v>42</v>
      </c>
      <c r="B13" s="2" t="n">
        <v>8</v>
      </c>
      <c r="C13" s="2" t="n">
        <v>2019</v>
      </c>
      <c r="D13" s="2" t="n">
        <v>2026</v>
      </c>
      <c r="E13" s="2" t="n">
        <f aca="false">SUMIFS(Player_Season!$E$2:$E$1869,Player_Season!$B$2:$B$1869,A13)</f>
        <v>62</v>
      </c>
      <c r="F13" s="2" t="n">
        <f aca="false">SUMIFS(Player_Season!$F$2:$F$1869,Player_Season!$B$2:$B$1869,A13)</f>
        <v>329</v>
      </c>
      <c r="G13" s="2" t="n">
        <f aca="false">IF(E13&gt;0,F13/E13,"")</f>
        <v>5.30645161290323</v>
      </c>
      <c r="H13" s="2" t="s">
        <v>24</v>
      </c>
    </row>
    <row r="14" customFormat="false" ht="15" hidden="false" customHeight="false" outlineLevel="0" collapsed="false">
      <c r="A14" s="2" t="s">
        <v>55</v>
      </c>
      <c r="B14" s="2" t="n">
        <v>6</v>
      </c>
      <c r="C14" s="2" t="n">
        <v>2019</v>
      </c>
      <c r="D14" s="2" t="n">
        <v>2024</v>
      </c>
      <c r="E14" s="2" t="n">
        <f aca="false">SUMIFS(Player_Season!$E$2:$E$1869,Player_Season!$B$2:$B$1869,A14)</f>
        <v>55</v>
      </c>
      <c r="F14" s="2" t="n">
        <f aca="false">SUMIFS(Player_Season!$F$2:$F$1869,Player_Season!$B$2:$B$1869,A14)</f>
        <v>303</v>
      </c>
      <c r="G14" s="2" t="n">
        <f aca="false">IF(E14&gt;0,F14/E14,"")</f>
        <v>5.50909090909091</v>
      </c>
      <c r="H14" s="2" t="s">
        <v>29</v>
      </c>
    </row>
    <row r="15" customFormat="false" ht="15" hidden="false" customHeight="false" outlineLevel="0" collapsed="false">
      <c r="A15" s="2" t="s">
        <v>62</v>
      </c>
      <c r="B15" s="2" t="n">
        <v>7</v>
      </c>
      <c r="C15" s="2" t="n">
        <v>2019</v>
      </c>
      <c r="D15" s="2" t="n">
        <v>2025</v>
      </c>
      <c r="E15" s="2" t="n">
        <f aca="false">SUMIFS(Player_Season!$E$2:$E$1869,Player_Season!$B$2:$B$1869,A15)</f>
        <v>46</v>
      </c>
      <c r="F15" s="2" t="n">
        <f aca="false">SUMIFS(Player_Season!$F$2:$F$1869,Player_Season!$B$2:$B$1869,A15)</f>
        <v>299</v>
      </c>
      <c r="G15" s="2" t="n">
        <f aca="false">IF(E15&gt;0,F15/E15,"")</f>
        <v>6.5</v>
      </c>
      <c r="H15" s="2" t="s">
        <v>24</v>
      </c>
    </row>
    <row r="16" customFormat="false" ht="15" hidden="false" customHeight="false" outlineLevel="0" collapsed="false">
      <c r="A16" s="2" t="s">
        <v>64</v>
      </c>
      <c r="B16" s="2" t="n">
        <v>7</v>
      </c>
      <c r="C16" s="2" t="n">
        <v>2019</v>
      </c>
      <c r="D16" s="2" t="n">
        <v>2025</v>
      </c>
      <c r="E16" s="2" t="n">
        <f aca="false">SUMIFS(Player_Season!$E$2:$E$1869,Player_Season!$B$2:$B$1869,A16)</f>
        <v>50</v>
      </c>
      <c r="F16" s="2" t="n">
        <f aca="false">SUMIFS(Player_Season!$F$2:$F$1869,Player_Season!$B$2:$B$1869,A16)</f>
        <v>297</v>
      </c>
      <c r="G16" s="2" t="n">
        <f aca="false">IF(E16&gt;0,F16/E16,"")</f>
        <v>5.94</v>
      </c>
      <c r="H16" s="2" t="s">
        <v>24</v>
      </c>
    </row>
    <row r="17" customFormat="false" ht="15" hidden="false" customHeight="false" outlineLevel="0" collapsed="false">
      <c r="A17" s="2" t="s">
        <v>43</v>
      </c>
      <c r="B17" s="2" t="n">
        <v>8</v>
      </c>
      <c r="C17" s="2" t="n">
        <v>2019</v>
      </c>
      <c r="D17" s="2" t="n">
        <v>2026</v>
      </c>
      <c r="E17" s="2" t="n">
        <f aca="false">SUMIFS(Player_Season!$E$2:$E$1869,Player_Season!$B$2:$B$1869,A17)</f>
        <v>64</v>
      </c>
      <c r="F17" s="2" t="n">
        <f aca="false">SUMIFS(Player_Season!$F$2:$F$1869,Player_Season!$B$2:$B$1869,A17)</f>
        <v>287</v>
      </c>
      <c r="G17" s="2" t="n">
        <f aca="false">IF(E17&gt;0,F17/E17,"")</f>
        <v>4.484375</v>
      </c>
      <c r="H17" s="2" t="s">
        <v>24</v>
      </c>
    </row>
    <row r="18" customFormat="false" ht="15" hidden="false" customHeight="false" outlineLevel="0" collapsed="false">
      <c r="A18" s="2" t="s">
        <v>31</v>
      </c>
      <c r="B18" s="2" t="n">
        <v>6</v>
      </c>
      <c r="C18" s="2" t="n">
        <v>2021</v>
      </c>
      <c r="D18" s="2" t="n">
        <v>2026</v>
      </c>
      <c r="E18" s="2" t="n">
        <f aca="false">SUMIFS(Player_Season!$E$2:$E$1869,Player_Season!$B$2:$B$1869,A18)</f>
        <v>47</v>
      </c>
      <c r="F18" s="2" t="n">
        <f aca="false">SUMIFS(Player_Season!$F$2:$F$1869,Player_Season!$B$2:$B$1869,A18)</f>
        <v>276</v>
      </c>
      <c r="G18" s="2" t="n">
        <f aca="false">IF(E18&gt;0,F18/E18,"")</f>
        <v>5.87234042553192</v>
      </c>
      <c r="H18" s="2" t="s">
        <v>24</v>
      </c>
    </row>
    <row r="19" customFormat="false" ht="15" hidden="false" customHeight="false" outlineLevel="0" collapsed="false">
      <c r="A19" s="2" t="s">
        <v>40</v>
      </c>
      <c r="B19" s="2" t="n">
        <v>5</v>
      </c>
      <c r="C19" s="2" t="n">
        <v>2022</v>
      </c>
      <c r="D19" s="2" t="n">
        <v>2026</v>
      </c>
      <c r="E19" s="2" t="n">
        <f aca="false">SUMIFS(Player_Season!$E$2:$E$1869,Player_Season!$B$2:$B$1869,A19)</f>
        <v>44</v>
      </c>
      <c r="F19" s="2" t="n">
        <f aca="false">SUMIFS(Player_Season!$F$2:$F$1869,Player_Season!$B$2:$B$1869,A19)</f>
        <v>270</v>
      </c>
      <c r="G19" s="2" t="n">
        <f aca="false">IF(E19&gt;0,F19/E19,"")</f>
        <v>6.13636363636364</v>
      </c>
      <c r="H19" s="2" t="s">
        <v>29</v>
      </c>
    </row>
    <row r="20" customFormat="false" ht="15" hidden="false" customHeight="false" outlineLevel="0" collapsed="false">
      <c r="A20" s="2" t="s">
        <v>38</v>
      </c>
      <c r="B20" s="2" t="n">
        <v>6</v>
      </c>
      <c r="C20" s="2" t="n">
        <v>2021</v>
      </c>
      <c r="D20" s="2" t="n">
        <v>2026</v>
      </c>
      <c r="E20" s="2" t="n">
        <f aca="false">SUMIFS(Player_Season!$E$2:$E$1869,Player_Season!$B$2:$B$1869,A20)</f>
        <v>42</v>
      </c>
      <c r="F20" s="2" t="n">
        <f aca="false">SUMIFS(Player_Season!$F$2:$F$1869,Player_Season!$B$2:$B$1869,A20)</f>
        <v>268</v>
      </c>
      <c r="G20" s="2" t="n">
        <f aca="false">IF(E20&gt;0,F20/E20,"")</f>
        <v>6.38095238095238</v>
      </c>
      <c r="H20" s="2" t="s">
        <v>24</v>
      </c>
    </row>
    <row r="21" customFormat="false" ht="15" hidden="false" customHeight="false" outlineLevel="0" collapsed="false">
      <c r="A21" s="2" t="s">
        <v>69</v>
      </c>
      <c r="B21" s="2" t="n">
        <v>6</v>
      </c>
      <c r="C21" s="2" t="n">
        <v>2019</v>
      </c>
      <c r="D21" s="2" t="n">
        <v>2024</v>
      </c>
      <c r="E21" s="2" t="n">
        <f aca="false">SUMIFS(Player_Season!$E$2:$E$1869,Player_Season!$B$2:$B$1869,A21)</f>
        <v>48</v>
      </c>
      <c r="F21" s="2" t="n">
        <f aca="false">SUMIFS(Player_Season!$F$2:$F$1869,Player_Season!$B$2:$B$1869,A21)</f>
        <v>257</v>
      </c>
      <c r="G21" s="2" t="n">
        <f aca="false">IF(E21&gt;0,F21/E21,"")</f>
        <v>5.35416666666667</v>
      </c>
      <c r="H21" s="2" t="s">
        <v>24</v>
      </c>
    </row>
    <row r="22" customFormat="false" ht="15" hidden="false" customHeight="false" outlineLevel="0" collapsed="false">
      <c r="A22" s="2" t="s">
        <v>58</v>
      </c>
      <c r="B22" s="2" t="n">
        <v>8</v>
      </c>
      <c r="C22" s="2" t="n">
        <v>2019</v>
      </c>
      <c r="D22" s="2" t="n">
        <v>2026</v>
      </c>
      <c r="E22" s="2" t="n">
        <f aca="false">SUMIFS(Player_Season!$E$2:$E$1869,Player_Season!$B$2:$B$1869,A22)</f>
        <v>60</v>
      </c>
      <c r="F22" s="2" t="n">
        <f aca="false">SUMIFS(Player_Season!$F$2:$F$1869,Player_Season!$B$2:$B$1869,A22)</f>
        <v>253</v>
      </c>
      <c r="G22" s="2" t="n">
        <f aca="false">IF(E22&gt;0,F22/E22,"")</f>
        <v>4.21666666666667</v>
      </c>
      <c r="H22" s="2" t="s">
        <v>29</v>
      </c>
    </row>
    <row r="23" customFormat="false" ht="15" hidden="false" customHeight="false" outlineLevel="0" collapsed="false">
      <c r="A23" s="2" t="s">
        <v>35</v>
      </c>
      <c r="B23" s="2" t="n">
        <v>3</v>
      </c>
      <c r="C23" s="2" t="n">
        <v>2024</v>
      </c>
      <c r="D23" s="2" t="n">
        <v>2026</v>
      </c>
      <c r="E23" s="2" t="n">
        <f aca="false">SUMIFS(Player_Season!$E$2:$E$1869,Player_Season!$B$2:$B$1869,A23)</f>
        <v>31</v>
      </c>
      <c r="F23" s="2" t="n">
        <f aca="false">SUMIFS(Player_Season!$F$2:$F$1869,Player_Season!$B$2:$B$1869,A23)</f>
        <v>251</v>
      </c>
      <c r="G23" s="2" t="n">
        <f aca="false">IF(E23&gt;0,F23/E23,"")</f>
        <v>8.09677419354839</v>
      </c>
      <c r="H23" s="2" t="s">
        <v>24</v>
      </c>
    </row>
    <row r="24" customFormat="false" ht="15" hidden="false" customHeight="false" outlineLevel="0" collapsed="false">
      <c r="A24" s="2" t="s">
        <v>74</v>
      </c>
      <c r="B24" s="2" t="n">
        <v>7</v>
      </c>
      <c r="C24" s="2" t="n">
        <v>2019</v>
      </c>
      <c r="D24" s="2" t="n">
        <v>2025</v>
      </c>
      <c r="E24" s="2" t="n">
        <f aca="false">SUMIFS(Player_Season!$E$2:$E$1869,Player_Season!$B$2:$B$1869,A24)</f>
        <v>56</v>
      </c>
      <c r="F24" s="2" t="n">
        <f aca="false">SUMIFS(Player_Season!$F$2:$F$1869,Player_Season!$B$2:$B$1869,A24)</f>
        <v>240</v>
      </c>
      <c r="G24" s="2" t="n">
        <f aca="false">IF(E24&gt;0,F24/E24,"")</f>
        <v>4.28571428571429</v>
      </c>
      <c r="H24" s="2" t="s">
        <v>29</v>
      </c>
    </row>
    <row r="25" customFormat="false" ht="15" hidden="false" customHeight="false" outlineLevel="0" collapsed="false">
      <c r="A25" s="2" t="s">
        <v>86</v>
      </c>
      <c r="B25" s="2" t="n">
        <v>8</v>
      </c>
      <c r="C25" s="2" t="n">
        <v>2019</v>
      </c>
      <c r="D25" s="2" t="n">
        <v>2026</v>
      </c>
      <c r="E25" s="2" t="n">
        <f aca="false">SUMIFS(Player_Season!$E$2:$E$1869,Player_Season!$B$2:$B$1869,A25)</f>
        <v>53</v>
      </c>
      <c r="F25" s="2" t="n">
        <f aca="false">SUMIFS(Player_Season!$F$2:$F$1869,Player_Season!$B$2:$B$1869,A25)</f>
        <v>228</v>
      </c>
      <c r="G25" s="2" t="n">
        <f aca="false">IF(E25&gt;0,F25/E25,"")</f>
        <v>4.30188679245283</v>
      </c>
      <c r="H25" s="2" t="s">
        <v>29</v>
      </c>
    </row>
    <row r="26" customFormat="false" ht="15" hidden="false" customHeight="false" outlineLevel="0" collapsed="false">
      <c r="A26" s="2" t="s">
        <v>201</v>
      </c>
      <c r="B26" s="2" t="n">
        <v>4</v>
      </c>
      <c r="C26" s="2" t="n">
        <v>2019</v>
      </c>
      <c r="D26" s="2" t="n">
        <v>2022</v>
      </c>
      <c r="E26" s="2" t="n">
        <f aca="false">SUMIFS(Player_Season!$E$2:$E$1869,Player_Season!$B$2:$B$1869,A26)</f>
        <v>31</v>
      </c>
      <c r="F26" s="2" t="n">
        <f aca="false">SUMIFS(Player_Season!$F$2:$F$1869,Player_Season!$B$2:$B$1869,A26)</f>
        <v>217</v>
      </c>
      <c r="G26" s="2" t="n">
        <f aca="false">IF(E26&gt;0,F26/E26,"")</f>
        <v>7</v>
      </c>
      <c r="H26" s="2" t="s">
        <v>24</v>
      </c>
    </row>
    <row r="27" customFormat="false" ht="15" hidden="false" customHeight="false" outlineLevel="0" collapsed="false">
      <c r="A27" s="2" t="s">
        <v>47</v>
      </c>
      <c r="B27" s="2" t="n">
        <v>4</v>
      </c>
      <c r="C27" s="2" t="n">
        <v>2023</v>
      </c>
      <c r="D27" s="2" t="n">
        <v>2026</v>
      </c>
      <c r="E27" s="2" t="n">
        <f aca="false">SUMIFS(Player_Season!$E$2:$E$1869,Player_Season!$B$2:$B$1869,A27)</f>
        <v>42</v>
      </c>
      <c r="F27" s="2" t="n">
        <f aca="false">SUMIFS(Player_Season!$F$2:$F$1869,Player_Season!$B$2:$B$1869,A27)</f>
        <v>215</v>
      </c>
      <c r="G27" s="2" t="n">
        <f aca="false">IF(E27&gt;0,F27/E27,"")</f>
        <v>5.11904761904762</v>
      </c>
      <c r="H27" s="2" t="s">
        <v>29</v>
      </c>
    </row>
    <row r="28" customFormat="false" ht="15" hidden="false" customHeight="false" outlineLevel="0" collapsed="false">
      <c r="A28" s="2" t="s">
        <v>52</v>
      </c>
      <c r="B28" s="2" t="n">
        <v>8</v>
      </c>
      <c r="C28" s="2" t="n">
        <v>2019</v>
      </c>
      <c r="D28" s="2" t="n">
        <v>2026</v>
      </c>
      <c r="E28" s="2" t="n">
        <f aca="false">SUMIFS(Player_Season!$E$2:$E$1869,Player_Season!$B$2:$B$1869,A28)</f>
        <v>75</v>
      </c>
      <c r="F28" s="2" t="n">
        <f aca="false">SUMIFS(Player_Season!$F$2:$F$1869,Player_Season!$B$2:$B$1869,A28)</f>
        <v>215</v>
      </c>
      <c r="G28" s="2" t="n">
        <f aca="false">IF(E28&gt;0,F28/E28,"")</f>
        <v>2.86666666666667</v>
      </c>
      <c r="H28" s="2" t="s">
        <v>29</v>
      </c>
    </row>
    <row r="29" customFormat="false" ht="15" hidden="false" customHeight="false" outlineLevel="0" collapsed="false">
      <c r="A29" s="2" t="s">
        <v>41</v>
      </c>
      <c r="B29" s="2" t="n">
        <v>3</v>
      </c>
      <c r="C29" s="2" t="n">
        <v>2024</v>
      </c>
      <c r="D29" s="2" t="n">
        <v>2026</v>
      </c>
      <c r="E29" s="2" t="n">
        <f aca="false">SUMIFS(Player_Season!$E$2:$E$1869,Player_Season!$B$2:$B$1869,A29)</f>
        <v>32</v>
      </c>
      <c r="F29" s="2" t="n">
        <f aca="false">SUMIFS(Player_Season!$F$2:$F$1869,Player_Season!$B$2:$B$1869,A29)</f>
        <v>215</v>
      </c>
      <c r="G29" s="2" t="n">
        <f aca="false">IF(E29&gt;0,F29/E29,"")</f>
        <v>6.71875</v>
      </c>
      <c r="H29" s="2" t="s">
        <v>24</v>
      </c>
    </row>
    <row r="30" customFormat="false" ht="15" hidden="false" customHeight="false" outlineLevel="0" collapsed="false">
      <c r="A30" s="2" t="s">
        <v>36</v>
      </c>
      <c r="B30" s="2" t="n">
        <v>5</v>
      </c>
      <c r="C30" s="2" t="n">
        <v>2022</v>
      </c>
      <c r="D30" s="2" t="n">
        <v>2026</v>
      </c>
      <c r="E30" s="2" t="n">
        <f aca="false">SUMIFS(Player_Season!$E$2:$E$1869,Player_Season!$B$2:$B$1869,A30)</f>
        <v>42</v>
      </c>
      <c r="F30" s="2" t="n">
        <f aca="false">SUMIFS(Player_Season!$F$2:$F$1869,Player_Season!$B$2:$B$1869,A30)</f>
        <v>208</v>
      </c>
      <c r="G30" s="2" t="n">
        <f aca="false">IF(E30&gt;0,F30/E30,"")</f>
        <v>4.95238095238095</v>
      </c>
      <c r="H30" s="2" t="s">
        <v>24</v>
      </c>
    </row>
    <row r="31" customFormat="false" ht="15" hidden="false" customHeight="false" outlineLevel="0" collapsed="false">
      <c r="A31" s="2" t="s">
        <v>70</v>
      </c>
      <c r="B31" s="2" t="n">
        <v>8</v>
      </c>
      <c r="C31" s="2" t="n">
        <v>2019</v>
      </c>
      <c r="D31" s="2" t="n">
        <v>2026</v>
      </c>
      <c r="E31" s="2" t="n">
        <f aca="false">SUMIFS(Player_Season!$E$2:$E$1869,Player_Season!$B$2:$B$1869,A31)</f>
        <v>42</v>
      </c>
      <c r="F31" s="2" t="n">
        <f aca="false">SUMIFS(Player_Season!$F$2:$F$1869,Player_Season!$B$2:$B$1869,A31)</f>
        <v>204</v>
      </c>
      <c r="G31" s="2" t="n">
        <f aca="false">IF(E31&gt;0,F31/E31,"")</f>
        <v>4.85714285714286</v>
      </c>
      <c r="H31" s="2" t="s">
        <v>24</v>
      </c>
    </row>
    <row r="32" customFormat="false" ht="15" hidden="false" customHeight="false" outlineLevel="0" collapsed="false">
      <c r="A32" s="2" t="s">
        <v>49</v>
      </c>
      <c r="B32" s="2" t="n">
        <v>6</v>
      </c>
      <c r="C32" s="2" t="n">
        <v>2021</v>
      </c>
      <c r="D32" s="2" t="n">
        <v>2026</v>
      </c>
      <c r="E32" s="2" t="n">
        <f aca="false">SUMIFS(Player_Season!$E$2:$E$1869,Player_Season!$B$2:$B$1869,A32)</f>
        <v>61</v>
      </c>
      <c r="F32" s="2" t="n">
        <f aca="false">SUMIFS(Player_Season!$F$2:$F$1869,Player_Season!$B$2:$B$1869,A32)</f>
        <v>197</v>
      </c>
      <c r="G32" s="2" t="n">
        <f aca="false">IF(E32&gt;0,F32/E32,"")</f>
        <v>3.22950819672131</v>
      </c>
      <c r="H32" s="2" t="s">
        <v>29</v>
      </c>
    </row>
    <row r="33" customFormat="false" ht="15" hidden="false" customHeight="false" outlineLevel="0" collapsed="false">
      <c r="A33" s="2" t="s">
        <v>73</v>
      </c>
      <c r="B33" s="2" t="n">
        <v>7</v>
      </c>
      <c r="C33" s="2" t="n">
        <v>2019</v>
      </c>
      <c r="D33" s="2" t="n">
        <v>2025</v>
      </c>
      <c r="E33" s="2" t="n">
        <f aca="false">SUMIFS(Player_Season!$E$2:$E$1869,Player_Season!$B$2:$B$1869,A33)</f>
        <v>50</v>
      </c>
      <c r="F33" s="2" t="n">
        <f aca="false">SUMIFS(Player_Season!$F$2:$F$1869,Player_Season!$B$2:$B$1869,A33)</f>
        <v>194</v>
      </c>
      <c r="G33" s="2" t="n">
        <f aca="false">IF(E33&gt;0,F33/E33,"")</f>
        <v>3.88</v>
      </c>
      <c r="H33" s="2" t="s">
        <v>24</v>
      </c>
    </row>
    <row r="34" customFormat="false" ht="15" hidden="false" customHeight="false" outlineLevel="0" collapsed="false">
      <c r="A34" s="2" t="s">
        <v>48</v>
      </c>
      <c r="B34" s="2" t="n">
        <v>6</v>
      </c>
      <c r="C34" s="2" t="n">
        <v>2021</v>
      </c>
      <c r="D34" s="2" t="n">
        <v>2026</v>
      </c>
      <c r="E34" s="2" t="n">
        <f aca="false">SUMIFS(Player_Season!$E$2:$E$1869,Player_Season!$B$2:$B$1869,A34)</f>
        <v>50</v>
      </c>
      <c r="F34" s="2" t="n">
        <f aca="false">SUMIFS(Player_Season!$F$2:$F$1869,Player_Season!$B$2:$B$1869,A34)</f>
        <v>192</v>
      </c>
      <c r="G34" s="2" t="n">
        <f aca="false">IF(E34&gt;0,F34/E34,"")</f>
        <v>3.84</v>
      </c>
      <c r="H34" s="2" t="s">
        <v>24</v>
      </c>
    </row>
    <row r="35" customFormat="false" ht="15" hidden="false" customHeight="false" outlineLevel="0" collapsed="false">
      <c r="A35" s="2" t="s">
        <v>54</v>
      </c>
      <c r="B35" s="2" t="n">
        <v>7</v>
      </c>
      <c r="C35" s="2" t="n">
        <v>2020</v>
      </c>
      <c r="D35" s="2" t="n">
        <v>2026</v>
      </c>
      <c r="E35" s="2" t="n">
        <f aca="false">SUMIFS(Player_Season!$E$2:$E$1869,Player_Season!$B$2:$B$1869,A35)</f>
        <v>46</v>
      </c>
      <c r="F35" s="2" t="n">
        <f aca="false">SUMIFS(Player_Season!$F$2:$F$1869,Player_Season!$B$2:$B$1869,A35)</f>
        <v>188</v>
      </c>
      <c r="G35" s="2" t="n">
        <f aca="false">IF(E35&gt;0,F35/E35,"")</f>
        <v>4.08695652173913</v>
      </c>
      <c r="H35" s="2" t="s">
        <v>24</v>
      </c>
    </row>
    <row r="36" customFormat="false" ht="15" hidden="false" customHeight="false" outlineLevel="0" collapsed="false">
      <c r="A36" s="2" t="s">
        <v>37</v>
      </c>
      <c r="B36" s="2" t="n">
        <v>5</v>
      </c>
      <c r="C36" s="2" t="n">
        <v>2022</v>
      </c>
      <c r="D36" s="2" t="n">
        <v>2026</v>
      </c>
      <c r="E36" s="2" t="n">
        <f aca="false">SUMIFS(Player_Season!$E$2:$E$1869,Player_Season!$B$2:$B$1869,A36)</f>
        <v>41</v>
      </c>
      <c r="F36" s="2" t="n">
        <f aca="false">SUMIFS(Player_Season!$F$2:$F$1869,Player_Season!$B$2:$B$1869,A36)</f>
        <v>186</v>
      </c>
      <c r="G36" s="2" t="n">
        <f aca="false">IF(E36&gt;0,F36/E36,"")</f>
        <v>4.53658536585366</v>
      </c>
      <c r="H36" s="2" t="s">
        <v>24</v>
      </c>
    </row>
    <row r="37" customFormat="false" ht="15" hidden="false" customHeight="false" outlineLevel="0" collapsed="false">
      <c r="A37" s="2" t="s">
        <v>68</v>
      </c>
      <c r="B37" s="2" t="n">
        <v>8</v>
      </c>
      <c r="C37" s="2" t="n">
        <v>2019</v>
      </c>
      <c r="D37" s="2" t="n">
        <v>2026</v>
      </c>
      <c r="E37" s="2" t="n">
        <f aca="false">SUMIFS(Player_Season!$E$2:$E$1869,Player_Season!$B$2:$B$1869,A37)</f>
        <v>51</v>
      </c>
      <c r="F37" s="2" t="n">
        <f aca="false">SUMIFS(Player_Season!$F$2:$F$1869,Player_Season!$B$2:$B$1869,A37)</f>
        <v>185</v>
      </c>
      <c r="G37" s="2" t="n">
        <f aca="false">IF(E37&gt;0,F37/E37,"")</f>
        <v>3.62745098039216</v>
      </c>
      <c r="H37" s="2" t="s">
        <v>24</v>
      </c>
    </row>
    <row r="38" customFormat="false" ht="15" hidden="false" customHeight="false" outlineLevel="0" collapsed="false">
      <c r="A38" s="2" t="s">
        <v>66</v>
      </c>
      <c r="B38" s="2" t="n">
        <v>6</v>
      </c>
      <c r="C38" s="2" t="n">
        <v>2021</v>
      </c>
      <c r="D38" s="2" t="n">
        <v>2026</v>
      </c>
      <c r="E38" s="2" t="n">
        <f aca="false">SUMIFS(Player_Season!$E$2:$E$1869,Player_Season!$B$2:$B$1869,A38)</f>
        <v>56</v>
      </c>
      <c r="F38" s="2" t="n">
        <f aca="false">SUMIFS(Player_Season!$F$2:$F$1869,Player_Season!$B$2:$B$1869,A38)</f>
        <v>181</v>
      </c>
      <c r="G38" s="2" t="n">
        <f aca="false">IF(E38&gt;0,F38/E38,"")</f>
        <v>3.23214285714286</v>
      </c>
      <c r="H38" s="2" t="s">
        <v>24</v>
      </c>
    </row>
    <row r="39" customFormat="false" ht="15" hidden="false" customHeight="false" outlineLevel="0" collapsed="false">
      <c r="A39" s="2" t="s">
        <v>45</v>
      </c>
      <c r="B39" s="2" t="n">
        <v>4</v>
      </c>
      <c r="C39" s="2" t="n">
        <v>2023</v>
      </c>
      <c r="D39" s="2" t="n">
        <v>2026</v>
      </c>
      <c r="E39" s="2" t="n">
        <f aca="false">SUMIFS(Player_Season!$E$2:$E$1869,Player_Season!$B$2:$B$1869,A39)</f>
        <v>34</v>
      </c>
      <c r="F39" s="2" t="n">
        <f aca="false">SUMIFS(Player_Season!$F$2:$F$1869,Player_Season!$B$2:$B$1869,A39)</f>
        <v>179</v>
      </c>
      <c r="G39" s="2" t="n">
        <f aca="false">IF(E39&gt;0,F39/E39,"")</f>
        <v>5.26470588235294</v>
      </c>
      <c r="H39" s="2" t="s">
        <v>29</v>
      </c>
    </row>
    <row r="40" customFormat="false" ht="15" hidden="false" customHeight="false" outlineLevel="0" collapsed="false">
      <c r="A40" s="2" t="s">
        <v>126</v>
      </c>
      <c r="B40" s="2" t="n">
        <v>5</v>
      </c>
      <c r="C40" s="2" t="n">
        <v>2019</v>
      </c>
      <c r="D40" s="2" t="n">
        <v>2023</v>
      </c>
      <c r="E40" s="2" t="n">
        <f aca="false">SUMIFS(Player_Season!$E$2:$E$1869,Player_Season!$B$2:$B$1869,A40)</f>
        <v>41</v>
      </c>
      <c r="F40" s="2" t="n">
        <f aca="false">SUMIFS(Player_Season!$F$2:$F$1869,Player_Season!$B$2:$B$1869,A40)</f>
        <v>179</v>
      </c>
      <c r="G40" s="2" t="n">
        <f aca="false">IF(E40&gt;0,F40/E40,"")</f>
        <v>4.36585365853659</v>
      </c>
      <c r="H40" s="2" t="s">
        <v>29</v>
      </c>
    </row>
    <row r="41" customFormat="false" ht="15" hidden="false" customHeight="false" outlineLevel="0" collapsed="false">
      <c r="A41" s="2" t="s">
        <v>44</v>
      </c>
      <c r="B41" s="2" t="n">
        <v>4</v>
      </c>
      <c r="C41" s="2" t="n">
        <v>2022</v>
      </c>
      <c r="D41" s="2" t="n">
        <v>2025</v>
      </c>
      <c r="E41" s="2" t="n">
        <f aca="false">SUMIFS(Player_Season!$E$2:$E$1869,Player_Season!$B$2:$B$1869,A41)</f>
        <v>28</v>
      </c>
      <c r="F41" s="2" t="n">
        <f aca="false">SUMIFS(Player_Season!$F$2:$F$1869,Player_Season!$B$2:$B$1869,A41)</f>
        <v>172</v>
      </c>
      <c r="G41" s="2" t="n">
        <f aca="false">IF(E41&gt;0,F41/E41,"")</f>
        <v>6.14285714285714</v>
      </c>
      <c r="H41" s="2" t="s">
        <v>24</v>
      </c>
    </row>
    <row r="42" customFormat="false" ht="15" hidden="false" customHeight="false" outlineLevel="0" collapsed="false">
      <c r="A42" s="2" t="s">
        <v>46</v>
      </c>
      <c r="B42" s="2" t="n">
        <v>7</v>
      </c>
      <c r="C42" s="2" t="n">
        <v>2020</v>
      </c>
      <c r="D42" s="2" t="n">
        <v>2026</v>
      </c>
      <c r="E42" s="2" t="n">
        <f aca="false">SUMIFS(Player_Season!$E$2:$E$1869,Player_Season!$B$2:$B$1869,A42)</f>
        <v>64</v>
      </c>
      <c r="F42" s="2" t="n">
        <f aca="false">SUMIFS(Player_Season!$F$2:$F$1869,Player_Season!$B$2:$B$1869,A42)</f>
        <v>169</v>
      </c>
      <c r="G42" s="2" t="n">
        <f aca="false">IF(E42&gt;0,F42/E42,"")</f>
        <v>2.640625</v>
      </c>
      <c r="H42" s="2" t="s">
        <v>29</v>
      </c>
    </row>
    <row r="43" customFormat="false" ht="15" hidden="false" customHeight="false" outlineLevel="0" collapsed="false">
      <c r="A43" s="2" t="s">
        <v>59</v>
      </c>
      <c r="B43" s="2" t="n">
        <v>6</v>
      </c>
      <c r="C43" s="2" t="n">
        <v>2021</v>
      </c>
      <c r="D43" s="2" t="n">
        <v>2026</v>
      </c>
      <c r="E43" s="2" t="n">
        <f aca="false">SUMIFS(Player_Season!$E$2:$E$1869,Player_Season!$B$2:$B$1869,A43)</f>
        <v>42</v>
      </c>
      <c r="F43" s="2" t="n">
        <f aca="false">SUMIFS(Player_Season!$F$2:$F$1869,Player_Season!$B$2:$B$1869,A43)</f>
        <v>169</v>
      </c>
      <c r="G43" s="2" t="n">
        <f aca="false">IF(E43&gt;0,F43/E43,"")</f>
        <v>4.02380952380952</v>
      </c>
      <c r="H43" s="2" t="s">
        <v>29</v>
      </c>
    </row>
    <row r="44" customFormat="false" ht="15" hidden="false" customHeight="false" outlineLevel="0" collapsed="false">
      <c r="A44" s="2" t="s">
        <v>157</v>
      </c>
      <c r="B44" s="2" t="n">
        <v>5</v>
      </c>
      <c r="C44" s="2" t="n">
        <v>2019</v>
      </c>
      <c r="D44" s="2" t="n">
        <v>2023</v>
      </c>
      <c r="E44" s="2" t="n">
        <f aca="false">SUMIFS(Player_Season!$E$2:$E$1869,Player_Season!$B$2:$B$1869,A44)</f>
        <v>35</v>
      </c>
      <c r="F44" s="2" t="n">
        <f aca="false">SUMIFS(Player_Season!$F$2:$F$1869,Player_Season!$B$2:$B$1869,A44)</f>
        <v>160</v>
      </c>
      <c r="G44" s="2" t="n">
        <f aca="false">IF(E44&gt;0,F44/E44,"")</f>
        <v>4.57142857142857</v>
      </c>
      <c r="H44" s="2" t="s">
        <v>24</v>
      </c>
    </row>
    <row r="45" customFormat="false" ht="15" hidden="false" customHeight="false" outlineLevel="0" collapsed="false">
      <c r="A45" s="2" t="s">
        <v>53</v>
      </c>
      <c r="B45" s="2" t="n">
        <v>3</v>
      </c>
      <c r="C45" s="2" t="n">
        <v>2024</v>
      </c>
      <c r="D45" s="2" t="n">
        <v>2026</v>
      </c>
      <c r="E45" s="2" t="n">
        <f aca="false">SUMIFS(Player_Season!$E$2:$E$1869,Player_Season!$B$2:$B$1869,A45)</f>
        <v>22</v>
      </c>
      <c r="F45" s="2" t="n">
        <f aca="false">SUMIFS(Player_Season!$F$2:$F$1869,Player_Season!$B$2:$B$1869,A45)</f>
        <v>154</v>
      </c>
      <c r="G45" s="2" t="n">
        <f aca="false">IF(E45&gt;0,F45/E45,"")</f>
        <v>7</v>
      </c>
      <c r="H45" s="2" t="s">
        <v>24</v>
      </c>
    </row>
    <row r="46" customFormat="false" ht="15" hidden="false" customHeight="false" outlineLevel="0" collapsed="false">
      <c r="A46" s="2" t="s">
        <v>60</v>
      </c>
      <c r="B46" s="2" t="n">
        <v>3</v>
      </c>
      <c r="C46" s="2" t="n">
        <v>2024</v>
      </c>
      <c r="D46" s="2" t="n">
        <v>2026</v>
      </c>
      <c r="E46" s="2" t="n">
        <f aca="false">SUMIFS(Player_Season!$E$2:$E$1869,Player_Season!$B$2:$B$1869,A46)</f>
        <v>32</v>
      </c>
      <c r="F46" s="2" t="n">
        <f aca="false">SUMIFS(Player_Season!$F$2:$F$1869,Player_Season!$B$2:$B$1869,A46)</f>
        <v>149</v>
      </c>
      <c r="G46" s="2" t="n">
        <f aca="false">IF(E46&gt;0,F46/E46,"")</f>
        <v>4.65625</v>
      </c>
      <c r="H46" s="2" t="s">
        <v>29</v>
      </c>
    </row>
    <row r="47" customFormat="false" ht="15" hidden="false" customHeight="false" outlineLevel="0" collapsed="false">
      <c r="A47" s="2" t="s">
        <v>67</v>
      </c>
      <c r="B47" s="2" t="n">
        <v>5</v>
      </c>
      <c r="C47" s="2" t="n">
        <v>2022</v>
      </c>
      <c r="D47" s="2" t="n">
        <v>2026</v>
      </c>
      <c r="E47" s="2" t="n">
        <f aca="false">SUMIFS(Player_Season!$E$2:$E$1869,Player_Season!$B$2:$B$1869,A47)</f>
        <v>29</v>
      </c>
      <c r="F47" s="2" t="n">
        <f aca="false">SUMIFS(Player_Season!$F$2:$F$1869,Player_Season!$B$2:$B$1869,A47)</f>
        <v>147</v>
      </c>
      <c r="G47" s="2" t="n">
        <f aca="false">IF(E47&gt;0,F47/E47,"")</f>
        <v>5.06896551724138</v>
      </c>
      <c r="H47" s="2" t="s">
        <v>29</v>
      </c>
    </row>
    <row r="48" customFormat="false" ht="15" hidden="false" customHeight="false" outlineLevel="0" collapsed="false">
      <c r="A48" s="2" t="s">
        <v>56</v>
      </c>
      <c r="B48" s="2" t="n">
        <v>2</v>
      </c>
      <c r="C48" s="2" t="n">
        <v>2025</v>
      </c>
      <c r="D48" s="2" t="n">
        <v>2026</v>
      </c>
      <c r="E48" s="2" t="n">
        <f aca="false">SUMIFS(Player_Season!$E$2:$E$1869,Player_Season!$B$2:$B$1869,A48)</f>
        <v>20</v>
      </c>
      <c r="F48" s="2" t="n">
        <f aca="false">SUMIFS(Player_Season!$F$2:$F$1869,Player_Season!$B$2:$B$1869,A48)</f>
        <v>146</v>
      </c>
      <c r="G48" s="2" t="n">
        <f aca="false">IF(E48&gt;0,F48/E48,"")</f>
        <v>7.3</v>
      </c>
      <c r="H48" s="2" t="s">
        <v>24</v>
      </c>
    </row>
    <row r="49" customFormat="false" ht="15" hidden="false" customHeight="false" outlineLevel="0" collapsed="false">
      <c r="A49" s="2" t="s">
        <v>75</v>
      </c>
      <c r="B49" s="2" t="n">
        <v>6</v>
      </c>
      <c r="C49" s="2" t="n">
        <v>2021</v>
      </c>
      <c r="D49" s="2" t="n">
        <v>2026</v>
      </c>
      <c r="E49" s="2" t="n">
        <f aca="false">SUMIFS(Player_Season!$E$2:$E$1869,Player_Season!$B$2:$B$1869,A49)</f>
        <v>35</v>
      </c>
      <c r="F49" s="2" t="n">
        <f aca="false">SUMIFS(Player_Season!$F$2:$F$1869,Player_Season!$B$2:$B$1869,A49)</f>
        <v>140</v>
      </c>
      <c r="G49" s="2" t="n">
        <f aca="false">IF(E49&gt;0,F49/E49,"")</f>
        <v>4</v>
      </c>
      <c r="H49" s="2" t="s">
        <v>24</v>
      </c>
    </row>
    <row r="50" customFormat="false" ht="15" hidden="false" customHeight="false" outlineLevel="0" collapsed="false">
      <c r="A50" s="2" t="s">
        <v>61</v>
      </c>
      <c r="B50" s="2" t="n">
        <v>2</v>
      </c>
      <c r="C50" s="2" t="n">
        <v>2025</v>
      </c>
      <c r="D50" s="2" t="n">
        <v>2026</v>
      </c>
      <c r="E50" s="2" t="n">
        <f aca="false">SUMIFS(Player_Season!$E$2:$E$1869,Player_Season!$B$2:$B$1869,A50)</f>
        <v>20</v>
      </c>
      <c r="F50" s="2" t="n">
        <f aca="false">SUMIFS(Player_Season!$F$2:$F$1869,Player_Season!$B$2:$B$1869,A50)</f>
        <v>139</v>
      </c>
      <c r="G50" s="2" t="n">
        <f aca="false">IF(E50&gt;0,F50/E50,"")</f>
        <v>6.95</v>
      </c>
      <c r="H50" s="2" t="s">
        <v>24</v>
      </c>
    </row>
    <row r="51" customFormat="false" ht="15" hidden="false" customHeight="false" outlineLevel="0" collapsed="false">
      <c r="A51" s="2" t="s">
        <v>72</v>
      </c>
      <c r="B51" s="2" t="n">
        <v>3</v>
      </c>
      <c r="C51" s="2" t="n">
        <v>2024</v>
      </c>
      <c r="D51" s="2" t="n">
        <v>2026</v>
      </c>
      <c r="E51" s="2" t="n">
        <f aca="false">SUMIFS(Player_Season!$E$2:$E$1869,Player_Season!$B$2:$B$1869,A51)</f>
        <v>26</v>
      </c>
      <c r="F51" s="2" t="n">
        <f aca="false">SUMIFS(Player_Season!$F$2:$F$1869,Player_Season!$B$2:$B$1869,A51)</f>
        <v>138</v>
      </c>
      <c r="G51" s="2" t="n">
        <f aca="false">IF(E51&gt;0,F51/E51,"")</f>
        <v>5.30769230769231</v>
      </c>
      <c r="H51" s="2" t="s">
        <v>29</v>
      </c>
    </row>
    <row r="52" customFormat="false" ht="15" hidden="false" customHeight="false" outlineLevel="0" collapsed="false">
      <c r="A52" s="2" t="s">
        <v>129</v>
      </c>
      <c r="B52" s="2" t="n">
        <v>8</v>
      </c>
      <c r="C52" s="2" t="n">
        <v>2019</v>
      </c>
      <c r="D52" s="2" t="n">
        <v>2026</v>
      </c>
      <c r="E52" s="2" t="n">
        <f aca="false">SUMIFS(Player_Season!$E$2:$E$1869,Player_Season!$B$2:$B$1869,A52)</f>
        <v>33</v>
      </c>
      <c r="F52" s="2" t="n">
        <f aca="false">SUMIFS(Player_Season!$F$2:$F$1869,Player_Season!$B$2:$B$1869,A52)</f>
        <v>137</v>
      </c>
      <c r="G52" s="2" t="n">
        <f aca="false">IF(E52&gt;0,F52/E52,"")</f>
        <v>4.15151515151515</v>
      </c>
      <c r="H52" s="2" t="s">
        <v>24</v>
      </c>
    </row>
    <row r="53" customFormat="false" ht="15" hidden="false" customHeight="false" outlineLevel="0" collapsed="false">
      <c r="A53" s="2" t="s">
        <v>82</v>
      </c>
      <c r="B53" s="2" t="n">
        <v>6</v>
      </c>
      <c r="C53" s="2" t="n">
        <v>2021</v>
      </c>
      <c r="D53" s="2" t="n">
        <v>2026</v>
      </c>
      <c r="E53" s="2" t="n">
        <f aca="false">SUMIFS(Player_Season!$E$2:$E$1869,Player_Season!$B$2:$B$1869,A53)</f>
        <v>56</v>
      </c>
      <c r="F53" s="2" t="n">
        <f aca="false">SUMIFS(Player_Season!$F$2:$F$1869,Player_Season!$B$2:$B$1869,A53)</f>
        <v>136</v>
      </c>
      <c r="G53" s="2" t="n">
        <f aca="false">IF(E53&gt;0,F53/E53,"")</f>
        <v>2.42857142857143</v>
      </c>
      <c r="H53" s="2" t="s">
        <v>29</v>
      </c>
    </row>
    <row r="54" customFormat="false" ht="15" hidden="false" customHeight="false" outlineLevel="0" collapsed="false">
      <c r="A54" s="2" t="s">
        <v>81</v>
      </c>
      <c r="B54" s="2" t="n">
        <v>2</v>
      </c>
      <c r="C54" s="2" t="n">
        <v>2025</v>
      </c>
      <c r="D54" s="2" t="n">
        <v>2026</v>
      </c>
      <c r="E54" s="2" t="n">
        <f aca="false">SUMIFS(Player_Season!$E$2:$E$1869,Player_Season!$B$2:$B$1869,A54)</f>
        <v>22</v>
      </c>
      <c r="F54" s="2" t="n">
        <f aca="false">SUMIFS(Player_Season!$F$2:$F$1869,Player_Season!$B$2:$B$1869,A54)</f>
        <v>134</v>
      </c>
      <c r="G54" s="2" t="n">
        <f aca="false">IF(E54&gt;0,F54/E54,"")</f>
        <v>6.09090909090909</v>
      </c>
      <c r="H54" s="2" t="s">
        <v>24</v>
      </c>
    </row>
    <row r="55" customFormat="false" ht="15" hidden="false" customHeight="false" outlineLevel="0" collapsed="false">
      <c r="A55" s="2" t="s">
        <v>125</v>
      </c>
      <c r="B55" s="2" t="n">
        <v>4</v>
      </c>
      <c r="C55" s="2" t="n">
        <v>2021</v>
      </c>
      <c r="D55" s="2" t="n">
        <v>2024</v>
      </c>
      <c r="E55" s="2" t="n">
        <f aca="false">SUMIFS(Player_Season!$E$2:$E$1869,Player_Season!$B$2:$B$1869,A55)</f>
        <v>18</v>
      </c>
      <c r="F55" s="2" t="n">
        <f aca="false">SUMIFS(Player_Season!$F$2:$F$1869,Player_Season!$B$2:$B$1869,A55)</f>
        <v>133</v>
      </c>
      <c r="G55" s="2" t="n">
        <f aca="false">IF(E55&gt;0,F55/E55,"")</f>
        <v>7.38888888888889</v>
      </c>
      <c r="H55" s="2" t="s">
        <v>24</v>
      </c>
    </row>
    <row r="56" customFormat="false" ht="15" hidden="false" customHeight="false" outlineLevel="0" collapsed="false">
      <c r="A56" s="2" t="s">
        <v>65</v>
      </c>
      <c r="B56" s="2" t="n">
        <v>2</v>
      </c>
      <c r="C56" s="2" t="n">
        <v>2025</v>
      </c>
      <c r="D56" s="2" t="n">
        <v>2026</v>
      </c>
      <c r="E56" s="2" t="n">
        <f aca="false">SUMIFS(Player_Season!$E$2:$E$1869,Player_Season!$B$2:$B$1869,A56)</f>
        <v>22</v>
      </c>
      <c r="F56" s="2" t="n">
        <f aca="false">SUMIFS(Player_Season!$F$2:$F$1869,Player_Season!$B$2:$B$1869,A56)</f>
        <v>132</v>
      </c>
      <c r="G56" s="2" t="n">
        <f aca="false">IF(E56&gt;0,F56/E56,"")</f>
        <v>6</v>
      </c>
      <c r="H56" s="2" t="s">
        <v>24</v>
      </c>
    </row>
    <row r="57" customFormat="false" ht="15" hidden="false" customHeight="false" outlineLevel="0" collapsed="false">
      <c r="A57" s="2" t="s">
        <v>222</v>
      </c>
      <c r="B57" s="2" t="n">
        <v>4</v>
      </c>
      <c r="C57" s="2" t="n">
        <v>2019</v>
      </c>
      <c r="D57" s="2" t="n">
        <v>2022</v>
      </c>
      <c r="E57" s="2" t="n">
        <f aca="false">SUMIFS(Player_Season!$E$2:$E$1869,Player_Season!$B$2:$B$1869,A57)</f>
        <v>28</v>
      </c>
      <c r="F57" s="2" t="n">
        <f aca="false">SUMIFS(Player_Season!$F$2:$F$1869,Player_Season!$B$2:$B$1869,A57)</f>
        <v>131</v>
      </c>
      <c r="G57" s="2" t="n">
        <f aca="false">IF(E57&gt;0,F57/E57,"")</f>
        <v>4.67857142857143</v>
      </c>
      <c r="H57" s="2" t="s">
        <v>24</v>
      </c>
    </row>
    <row r="58" customFormat="false" ht="15" hidden="false" customHeight="false" outlineLevel="0" collapsed="false">
      <c r="A58" s="2" t="s">
        <v>57</v>
      </c>
      <c r="B58" s="2" t="n">
        <v>6</v>
      </c>
      <c r="C58" s="2" t="n">
        <v>2021</v>
      </c>
      <c r="D58" s="2" t="n">
        <v>2026</v>
      </c>
      <c r="E58" s="2" t="n">
        <f aca="false">SUMIFS(Player_Season!$E$2:$E$1869,Player_Season!$B$2:$B$1869,A58)</f>
        <v>34</v>
      </c>
      <c r="F58" s="2" t="n">
        <f aca="false">SUMIFS(Player_Season!$F$2:$F$1869,Player_Season!$B$2:$B$1869,A58)</f>
        <v>130</v>
      </c>
      <c r="G58" s="2" t="n">
        <f aca="false">IF(E58&gt;0,F58/E58,"")</f>
        <v>3.82352941176471</v>
      </c>
      <c r="H58" s="2" t="s">
        <v>29</v>
      </c>
    </row>
    <row r="59" customFormat="false" ht="15" hidden="false" customHeight="false" outlineLevel="0" collapsed="false">
      <c r="A59" s="2" t="s">
        <v>71</v>
      </c>
      <c r="B59" s="2" t="n">
        <v>3</v>
      </c>
      <c r="C59" s="2" t="n">
        <v>2024</v>
      </c>
      <c r="D59" s="2" t="n">
        <v>2026</v>
      </c>
      <c r="E59" s="2" t="n">
        <f aca="false">SUMIFS(Player_Season!$E$2:$E$1869,Player_Season!$B$2:$B$1869,A59)</f>
        <v>27</v>
      </c>
      <c r="F59" s="2" t="n">
        <f aca="false">SUMIFS(Player_Season!$F$2:$F$1869,Player_Season!$B$2:$B$1869,A59)</f>
        <v>130</v>
      </c>
      <c r="G59" s="2" t="n">
        <f aca="false">IF(E59&gt;0,F59/E59,"")</f>
        <v>4.81481481481482</v>
      </c>
      <c r="H59" s="2" t="s">
        <v>24</v>
      </c>
    </row>
    <row r="60" customFormat="false" ht="15" hidden="false" customHeight="false" outlineLevel="0" collapsed="false">
      <c r="A60" s="2" t="s">
        <v>63</v>
      </c>
      <c r="B60" s="2" t="n">
        <v>3</v>
      </c>
      <c r="C60" s="2" t="n">
        <v>2024</v>
      </c>
      <c r="D60" s="2" t="n">
        <v>2026</v>
      </c>
      <c r="E60" s="2" t="n">
        <f aca="false">SUMIFS(Player_Season!$E$2:$E$1869,Player_Season!$B$2:$B$1869,A60)</f>
        <v>32</v>
      </c>
      <c r="F60" s="2" t="n">
        <f aca="false">SUMIFS(Player_Season!$F$2:$F$1869,Player_Season!$B$2:$B$1869,A60)</f>
        <v>126</v>
      </c>
      <c r="G60" s="2" t="n">
        <f aca="false">IF(E60&gt;0,F60/E60,"")</f>
        <v>3.9375</v>
      </c>
      <c r="H60" s="2" t="s">
        <v>24</v>
      </c>
    </row>
    <row r="61" customFormat="false" ht="15" hidden="false" customHeight="false" outlineLevel="0" collapsed="false">
      <c r="A61" s="2" t="s">
        <v>108</v>
      </c>
      <c r="B61" s="2" t="n">
        <v>4</v>
      </c>
      <c r="C61" s="2" t="n">
        <v>2021</v>
      </c>
      <c r="D61" s="2" t="n">
        <v>2024</v>
      </c>
      <c r="E61" s="2" t="n">
        <f aca="false">SUMIFS(Player_Season!$E$2:$E$1869,Player_Season!$B$2:$B$1869,A61)</f>
        <v>26</v>
      </c>
      <c r="F61" s="2" t="n">
        <f aca="false">SUMIFS(Player_Season!$F$2:$F$1869,Player_Season!$B$2:$B$1869,A61)</f>
        <v>122</v>
      </c>
      <c r="G61" s="2" t="n">
        <f aca="false">IF(E61&gt;0,F61/E61,"")</f>
        <v>4.69230769230769</v>
      </c>
      <c r="H61" s="2" t="s">
        <v>24</v>
      </c>
    </row>
    <row r="62" customFormat="false" ht="15" hidden="false" customHeight="false" outlineLevel="0" collapsed="false">
      <c r="A62" s="2" t="s">
        <v>87</v>
      </c>
      <c r="B62" s="2" t="n">
        <v>2</v>
      </c>
      <c r="C62" s="2" t="n">
        <v>2025</v>
      </c>
      <c r="D62" s="2" t="n">
        <v>2026</v>
      </c>
      <c r="E62" s="2" t="n">
        <f aca="false">SUMIFS(Player_Season!$E$2:$E$1869,Player_Season!$B$2:$B$1869,A62)</f>
        <v>21</v>
      </c>
      <c r="F62" s="2" t="n">
        <f aca="false">SUMIFS(Player_Season!$F$2:$F$1869,Player_Season!$B$2:$B$1869,A62)</f>
        <v>122</v>
      </c>
      <c r="G62" s="2" t="n">
        <f aca="false">IF(E62&gt;0,F62/E62,"")</f>
        <v>5.80952380952381</v>
      </c>
      <c r="H62" s="2" t="s">
        <v>29</v>
      </c>
    </row>
    <row r="63" customFormat="false" ht="15" hidden="false" customHeight="false" outlineLevel="0" collapsed="false">
      <c r="A63" s="2" t="s">
        <v>76</v>
      </c>
      <c r="B63" s="2" t="n">
        <v>2</v>
      </c>
      <c r="C63" s="2" t="n">
        <v>2025</v>
      </c>
      <c r="D63" s="2" t="n">
        <v>2026</v>
      </c>
      <c r="E63" s="2" t="n">
        <f aca="false">SUMIFS(Player_Season!$E$2:$E$1869,Player_Season!$B$2:$B$1869,A63)</f>
        <v>22</v>
      </c>
      <c r="F63" s="2" t="n">
        <f aca="false">SUMIFS(Player_Season!$F$2:$F$1869,Player_Season!$B$2:$B$1869,A63)</f>
        <v>117</v>
      </c>
      <c r="G63" s="2" t="n">
        <f aca="false">IF(E63&gt;0,F63/E63,"")</f>
        <v>5.31818181818182</v>
      </c>
      <c r="H63" s="2" t="s">
        <v>24</v>
      </c>
    </row>
    <row r="64" customFormat="false" ht="15" hidden="false" customHeight="false" outlineLevel="0" collapsed="false">
      <c r="A64" s="2" t="s">
        <v>479</v>
      </c>
      <c r="B64" s="2" t="n">
        <v>3</v>
      </c>
      <c r="C64" s="2" t="n">
        <v>2019</v>
      </c>
      <c r="D64" s="2" t="n">
        <v>2021</v>
      </c>
      <c r="E64" s="2" t="n">
        <f aca="false">SUMIFS(Player_Season!$E$2:$E$1869,Player_Season!$B$2:$B$1869,A64)</f>
        <v>24</v>
      </c>
      <c r="F64" s="2" t="n">
        <f aca="false">SUMIFS(Player_Season!$F$2:$F$1869,Player_Season!$B$2:$B$1869,A64)</f>
        <v>116</v>
      </c>
      <c r="G64" s="2" t="n">
        <f aca="false">IF(E64&gt;0,F64/E64,"")</f>
        <v>4.83333333333333</v>
      </c>
      <c r="H64" s="2" t="s">
        <v>29</v>
      </c>
    </row>
    <row r="65" customFormat="false" ht="15" hidden="false" customHeight="false" outlineLevel="0" collapsed="false">
      <c r="A65" s="2" t="s">
        <v>51</v>
      </c>
      <c r="B65" s="2" t="n">
        <v>3</v>
      </c>
      <c r="C65" s="2" t="n">
        <v>2024</v>
      </c>
      <c r="D65" s="2" t="n">
        <v>2026</v>
      </c>
      <c r="E65" s="2" t="n">
        <f aca="false">SUMIFS(Player_Season!$E$2:$E$1869,Player_Season!$B$2:$B$1869,A65)</f>
        <v>28</v>
      </c>
      <c r="F65" s="2" t="n">
        <f aca="false">SUMIFS(Player_Season!$F$2:$F$1869,Player_Season!$B$2:$B$1869,A65)</f>
        <v>115</v>
      </c>
      <c r="G65" s="2" t="n">
        <f aca="false">IF(E65&gt;0,F65/E65,"")</f>
        <v>4.10714285714286</v>
      </c>
      <c r="H65" s="2" t="s">
        <v>24</v>
      </c>
    </row>
    <row r="66" customFormat="false" ht="15" hidden="false" customHeight="false" outlineLevel="0" collapsed="false">
      <c r="A66" s="2" t="s">
        <v>78</v>
      </c>
      <c r="B66" s="2" t="n">
        <v>6</v>
      </c>
      <c r="C66" s="2" t="n">
        <v>2021</v>
      </c>
      <c r="D66" s="2" t="n">
        <v>2026</v>
      </c>
      <c r="E66" s="2" t="n">
        <f aca="false">SUMIFS(Player_Season!$E$2:$E$1869,Player_Season!$B$2:$B$1869,A66)</f>
        <v>37</v>
      </c>
      <c r="F66" s="2" t="n">
        <f aca="false">SUMIFS(Player_Season!$F$2:$F$1869,Player_Season!$B$2:$B$1869,A66)</f>
        <v>114</v>
      </c>
      <c r="G66" s="2" t="n">
        <f aca="false">IF(E66&gt;0,F66/E66,"")</f>
        <v>3.08108108108108</v>
      </c>
      <c r="H66" s="2" t="s">
        <v>29</v>
      </c>
    </row>
    <row r="67" customFormat="false" ht="15" hidden="false" customHeight="false" outlineLevel="0" collapsed="false">
      <c r="A67" s="2" t="s">
        <v>88</v>
      </c>
      <c r="B67" s="2" t="n">
        <v>3</v>
      </c>
      <c r="C67" s="2" t="n">
        <v>2023</v>
      </c>
      <c r="D67" s="2" t="n">
        <v>2025</v>
      </c>
      <c r="E67" s="2" t="n">
        <f aca="false">SUMIFS(Player_Season!$E$2:$E$1869,Player_Season!$B$2:$B$1869,A67)</f>
        <v>24</v>
      </c>
      <c r="F67" s="2" t="n">
        <f aca="false">SUMIFS(Player_Season!$F$2:$F$1869,Player_Season!$B$2:$B$1869,A67)</f>
        <v>113</v>
      </c>
      <c r="G67" s="2" t="n">
        <f aca="false">IF(E67&gt;0,F67/E67,"")</f>
        <v>4.70833333333333</v>
      </c>
      <c r="H67" s="2" t="s">
        <v>29</v>
      </c>
    </row>
    <row r="68" customFormat="false" ht="15" hidden="false" customHeight="false" outlineLevel="0" collapsed="false">
      <c r="A68" s="2" t="s">
        <v>226</v>
      </c>
      <c r="B68" s="2" t="n">
        <v>4</v>
      </c>
      <c r="C68" s="2" t="n">
        <v>2019</v>
      </c>
      <c r="D68" s="2" t="n">
        <v>2022</v>
      </c>
      <c r="E68" s="2" t="n">
        <f aca="false">SUMIFS(Player_Season!$E$2:$E$1869,Player_Season!$B$2:$B$1869,A68)</f>
        <v>26</v>
      </c>
      <c r="F68" s="2" t="n">
        <f aca="false">SUMIFS(Player_Season!$F$2:$F$1869,Player_Season!$B$2:$B$1869,A68)</f>
        <v>113</v>
      </c>
      <c r="G68" s="2" t="n">
        <f aca="false">IF(E68&gt;0,F68/E68,"")</f>
        <v>4.34615384615385</v>
      </c>
      <c r="H68" s="2" t="s">
        <v>24</v>
      </c>
    </row>
    <row r="69" customFormat="false" ht="15" hidden="false" customHeight="false" outlineLevel="0" collapsed="false">
      <c r="A69" s="2" t="s">
        <v>95</v>
      </c>
      <c r="B69" s="2" t="n">
        <v>8</v>
      </c>
      <c r="C69" s="2" t="n">
        <v>2019</v>
      </c>
      <c r="D69" s="2" t="n">
        <v>2026</v>
      </c>
      <c r="E69" s="2" t="n">
        <f aca="false">SUMIFS(Player_Season!$E$2:$E$1869,Player_Season!$B$2:$B$1869,A69)</f>
        <v>37</v>
      </c>
      <c r="F69" s="2" t="n">
        <f aca="false">SUMIFS(Player_Season!$F$2:$F$1869,Player_Season!$B$2:$B$1869,A69)</f>
        <v>112</v>
      </c>
      <c r="G69" s="2" t="n">
        <f aca="false">IF(E69&gt;0,F69/E69,"")</f>
        <v>3.02702702702703</v>
      </c>
      <c r="H69" s="2" t="s">
        <v>29</v>
      </c>
    </row>
    <row r="70" customFormat="false" ht="15" hidden="false" customHeight="false" outlineLevel="0" collapsed="false">
      <c r="A70" s="2" t="s">
        <v>85</v>
      </c>
      <c r="B70" s="2" t="n">
        <v>4</v>
      </c>
      <c r="C70" s="2" t="n">
        <v>2023</v>
      </c>
      <c r="D70" s="2" t="n">
        <v>2026</v>
      </c>
      <c r="E70" s="2" t="n">
        <f aca="false">SUMIFS(Player_Season!$E$2:$E$1869,Player_Season!$B$2:$B$1869,A70)</f>
        <v>24</v>
      </c>
      <c r="F70" s="2" t="n">
        <f aca="false">SUMIFS(Player_Season!$F$2:$F$1869,Player_Season!$B$2:$B$1869,A70)</f>
        <v>112</v>
      </c>
      <c r="G70" s="2" t="n">
        <f aca="false">IF(E70&gt;0,F70/E70,"")</f>
        <v>4.66666666666667</v>
      </c>
      <c r="H70" s="2" t="s">
        <v>24</v>
      </c>
    </row>
    <row r="71" customFormat="false" ht="15" hidden="false" customHeight="false" outlineLevel="0" collapsed="false">
      <c r="A71" s="2" t="s">
        <v>104</v>
      </c>
      <c r="B71" s="2" t="n">
        <v>8</v>
      </c>
      <c r="C71" s="2" t="n">
        <v>2019</v>
      </c>
      <c r="D71" s="2" t="n">
        <v>2026</v>
      </c>
      <c r="E71" s="2" t="n">
        <f aca="false">SUMIFS(Player_Season!$E$2:$E$1869,Player_Season!$B$2:$B$1869,A71)</f>
        <v>38</v>
      </c>
      <c r="F71" s="2" t="n">
        <f aca="false">SUMIFS(Player_Season!$F$2:$F$1869,Player_Season!$B$2:$B$1869,A71)</f>
        <v>112</v>
      </c>
      <c r="G71" s="2" t="n">
        <f aca="false">IF(E71&gt;0,F71/E71,"")</f>
        <v>2.94736842105263</v>
      </c>
      <c r="H71" s="2" t="s">
        <v>24</v>
      </c>
    </row>
    <row r="72" customFormat="false" ht="15" hidden="false" customHeight="false" outlineLevel="0" collapsed="false">
      <c r="A72" s="2" t="s">
        <v>91</v>
      </c>
      <c r="B72" s="2" t="n">
        <v>2</v>
      </c>
      <c r="C72" s="2" t="n">
        <v>2025</v>
      </c>
      <c r="D72" s="2" t="n">
        <v>2026</v>
      </c>
      <c r="E72" s="2" t="n">
        <f aca="false">SUMIFS(Player_Season!$E$2:$E$1869,Player_Season!$B$2:$B$1869,A72)</f>
        <v>14</v>
      </c>
      <c r="F72" s="2" t="n">
        <f aca="false">SUMIFS(Player_Season!$F$2:$F$1869,Player_Season!$B$2:$B$1869,A72)</f>
        <v>111</v>
      </c>
      <c r="G72" s="2" t="n">
        <f aca="false">IF(E72&gt;0,F72/E72,"")</f>
        <v>7.92857142857143</v>
      </c>
      <c r="H72" s="2" t="s">
        <v>24</v>
      </c>
    </row>
    <row r="73" customFormat="false" ht="15" hidden="false" customHeight="false" outlineLevel="0" collapsed="false">
      <c r="A73" s="2" t="s">
        <v>446</v>
      </c>
      <c r="B73" s="2" t="n">
        <v>4</v>
      </c>
      <c r="C73" s="2" t="n">
        <v>2019</v>
      </c>
      <c r="D73" s="2" t="n">
        <v>2022</v>
      </c>
      <c r="E73" s="2" t="n">
        <f aca="false">SUMIFS(Player_Season!$E$2:$E$1869,Player_Season!$B$2:$B$1869,A73)</f>
        <v>22</v>
      </c>
      <c r="F73" s="2" t="n">
        <f aca="false">SUMIFS(Player_Season!$F$2:$F$1869,Player_Season!$B$2:$B$1869,A73)</f>
        <v>111</v>
      </c>
      <c r="G73" s="2" t="n">
        <f aca="false">IF(E73&gt;0,F73/E73,"")</f>
        <v>5.04545454545455</v>
      </c>
      <c r="H73" s="2" t="s">
        <v>29</v>
      </c>
    </row>
    <row r="74" customFormat="false" ht="15" hidden="false" customHeight="false" outlineLevel="0" collapsed="false">
      <c r="A74" s="2" t="s">
        <v>423</v>
      </c>
      <c r="B74" s="2" t="n">
        <v>4</v>
      </c>
      <c r="C74" s="2" t="n">
        <v>2019</v>
      </c>
      <c r="D74" s="2" t="n">
        <v>2022</v>
      </c>
      <c r="E74" s="2" t="n">
        <f aca="false">SUMIFS(Player_Season!$E$2:$E$1869,Player_Season!$B$2:$B$1869,A74)</f>
        <v>19</v>
      </c>
      <c r="F74" s="2" t="n">
        <f aca="false">SUMIFS(Player_Season!$F$2:$F$1869,Player_Season!$B$2:$B$1869,A74)</f>
        <v>108</v>
      </c>
      <c r="G74" s="2" t="n">
        <f aca="false">IF(E74&gt;0,F74/E74,"")</f>
        <v>5.68421052631579</v>
      </c>
      <c r="H74" s="2" t="s">
        <v>29</v>
      </c>
    </row>
    <row r="75" customFormat="false" ht="15" hidden="false" customHeight="false" outlineLevel="0" collapsed="false">
      <c r="A75" s="2" t="s">
        <v>411</v>
      </c>
      <c r="B75" s="2" t="n">
        <v>8</v>
      </c>
      <c r="C75" s="2" t="n">
        <v>2019</v>
      </c>
      <c r="D75" s="2" t="n">
        <v>2026</v>
      </c>
      <c r="E75" s="2" t="n">
        <f aca="false">SUMIFS(Player_Season!$E$2:$E$1869,Player_Season!$B$2:$B$1869,A75)</f>
        <v>70</v>
      </c>
      <c r="F75" s="2" t="n">
        <f aca="false">SUMIFS(Player_Season!$F$2:$F$1869,Player_Season!$B$2:$B$1869,A75)</f>
        <v>108</v>
      </c>
      <c r="G75" s="2" t="n">
        <f aca="false">IF(E75&gt;0,F75/E75,"")</f>
        <v>1.54285714285714</v>
      </c>
      <c r="H75" s="2" t="s">
        <v>413</v>
      </c>
    </row>
    <row r="76" customFormat="false" ht="15" hidden="false" customHeight="false" outlineLevel="0" collapsed="false">
      <c r="A76" s="2" t="s">
        <v>77</v>
      </c>
      <c r="B76" s="2" t="n">
        <v>3</v>
      </c>
      <c r="C76" s="2" t="n">
        <v>2024</v>
      </c>
      <c r="D76" s="2" t="n">
        <v>2026</v>
      </c>
      <c r="E76" s="2" t="n">
        <f aca="false">SUMIFS(Player_Season!$E$2:$E$1869,Player_Season!$B$2:$B$1869,A76)</f>
        <v>29</v>
      </c>
      <c r="F76" s="2" t="n">
        <f aca="false">SUMIFS(Player_Season!$F$2:$F$1869,Player_Season!$B$2:$B$1869,A76)</f>
        <v>107</v>
      </c>
      <c r="G76" s="2" t="n">
        <f aca="false">IF(E76&gt;0,F76/E76,"")</f>
        <v>3.68965517241379</v>
      </c>
      <c r="H76" s="2" t="s">
        <v>29</v>
      </c>
    </row>
    <row r="77" customFormat="false" ht="15" hidden="false" customHeight="false" outlineLevel="0" collapsed="false">
      <c r="A77" s="2" t="s">
        <v>94</v>
      </c>
      <c r="B77" s="2" t="n">
        <v>2</v>
      </c>
      <c r="C77" s="2" t="n">
        <v>2025</v>
      </c>
      <c r="D77" s="2" t="n">
        <v>2026</v>
      </c>
      <c r="E77" s="2" t="n">
        <f aca="false">SUMIFS(Player_Season!$E$2:$E$1869,Player_Season!$B$2:$B$1869,A77)</f>
        <v>17</v>
      </c>
      <c r="F77" s="2" t="n">
        <f aca="false">SUMIFS(Player_Season!$F$2:$F$1869,Player_Season!$B$2:$B$1869,A77)</f>
        <v>102</v>
      </c>
      <c r="G77" s="2" t="n">
        <f aca="false">IF(E77&gt;0,F77/E77,"")</f>
        <v>6</v>
      </c>
      <c r="H77" s="2" t="s">
        <v>29</v>
      </c>
    </row>
    <row r="78" customFormat="false" ht="15" hidden="false" customHeight="false" outlineLevel="0" collapsed="false">
      <c r="A78" s="2" t="s">
        <v>98</v>
      </c>
      <c r="B78" s="2" t="n">
        <v>8</v>
      </c>
      <c r="C78" s="2" t="n">
        <v>2019</v>
      </c>
      <c r="D78" s="2" t="n">
        <v>2026</v>
      </c>
      <c r="E78" s="2" t="n">
        <f aca="false">SUMIFS(Player_Season!$E$2:$E$1869,Player_Season!$B$2:$B$1869,A78)</f>
        <v>36</v>
      </c>
      <c r="F78" s="2" t="n">
        <f aca="false">SUMIFS(Player_Season!$F$2:$F$1869,Player_Season!$B$2:$B$1869,A78)</f>
        <v>102</v>
      </c>
      <c r="G78" s="2" t="n">
        <f aca="false">IF(E78&gt;0,F78/E78,"")</f>
        <v>2.83333333333333</v>
      </c>
      <c r="H78" s="2" t="s">
        <v>29</v>
      </c>
    </row>
    <row r="79" customFormat="false" ht="15" hidden="false" customHeight="false" outlineLevel="0" collapsed="false">
      <c r="A79" s="2" t="s">
        <v>80</v>
      </c>
      <c r="B79" s="2" t="n">
        <v>2</v>
      </c>
      <c r="C79" s="2" t="n">
        <v>2025</v>
      </c>
      <c r="D79" s="2" t="n">
        <v>2026</v>
      </c>
      <c r="E79" s="2" t="n">
        <f aca="false">SUMIFS(Player_Season!$E$2:$E$1869,Player_Season!$B$2:$B$1869,A79)</f>
        <v>22</v>
      </c>
      <c r="F79" s="2" t="n">
        <f aca="false">SUMIFS(Player_Season!$F$2:$F$1869,Player_Season!$B$2:$B$1869,A79)</f>
        <v>101</v>
      </c>
      <c r="G79" s="2" t="n">
        <f aca="false">IF(E79&gt;0,F79/E79,"")</f>
        <v>4.59090909090909</v>
      </c>
      <c r="H79" s="2" t="s">
        <v>29</v>
      </c>
    </row>
    <row r="80" customFormat="false" ht="15" hidden="false" customHeight="false" outlineLevel="0" collapsed="false">
      <c r="A80" s="2" t="s">
        <v>516</v>
      </c>
      <c r="B80" s="2" t="n">
        <v>4</v>
      </c>
      <c r="C80" s="2" t="n">
        <v>2019</v>
      </c>
      <c r="D80" s="2" t="n">
        <v>2022</v>
      </c>
      <c r="E80" s="2" t="n">
        <f aca="false">SUMIFS(Player_Season!$E$2:$E$1869,Player_Season!$B$2:$B$1869,A80)</f>
        <v>16</v>
      </c>
      <c r="F80" s="2" t="n">
        <f aca="false">SUMIFS(Player_Season!$F$2:$F$1869,Player_Season!$B$2:$B$1869,A80)</f>
        <v>100</v>
      </c>
      <c r="G80" s="2" t="n">
        <f aca="false">IF(E80&gt;0,F80/E80,"")</f>
        <v>6.25</v>
      </c>
      <c r="H80" s="2" t="s">
        <v>24</v>
      </c>
    </row>
    <row r="81" customFormat="false" ht="15" hidden="false" customHeight="false" outlineLevel="0" collapsed="false">
      <c r="A81" s="2" t="s">
        <v>93</v>
      </c>
      <c r="B81" s="2" t="n">
        <v>5</v>
      </c>
      <c r="C81" s="2" t="n">
        <v>2021</v>
      </c>
      <c r="D81" s="2" t="n">
        <v>2026</v>
      </c>
      <c r="E81" s="2" t="n">
        <f aca="false">SUMIFS(Player_Season!$E$2:$E$1869,Player_Season!$B$2:$B$1869,A81)</f>
        <v>18</v>
      </c>
      <c r="F81" s="2" t="n">
        <f aca="false">SUMIFS(Player_Season!$F$2:$F$1869,Player_Season!$B$2:$B$1869,A81)</f>
        <v>99</v>
      </c>
      <c r="G81" s="2" t="n">
        <f aca="false">IF(E81&gt;0,F81/E81,"")</f>
        <v>5.5</v>
      </c>
      <c r="H81" s="2" t="s">
        <v>24</v>
      </c>
    </row>
    <row r="82" customFormat="false" ht="15" hidden="false" customHeight="false" outlineLevel="0" collapsed="false">
      <c r="A82" s="2" t="s">
        <v>96</v>
      </c>
      <c r="B82" s="2" t="n">
        <v>4</v>
      </c>
      <c r="C82" s="2" t="n">
        <v>2021</v>
      </c>
      <c r="D82" s="2" t="n">
        <v>2024</v>
      </c>
      <c r="E82" s="2" t="n">
        <f aca="false">SUMIFS(Player_Season!$E$2:$E$1869,Player_Season!$B$2:$B$1869,A82)</f>
        <v>35</v>
      </c>
      <c r="F82" s="2" t="n">
        <f aca="false">SUMIFS(Player_Season!$F$2:$F$1869,Player_Season!$B$2:$B$1869,A82)</f>
        <v>96</v>
      </c>
      <c r="G82" s="2" t="n">
        <f aca="false">IF(E82&gt;0,F82/E82,"")</f>
        <v>2.74285714285714</v>
      </c>
      <c r="H82" s="2" t="s">
        <v>24</v>
      </c>
    </row>
    <row r="83" customFormat="false" ht="15" hidden="false" customHeight="false" outlineLevel="0" collapsed="false">
      <c r="A83" s="2" t="s">
        <v>97</v>
      </c>
      <c r="B83" s="2" t="n">
        <v>2</v>
      </c>
      <c r="C83" s="2" t="n">
        <v>2025</v>
      </c>
      <c r="D83" s="2" t="n">
        <v>2026</v>
      </c>
      <c r="E83" s="2" t="n">
        <f aca="false">SUMIFS(Player_Season!$E$2:$E$1869,Player_Season!$B$2:$B$1869,A83)</f>
        <v>17</v>
      </c>
      <c r="F83" s="2" t="n">
        <f aca="false">SUMIFS(Player_Season!$F$2:$F$1869,Player_Season!$B$2:$B$1869,A83)</f>
        <v>95</v>
      </c>
      <c r="G83" s="2" t="n">
        <f aca="false">IF(E83&gt;0,F83/E83,"")</f>
        <v>5.58823529411765</v>
      </c>
      <c r="H83" s="2" t="s">
        <v>24</v>
      </c>
    </row>
    <row r="84" customFormat="false" ht="15" hidden="false" customHeight="false" outlineLevel="0" collapsed="false">
      <c r="A84" s="2" t="s">
        <v>150</v>
      </c>
      <c r="B84" s="2" t="n">
        <v>8</v>
      </c>
      <c r="C84" s="2" t="n">
        <v>2019</v>
      </c>
      <c r="D84" s="2" t="n">
        <v>2026</v>
      </c>
      <c r="E84" s="2" t="n">
        <f aca="false">SUMIFS(Player_Season!$E$2:$E$1869,Player_Season!$B$2:$B$1869,A84)</f>
        <v>42</v>
      </c>
      <c r="F84" s="2" t="n">
        <f aca="false">SUMIFS(Player_Season!$F$2:$F$1869,Player_Season!$B$2:$B$1869,A84)</f>
        <v>94</v>
      </c>
      <c r="G84" s="2" t="n">
        <f aca="false">IF(E84&gt;0,F84/E84,"")</f>
        <v>2.23809523809524</v>
      </c>
      <c r="H84" s="2" t="s">
        <v>29</v>
      </c>
    </row>
    <row r="85" customFormat="false" ht="15" hidden="false" customHeight="false" outlineLevel="0" collapsed="false">
      <c r="A85" s="2" t="s">
        <v>103</v>
      </c>
      <c r="B85" s="2" t="n">
        <v>3</v>
      </c>
      <c r="C85" s="2" t="n">
        <v>2024</v>
      </c>
      <c r="D85" s="2" t="n">
        <v>2026</v>
      </c>
      <c r="E85" s="2" t="n">
        <f aca="false">SUMIFS(Player_Season!$E$2:$E$1869,Player_Season!$B$2:$B$1869,A85)</f>
        <v>24</v>
      </c>
      <c r="F85" s="2" t="n">
        <f aca="false">SUMIFS(Player_Season!$F$2:$F$1869,Player_Season!$B$2:$B$1869,A85)</f>
        <v>94</v>
      </c>
      <c r="G85" s="2" t="n">
        <f aca="false">IF(E85&gt;0,F85/E85,"")</f>
        <v>3.91666666666667</v>
      </c>
      <c r="H85" s="2" t="s">
        <v>29</v>
      </c>
    </row>
    <row r="86" customFormat="false" ht="15" hidden="false" customHeight="false" outlineLevel="0" collapsed="false">
      <c r="A86" s="2" t="s">
        <v>84</v>
      </c>
      <c r="B86" s="2" t="n">
        <v>3</v>
      </c>
      <c r="C86" s="2" t="n">
        <v>2024</v>
      </c>
      <c r="D86" s="2" t="n">
        <v>2026</v>
      </c>
      <c r="E86" s="2" t="n">
        <f aca="false">SUMIFS(Player_Season!$E$2:$E$1869,Player_Season!$B$2:$B$1869,A86)</f>
        <v>31</v>
      </c>
      <c r="F86" s="2" t="n">
        <f aca="false">SUMIFS(Player_Season!$F$2:$F$1869,Player_Season!$B$2:$B$1869,A86)</f>
        <v>94</v>
      </c>
      <c r="G86" s="2" t="n">
        <f aca="false">IF(E86&gt;0,F86/E86,"")</f>
        <v>3.03225806451613</v>
      </c>
      <c r="H86" s="2" t="s">
        <v>29</v>
      </c>
    </row>
    <row r="87" customFormat="false" ht="15" hidden="false" customHeight="false" outlineLevel="0" collapsed="false">
      <c r="A87" s="2" t="s">
        <v>102</v>
      </c>
      <c r="B87" s="2" t="n">
        <v>6</v>
      </c>
      <c r="C87" s="2" t="n">
        <v>2021</v>
      </c>
      <c r="D87" s="2" t="n">
        <v>2026</v>
      </c>
      <c r="E87" s="2" t="n">
        <f aca="false">SUMIFS(Player_Season!$E$2:$E$1869,Player_Season!$B$2:$B$1869,A87)</f>
        <v>26</v>
      </c>
      <c r="F87" s="2" t="n">
        <f aca="false">SUMIFS(Player_Season!$F$2:$F$1869,Player_Season!$B$2:$B$1869,A87)</f>
        <v>92</v>
      </c>
      <c r="G87" s="2" t="n">
        <f aca="false">IF(E87&gt;0,F87/E87,"")</f>
        <v>3.53846153846154</v>
      </c>
      <c r="H87" s="2" t="s">
        <v>29</v>
      </c>
    </row>
    <row r="88" customFormat="false" ht="15" hidden="false" customHeight="false" outlineLevel="0" collapsed="false">
      <c r="A88" s="2" t="s">
        <v>133</v>
      </c>
      <c r="B88" s="2" t="n">
        <v>3</v>
      </c>
      <c r="C88" s="2" t="n">
        <v>2021</v>
      </c>
      <c r="D88" s="2" t="n">
        <v>2023</v>
      </c>
      <c r="E88" s="2" t="n">
        <f aca="false">SUMIFS(Player_Season!$E$2:$E$1869,Player_Season!$B$2:$B$1869,A88)</f>
        <v>15</v>
      </c>
      <c r="F88" s="2" t="n">
        <f aca="false">SUMIFS(Player_Season!$F$2:$F$1869,Player_Season!$B$2:$B$1869,A88)</f>
        <v>91</v>
      </c>
      <c r="G88" s="2" t="n">
        <f aca="false">IF(E88&gt;0,F88/E88,"")</f>
        <v>6.06666666666667</v>
      </c>
      <c r="H88" s="2" t="s">
        <v>24</v>
      </c>
    </row>
    <row r="89" customFormat="false" ht="15" hidden="false" customHeight="false" outlineLevel="0" collapsed="false">
      <c r="A89" s="2" t="s">
        <v>92</v>
      </c>
      <c r="B89" s="2" t="n">
        <v>3</v>
      </c>
      <c r="C89" s="2" t="n">
        <v>2023</v>
      </c>
      <c r="D89" s="2" t="n">
        <v>2025</v>
      </c>
      <c r="E89" s="2" t="n">
        <f aca="false">SUMIFS(Player_Season!$E$2:$E$1869,Player_Season!$B$2:$B$1869,A89)</f>
        <v>20</v>
      </c>
      <c r="F89" s="2" t="n">
        <f aca="false">SUMIFS(Player_Season!$F$2:$F$1869,Player_Season!$B$2:$B$1869,A89)</f>
        <v>89</v>
      </c>
      <c r="G89" s="2" t="n">
        <f aca="false">IF(E89&gt;0,F89/E89,"")</f>
        <v>4.45</v>
      </c>
      <c r="H89" s="2" t="s">
        <v>24</v>
      </c>
    </row>
    <row r="90" customFormat="false" ht="15" hidden="false" customHeight="false" outlineLevel="0" collapsed="false">
      <c r="A90" s="2" t="s">
        <v>79</v>
      </c>
      <c r="B90" s="2" t="n">
        <v>5</v>
      </c>
      <c r="C90" s="2" t="n">
        <v>2022</v>
      </c>
      <c r="D90" s="2" t="n">
        <v>2026</v>
      </c>
      <c r="E90" s="2" t="n">
        <f aca="false">SUMIFS(Player_Season!$E$2:$E$1869,Player_Season!$B$2:$B$1869,A90)</f>
        <v>18</v>
      </c>
      <c r="F90" s="2" t="n">
        <f aca="false">SUMIFS(Player_Season!$F$2:$F$1869,Player_Season!$B$2:$B$1869,A90)</f>
        <v>88</v>
      </c>
      <c r="G90" s="2" t="n">
        <f aca="false">IF(E90&gt;0,F90/E90,"")</f>
        <v>4.88888888888889</v>
      </c>
      <c r="H90" s="2" t="s">
        <v>24</v>
      </c>
    </row>
    <row r="91" customFormat="false" ht="15" hidden="false" customHeight="false" outlineLevel="0" collapsed="false">
      <c r="A91" s="2" t="s">
        <v>106</v>
      </c>
      <c r="B91" s="2" t="n">
        <v>3</v>
      </c>
      <c r="C91" s="2" t="n">
        <v>2023</v>
      </c>
      <c r="D91" s="2" t="n">
        <v>2025</v>
      </c>
      <c r="E91" s="2" t="n">
        <f aca="false">SUMIFS(Player_Season!$E$2:$E$1869,Player_Season!$B$2:$B$1869,A91)</f>
        <v>14</v>
      </c>
      <c r="F91" s="2" t="n">
        <f aca="false">SUMIFS(Player_Season!$F$2:$F$1869,Player_Season!$B$2:$B$1869,A91)</f>
        <v>87</v>
      </c>
      <c r="G91" s="2" t="n">
        <f aca="false">IF(E91&gt;0,F91/E91,"")</f>
        <v>6.21428571428571</v>
      </c>
      <c r="H91" s="2" t="s">
        <v>29</v>
      </c>
    </row>
    <row r="92" customFormat="false" ht="15" hidden="false" customHeight="false" outlineLevel="0" collapsed="false">
      <c r="A92" s="2" t="s">
        <v>100</v>
      </c>
      <c r="B92" s="2" t="n">
        <v>2</v>
      </c>
      <c r="C92" s="2" t="n">
        <v>2025</v>
      </c>
      <c r="D92" s="2" t="n">
        <v>2026</v>
      </c>
      <c r="E92" s="2" t="n">
        <f aca="false">SUMIFS(Player_Season!$E$2:$E$1869,Player_Season!$B$2:$B$1869,A92)</f>
        <v>18</v>
      </c>
      <c r="F92" s="2" t="n">
        <f aca="false">SUMIFS(Player_Season!$F$2:$F$1869,Player_Season!$B$2:$B$1869,A92)</f>
        <v>83</v>
      </c>
      <c r="G92" s="2" t="n">
        <f aca="false">IF(E92&gt;0,F92/E92,"")</f>
        <v>4.61111111111111</v>
      </c>
      <c r="H92" s="2" t="s">
        <v>29</v>
      </c>
    </row>
    <row r="93" customFormat="false" ht="15" hidden="false" customHeight="false" outlineLevel="0" collapsed="false">
      <c r="A93" s="2" t="s">
        <v>101</v>
      </c>
      <c r="B93" s="2" t="n">
        <v>2</v>
      </c>
      <c r="C93" s="2" t="n">
        <v>2025</v>
      </c>
      <c r="D93" s="2" t="n">
        <v>2026</v>
      </c>
      <c r="E93" s="2" t="n">
        <f aca="false">SUMIFS(Player_Season!$E$2:$E$1869,Player_Season!$B$2:$B$1869,A93)</f>
        <v>16</v>
      </c>
      <c r="F93" s="2" t="n">
        <f aca="false">SUMIFS(Player_Season!$F$2:$F$1869,Player_Season!$B$2:$B$1869,A93)</f>
        <v>83</v>
      </c>
      <c r="G93" s="2" t="n">
        <f aca="false">IF(E93&gt;0,F93/E93,"")</f>
        <v>5.1875</v>
      </c>
      <c r="H93" s="2" t="s">
        <v>29</v>
      </c>
    </row>
    <row r="94" customFormat="false" ht="15" hidden="false" customHeight="false" outlineLevel="0" collapsed="false">
      <c r="A94" s="2" t="s">
        <v>431</v>
      </c>
      <c r="B94" s="2" t="n">
        <v>4</v>
      </c>
      <c r="C94" s="2" t="n">
        <v>2019</v>
      </c>
      <c r="D94" s="2" t="n">
        <v>2022</v>
      </c>
      <c r="E94" s="2" t="n">
        <f aca="false">SUMIFS(Player_Season!$E$2:$E$1869,Player_Season!$B$2:$B$1869,A94)</f>
        <v>23</v>
      </c>
      <c r="F94" s="2" t="n">
        <f aca="false">SUMIFS(Player_Season!$F$2:$F$1869,Player_Season!$B$2:$B$1869,A94)</f>
        <v>83</v>
      </c>
      <c r="G94" s="2" t="n">
        <f aca="false">IF(E94&gt;0,F94/E94,"")</f>
        <v>3.60869565217391</v>
      </c>
      <c r="H94" s="2" t="s">
        <v>29</v>
      </c>
    </row>
    <row r="95" customFormat="false" ht="15" hidden="false" customHeight="false" outlineLevel="0" collapsed="false">
      <c r="A95" s="2" t="s">
        <v>178</v>
      </c>
      <c r="B95" s="2" t="n">
        <v>5</v>
      </c>
      <c r="C95" s="2" t="n">
        <v>2019</v>
      </c>
      <c r="D95" s="2" t="n">
        <v>2023</v>
      </c>
      <c r="E95" s="2" t="n">
        <f aca="false">SUMIFS(Player_Season!$E$2:$E$1869,Player_Season!$B$2:$B$1869,A95)</f>
        <v>40</v>
      </c>
      <c r="F95" s="2" t="n">
        <f aca="false">SUMIFS(Player_Season!$F$2:$F$1869,Player_Season!$B$2:$B$1869,A95)</f>
        <v>81</v>
      </c>
      <c r="G95" s="2" t="n">
        <f aca="false">IF(E95&gt;0,F95/E95,"")</f>
        <v>2.025</v>
      </c>
      <c r="H95" s="2" t="s">
        <v>115</v>
      </c>
    </row>
    <row r="96" customFormat="false" ht="15" hidden="false" customHeight="false" outlineLevel="0" collapsed="false">
      <c r="A96" s="2" t="s">
        <v>349</v>
      </c>
      <c r="B96" s="2" t="n">
        <v>4</v>
      </c>
      <c r="C96" s="2" t="n">
        <v>2019</v>
      </c>
      <c r="D96" s="2" t="n">
        <v>2022</v>
      </c>
      <c r="E96" s="2" t="n">
        <f aca="false">SUMIFS(Player_Season!$E$2:$E$1869,Player_Season!$B$2:$B$1869,A96)</f>
        <v>24</v>
      </c>
      <c r="F96" s="2" t="n">
        <f aca="false">SUMIFS(Player_Season!$F$2:$F$1869,Player_Season!$B$2:$B$1869,A96)</f>
        <v>80</v>
      </c>
      <c r="G96" s="2" t="n">
        <f aca="false">IF(E96&gt;0,F96/E96,"")</f>
        <v>3.33333333333333</v>
      </c>
      <c r="H96" s="2" t="s">
        <v>29</v>
      </c>
    </row>
    <row r="97" customFormat="false" ht="15" hidden="false" customHeight="false" outlineLevel="0" collapsed="false">
      <c r="A97" s="2" t="s">
        <v>322</v>
      </c>
      <c r="B97" s="2" t="n">
        <v>4</v>
      </c>
      <c r="C97" s="2" t="n">
        <v>2019</v>
      </c>
      <c r="D97" s="2" t="n">
        <v>2022</v>
      </c>
      <c r="E97" s="2" t="n">
        <f aca="false">SUMIFS(Player_Season!$E$2:$E$1869,Player_Season!$B$2:$B$1869,A97)</f>
        <v>27</v>
      </c>
      <c r="F97" s="2" t="n">
        <f aca="false">SUMIFS(Player_Season!$F$2:$F$1869,Player_Season!$B$2:$B$1869,A97)</f>
        <v>78</v>
      </c>
      <c r="G97" s="2" t="n">
        <f aca="false">IF(E97&gt;0,F97/E97,"")</f>
        <v>2.88888888888889</v>
      </c>
      <c r="H97" s="2" t="s">
        <v>29</v>
      </c>
    </row>
    <row r="98" customFormat="false" ht="15" hidden="false" customHeight="false" outlineLevel="0" collapsed="false">
      <c r="A98" s="2" t="s">
        <v>208</v>
      </c>
      <c r="B98" s="2" t="n">
        <v>2</v>
      </c>
      <c r="C98" s="2" t="n">
        <v>2021</v>
      </c>
      <c r="D98" s="2" t="n">
        <v>2022</v>
      </c>
      <c r="E98" s="2" t="n">
        <f aca="false">SUMIFS(Player_Season!$E$2:$E$1869,Player_Season!$B$2:$B$1869,A98)</f>
        <v>18</v>
      </c>
      <c r="F98" s="2" t="n">
        <f aca="false">SUMIFS(Player_Season!$F$2:$F$1869,Player_Season!$B$2:$B$1869,A98)</f>
        <v>76</v>
      </c>
      <c r="G98" s="2" t="n">
        <f aca="false">IF(E98&gt;0,F98/E98,"")</f>
        <v>4.22222222222222</v>
      </c>
      <c r="H98" s="2" t="s">
        <v>29</v>
      </c>
    </row>
    <row r="99" customFormat="false" ht="15" hidden="false" customHeight="false" outlineLevel="0" collapsed="false">
      <c r="A99" s="2" t="s">
        <v>462</v>
      </c>
      <c r="B99" s="2" t="n">
        <v>3</v>
      </c>
      <c r="C99" s="2" t="n">
        <v>2019</v>
      </c>
      <c r="D99" s="2" t="n">
        <v>2021</v>
      </c>
      <c r="E99" s="2" t="n">
        <f aca="false">SUMIFS(Player_Season!$E$2:$E$1869,Player_Season!$B$2:$B$1869,A99)</f>
        <v>19</v>
      </c>
      <c r="F99" s="2" t="n">
        <f aca="false">SUMIFS(Player_Season!$F$2:$F$1869,Player_Season!$B$2:$B$1869,A99)</f>
        <v>76</v>
      </c>
      <c r="G99" s="2" t="n">
        <f aca="false">IF(E99&gt;0,F99/E99,"")</f>
        <v>4</v>
      </c>
      <c r="H99" s="2" t="s">
        <v>29</v>
      </c>
    </row>
    <row r="100" customFormat="false" ht="15" hidden="false" customHeight="false" outlineLevel="0" collapsed="false">
      <c r="A100" s="2" t="s">
        <v>120</v>
      </c>
      <c r="B100" s="2" t="n">
        <v>3</v>
      </c>
      <c r="C100" s="2" t="n">
        <v>2024</v>
      </c>
      <c r="D100" s="2" t="n">
        <v>2026</v>
      </c>
      <c r="E100" s="2" t="n">
        <f aca="false">SUMIFS(Player_Season!$E$2:$E$1869,Player_Season!$B$2:$B$1869,A100)</f>
        <v>23</v>
      </c>
      <c r="F100" s="2" t="n">
        <f aca="false">SUMIFS(Player_Season!$F$2:$F$1869,Player_Season!$B$2:$B$1869,A100)</f>
        <v>73</v>
      </c>
      <c r="G100" s="2" t="n">
        <f aca="false">IF(E100&gt;0,F100/E100,"")</f>
        <v>3.17391304347826</v>
      </c>
      <c r="H100" s="2" t="s">
        <v>29</v>
      </c>
    </row>
    <row r="101" customFormat="false" ht="15" hidden="false" customHeight="false" outlineLevel="0" collapsed="false">
      <c r="A101" s="2" t="s">
        <v>491</v>
      </c>
      <c r="B101" s="2" t="n">
        <v>3</v>
      </c>
      <c r="C101" s="2" t="n">
        <v>2019</v>
      </c>
      <c r="D101" s="2" t="n">
        <v>2021</v>
      </c>
      <c r="E101" s="2" t="n">
        <f aca="false">SUMIFS(Player_Season!$E$2:$E$1869,Player_Season!$B$2:$B$1869,A101)</f>
        <v>20</v>
      </c>
      <c r="F101" s="2" t="n">
        <f aca="false">SUMIFS(Player_Season!$F$2:$F$1869,Player_Season!$B$2:$B$1869,A101)</f>
        <v>73</v>
      </c>
      <c r="G101" s="2" t="n">
        <f aca="false">IF(E101&gt;0,F101/E101,"")</f>
        <v>3.65</v>
      </c>
      <c r="H101" s="2" t="s">
        <v>29</v>
      </c>
    </row>
    <row r="102" customFormat="false" ht="15" hidden="false" customHeight="false" outlineLevel="0" collapsed="false">
      <c r="A102" s="2" t="s">
        <v>99</v>
      </c>
      <c r="B102" s="2" t="n">
        <v>5</v>
      </c>
      <c r="C102" s="2" t="n">
        <v>2022</v>
      </c>
      <c r="D102" s="2" t="n">
        <v>2026</v>
      </c>
      <c r="E102" s="2" t="n">
        <f aca="false">SUMIFS(Player_Season!$E$2:$E$1869,Player_Season!$B$2:$B$1869,A102)</f>
        <v>26</v>
      </c>
      <c r="F102" s="2" t="n">
        <f aca="false">SUMIFS(Player_Season!$F$2:$F$1869,Player_Season!$B$2:$B$1869,A102)</f>
        <v>72</v>
      </c>
      <c r="G102" s="2" t="n">
        <f aca="false">IF(E102&gt;0,F102/E102,"")</f>
        <v>2.76923076923077</v>
      </c>
      <c r="H102" s="2" t="s">
        <v>29</v>
      </c>
    </row>
    <row r="103" customFormat="false" ht="15" hidden="false" customHeight="false" outlineLevel="0" collapsed="false">
      <c r="A103" s="2" t="s">
        <v>109</v>
      </c>
      <c r="B103" s="2" t="n">
        <v>5</v>
      </c>
      <c r="C103" s="2" t="n">
        <v>2022</v>
      </c>
      <c r="D103" s="2" t="n">
        <v>2026</v>
      </c>
      <c r="E103" s="2" t="n">
        <f aca="false">SUMIFS(Player_Season!$E$2:$E$1869,Player_Season!$B$2:$B$1869,A103)</f>
        <v>29</v>
      </c>
      <c r="F103" s="2" t="n">
        <f aca="false">SUMIFS(Player_Season!$F$2:$F$1869,Player_Season!$B$2:$B$1869,A103)</f>
        <v>72</v>
      </c>
      <c r="G103" s="2" t="n">
        <f aca="false">IF(E103&gt;0,F103/E103,"")</f>
        <v>2.48275862068966</v>
      </c>
      <c r="H103" s="2" t="s">
        <v>29</v>
      </c>
    </row>
    <row r="104" customFormat="false" ht="15" hidden="false" customHeight="false" outlineLevel="0" collapsed="false">
      <c r="A104" s="2" t="s">
        <v>127</v>
      </c>
      <c r="B104" s="2" t="n">
        <v>4</v>
      </c>
      <c r="C104" s="2" t="n">
        <v>2023</v>
      </c>
      <c r="D104" s="2" t="n">
        <v>2026</v>
      </c>
      <c r="E104" s="2" t="n">
        <f aca="false">SUMIFS(Player_Season!$E$2:$E$1869,Player_Season!$B$2:$B$1869,A104)</f>
        <v>21</v>
      </c>
      <c r="F104" s="2" t="n">
        <f aca="false">SUMIFS(Player_Season!$F$2:$F$1869,Player_Season!$B$2:$B$1869,A104)</f>
        <v>70</v>
      </c>
      <c r="G104" s="2" t="n">
        <f aca="false">IF(E104&gt;0,F104/E104,"")</f>
        <v>3.33333333333333</v>
      </c>
      <c r="H104" s="2" t="s">
        <v>29</v>
      </c>
    </row>
    <row r="105" customFormat="false" ht="15" hidden="false" customHeight="false" outlineLevel="0" collapsed="false">
      <c r="A105" s="2" t="s">
        <v>229</v>
      </c>
      <c r="B105" s="2" t="n">
        <v>4</v>
      </c>
      <c r="C105" s="2" t="n">
        <v>2019</v>
      </c>
      <c r="D105" s="2" t="n">
        <v>2022</v>
      </c>
      <c r="E105" s="2" t="n">
        <f aca="false">SUMIFS(Player_Season!$E$2:$E$1869,Player_Season!$B$2:$B$1869,A105)</f>
        <v>27</v>
      </c>
      <c r="F105" s="2" t="n">
        <f aca="false">SUMIFS(Player_Season!$F$2:$F$1869,Player_Season!$B$2:$B$1869,A105)</f>
        <v>69</v>
      </c>
      <c r="G105" s="2" t="n">
        <f aca="false">IF(E105&gt;0,F105/E105,"")</f>
        <v>2.55555555555556</v>
      </c>
      <c r="H105" s="2" t="s">
        <v>29</v>
      </c>
    </row>
    <row r="106" customFormat="false" ht="15" hidden="false" customHeight="false" outlineLevel="0" collapsed="false">
      <c r="A106" s="2" t="s">
        <v>89</v>
      </c>
      <c r="B106" s="2" t="n">
        <v>2</v>
      </c>
      <c r="C106" s="2" t="n">
        <v>2024</v>
      </c>
      <c r="D106" s="2" t="n">
        <v>2025</v>
      </c>
      <c r="E106" s="2" t="n">
        <f aca="false">SUMIFS(Player_Season!$E$2:$E$1869,Player_Season!$B$2:$B$1869,A106)</f>
        <v>18</v>
      </c>
      <c r="F106" s="2" t="n">
        <f aca="false">SUMIFS(Player_Season!$F$2:$F$1869,Player_Season!$B$2:$B$1869,A106)</f>
        <v>68</v>
      </c>
      <c r="G106" s="2" t="n">
        <f aca="false">IF(E106&gt;0,F106/E106,"")</f>
        <v>3.77777777777778</v>
      </c>
      <c r="H106" s="2" t="s">
        <v>29</v>
      </c>
    </row>
    <row r="107" customFormat="false" ht="15" hidden="false" customHeight="false" outlineLevel="0" collapsed="false">
      <c r="A107" s="2" t="s">
        <v>180</v>
      </c>
      <c r="B107" s="2" t="n">
        <v>6</v>
      </c>
      <c r="C107" s="2" t="n">
        <v>2021</v>
      </c>
      <c r="D107" s="2" t="n">
        <v>2026</v>
      </c>
      <c r="E107" s="2" t="n">
        <f aca="false">SUMIFS(Player_Season!$E$2:$E$1869,Player_Season!$B$2:$B$1869,A107)</f>
        <v>22</v>
      </c>
      <c r="F107" s="2" t="n">
        <f aca="false">SUMIFS(Player_Season!$F$2:$F$1869,Player_Season!$B$2:$B$1869,A107)</f>
        <v>67</v>
      </c>
      <c r="G107" s="2" t="n">
        <f aca="false">IF(E107&gt;0,F107/E107,"")</f>
        <v>3.04545454545455</v>
      </c>
      <c r="H107" s="2" t="s">
        <v>29</v>
      </c>
    </row>
    <row r="108" customFormat="false" ht="15" hidden="false" customHeight="false" outlineLevel="0" collapsed="false">
      <c r="A108" s="2" t="s">
        <v>90</v>
      </c>
      <c r="B108" s="2" t="n">
        <v>6</v>
      </c>
      <c r="C108" s="2" t="n">
        <v>2021</v>
      </c>
      <c r="D108" s="2" t="n">
        <v>2026</v>
      </c>
      <c r="E108" s="2" t="n">
        <f aca="false">SUMIFS(Player_Season!$E$2:$E$1869,Player_Season!$B$2:$B$1869,A108)</f>
        <v>59</v>
      </c>
      <c r="F108" s="2" t="n">
        <f aca="false">SUMIFS(Player_Season!$F$2:$F$1869,Player_Season!$B$2:$B$1869,A108)</f>
        <v>67</v>
      </c>
      <c r="G108" s="2" t="n">
        <f aca="false">IF(E108&gt;0,F108/E108,"")</f>
        <v>1.13559322033898</v>
      </c>
      <c r="H108" s="2" t="s">
        <v>83</v>
      </c>
    </row>
    <row r="109" customFormat="false" ht="15" hidden="false" customHeight="false" outlineLevel="0" collapsed="false">
      <c r="A109" s="2" t="s">
        <v>500</v>
      </c>
      <c r="B109" s="2" t="n">
        <v>4</v>
      </c>
      <c r="C109" s="2" t="n">
        <v>2019</v>
      </c>
      <c r="D109" s="2" t="n">
        <v>2022</v>
      </c>
      <c r="E109" s="2" t="n">
        <f aca="false">SUMIFS(Player_Season!$E$2:$E$1869,Player_Season!$B$2:$B$1869,A109)</f>
        <v>20</v>
      </c>
      <c r="F109" s="2" t="n">
        <f aca="false">SUMIFS(Player_Season!$F$2:$F$1869,Player_Season!$B$2:$B$1869,A109)</f>
        <v>66</v>
      </c>
      <c r="G109" s="2" t="n">
        <f aca="false">IF(E109&gt;0,F109/E109,"")</f>
        <v>3.3</v>
      </c>
      <c r="H109" s="2" t="s">
        <v>29</v>
      </c>
    </row>
    <row r="110" customFormat="false" ht="15" hidden="false" customHeight="false" outlineLevel="0" collapsed="false">
      <c r="A110" s="2" t="s">
        <v>145</v>
      </c>
      <c r="B110" s="2" t="n">
        <v>1</v>
      </c>
      <c r="C110" s="2" t="n">
        <v>2026</v>
      </c>
      <c r="D110" s="2" t="n">
        <v>2026</v>
      </c>
      <c r="E110" s="2" t="n">
        <f aca="false">SUMIFS(Player_Season!$E$2:$E$1869,Player_Season!$B$2:$B$1869,A110)</f>
        <v>10</v>
      </c>
      <c r="F110" s="2" t="n">
        <f aca="false">SUMIFS(Player_Season!$F$2:$F$1869,Player_Season!$B$2:$B$1869,A110)</f>
        <v>64</v>
      </c>
      <c r="G110" s="2" t="n">
        <f aca="false">IF(E110&gt;0,F110/E110,"")</f>
        <v>6.4</v>
      </c>
      <c r="H110" s="2" t="s">
        <v>29</v>
      </c>
    </row>
    <row r="111" customFormat="false" ht="15" hidden="false" customHeight="false" outlineLevel="0" collapsed="false">
      <c r="A111" s="2" t="s">
        <v>237</v>
      </c>
      <c r="B111" s="2" t="n">
        <v>3</v>
      </c>
      <c r="C111" s="2" t="n">
        <v>2021</v>
      </c>
      <c r="D111" s="2" t="n">
        <v>2023</v>
      </c>
      <c r="E111" s="2" t="n">
        <f aca="false">SUMIFS(Player_Season!$E$2:$E$1869,Player_Season!$B$2:$B$1869,A111)</f>
        <v>13</v>
      </c>
      <c r="F111" s="2" t="n">
        <f aca="false">SUMIFS(Player_Season!$F$2:$F$1869,Player_Season!$B$2:$B$1869,A111)</f>
        <v>63</v>
      </c>
      <c r="G111" s="2" t="n">
        <f aca="false">IF(E111&gt;0,F111/E111,"")</f>
        <v>4.84615384615385</v>
      </c>
      <c r="H111" s="2" t="s">
        <v>24</v>
      </c>
    </row>
    <row r="112" customFormat="false" ht="15" hidden="false" customHeight="false" outlineLevel="0" collapsed="false">
      <c r="A112" s="2" t="s">
        <v>210</v>
      </c>
      <c r="B112" s="2" t="n">
        <v>2</v>
      </c>
      <c r="C112" s="2" t="n">
        <v>2021</v>
      </c>
      <c r="D112" s="2" t="n">
        <v>2022</v>
      </c>
      <c r="E112" s="2" t="n">
        <f aca="false">SUMIFS(Player_Season!$E$2:$E$1869,Player_Season!$B$2:$B$1869,A112)</f>
        <v>11</v>
      </c>
      <c r="F112" s="2" t="n">
        <f aca="false">SUMIFS(Player_Season!$F$2:$F$1869,Player_Season!$B$2:$B$1869,A112)</f>
        <v>63</v>
      </c>
      <c r="G112" s="2" t="n">
        <f aca="false">IF(E112&gt;0,F112/E112,"")</f>
        <v>5.72727272727273</v>
      </c>
      <c r="H112" s="2" t="s">
        <v>24</v>
      </c>
    </row>
    <row r="113" customFormat="false" ht="15" hidden="false" customHeight="false" outlineLevel="0" collapsed="false">
      <c r="A113" s="2" t="s">
        <v>141</v>
      </c>
      <c r="B113" s="2" t="n">
        <v>4</v>
      </c>
      <c r="C113" s="2" t="n">
        <v>2021</v>
      </c>
      <c r="D113" s="2" t="n">
        <v>2024</v>
      </c>
      <c r="E113" s="2" t="n">
        <f aca="false">SUMIFS(Player_Season!$E$2:$E$1869,Player_Season!$B$2:$B$1869,A113)</f>
        <v>23</v>
      </c>
      <c r="F113" s="2" t="n">
        <f aca="false">SUMIFS(Player_Season!$F$2:$F$1869,Player_Season!$B$2:$B$1869,A113)</f>
        <v>62</v>
      </c>
      <c r="G113" s="2" t="n">
        <f aca="false">IF(E113&gt;0,F113/E113,"")</f>
        <v>2.69565217391304</v>
      </c>
      <c r="H113" s="2" t="s">
        <v>24</v>
      </c>
    </row>
    <row r="114" customFormat="false" ht="15" hidden="false" customHeight="false" outlineLevel="0" collapsed="false">
      <c r="A114" s="2" t="s">
        <v>122</v>
      </c>
      <c r="B114" s="2" t="n">
        <v>3</v>
      </c>
      <c r="C114" s="2" t="n">
        <v>2023</v>
      </c>
      <c r="D114" s="2" t="n">
        <v>2026</v>
      </c>
      <c r="E114" s="2" t="n">
        <f aca="false">SUMIFS(Player_Season!$E$2:$E$1869,Player_Season!$B$2:$B$1869,A114)</f>
        <v>15</v>
      </c>
      <c r="F114" s="2" t="n">
        <f aca="false">SUMIFS(Player_Season!$F$2:$F$1869,Player_Season!$B$2:$B$1869,A114)</f>
        <v>61</v>
      </c>
      <c r="G114" s="2" t="n">
        <f aca="false">IF(E114&gt;0,F114/E114,"")</f>
        <v>4.06666666666667</v>
      </c>
      <c r="H114" s="2" t="s">
        <v>24</v>
      </c>
    </row>
    <row r="115" customFormat="false" ht="15" hidden="false" customHeight="false" outlineLevel="0" collapsed="false">
      <c r="A115" s="2" t="s">
        <v>135</v>
      </c>
      <c r="B115" s="2" t="n">
        <v>2</v>
      </c>
      <c r="C115" s="2" t="n">
        <v>2025</v>
      </c>
      <c r="D115" s="2" t="n">
        <v>2026</v>
      </c>
      <c r="E115" s="2" t="n">
        <f aca="false">SUMIFS(Player_Season!$E$2:$E$1869,Player_Season!$B$2:$B$1869,A115)</f>
        <v>16</v>
      </c>
      <c r="F115" s="2" t="n">
        <f aca="false">SUMIFS(Player_Season!$F$2:$F$1869,Player_Season!$B$2:$B$1869,A115)</f>
        <v>61</v>
      </c>
      <c r="G115" s="2" t="n">
        <f aca="false">IF(E115&gt;0,F115/E115,"")</f>
        <v>3.8125</v>
      </c>
      <c r="H115" s="2" t="s">
        <v>29</v>
      </c>
    </row>
    <row r="116" customFormat="false" ht="15" hidden="false" customHeight="false" outlineLevel="0" collapsed="false">
      <c r="A116" s="2" t="s">
        <v>112</v>
      </c>
      <c r="B116" s="2" t="n">
        <v>1</v>
      </c>
      <c r="C116" s="2" t="n">
        <v>2026</v>
      </c>
      <c r="D116" s="2" t="n">
        <v>2026</v>
      </c>
      <c r="E116" s="2" t="n">
        <f aca="false">SUMIFS(Player_Season!$E$2:$E$1869,Player_Season!$B$2:$B$1869,A116)</f>
        <v>12</v>
      </c>
      <c r="F116" s="2" t="n">
        <f aca="false">SUMIFS(Player_Season!$F$2:$F$1869,Player_Season!$B$2:$B$1869,A116)</f>
        <v>60</v>
      </c>
      <c r="G116" s="2" t="n">
        <f aca="false">IF(E116&gt;0,F116/E116,"")</f>
        <v>5</v>
      </c>
      <c r="H116" s="2" t="s">
        <v>24</v>
      </c>
    </row>
    <row r="117" customFormat="false" ht="15" hidden="false" customHeight="false" outlineLevel="0" collapsed="false">
      <c r="A117" s="2" t="s">
        <v>147</v>
      </c>
      <c r="B117" s="2" t="n">
        <v>4</v>
      </c>
      <c r="C117" s="2" t="n">
        <v>2021</v>
      </c>
      <c r="D117" s="2" t="n">
        <v>2024</v>
      </c>
      <c r="E117" s="2" t="n">
        <f aca="false">SUMIFS(Player_Season!$E$2:$E$1869,Player_Season!$B$2:$B$1869,A117)</f>
        <v>19</v>
      </c>
      <c r="F117" s="2" t="n">
        <f aca="false">SUMIFS(Player_Season!$F$2:$F$1869,Player_Season!$B$2:$B$1869,A117)</f>
        <v>60</v>
      </c>
      <c r="G117" s="2" t="n">
        <f aca="false">IF(E117&gt;0,F117/E117,"")</f>
        <v>3.15789473684211</v>
      </c>
      <c r="H117" s="2" t="s">
        <v>29</v>
      </c>
    </row>
    <row r="118" customFormat="false" ht="15" hidden="false" customHeight="false" outlineLevel="0" collapsed="false">
      <c r="A118" s="2" t="s">
        <v>558</v>
      </c>
      <c r="B118" s="2" t="n">
        <v>6</v>
      </c>
      <c r="C118" s="2" t="n">
        <v>2021</v>
      </c>
      <c r="D118" s="2" t="n">
        <v>2026</v>
      </c>
      <c r="E118" s="2" t="n">
        <f aca="false">SUMIFS(Player_Season!$E$2:$E$1869,Player_Season!$B$2:$B$1869,A118)</f>
        <v>60</v>
      </c>
      <c r="F118" s="2" t="n">
        <f aca="false">SUMIFS(Player_Season!$F$2:$F$1869,Player_Season!$B$2:$B$1869,A118)</f>
        <v>59</v>
      </c>
      <c r="G118" s="2" t="n">
        <f aca="false">IF(E118&gt;0,F118/E118,"")</f>
        <v>0.983333333333333</v>
      </c>
      <c r="H118" s="2" t="s">
        <v>413</v>
      </c>
    </row>
    <row r="119" customFormat="false" ht="15" hidden="false" customHeight="false" outlineLevel="0" collapsed="false">
      <c r="A119" s="2" t="s">
        <v>107</v>
      </c>
      <c r="B119" s="2" t="n">
        <v>1</v>
      </c>
      <c r="C119" s="2" t="n">
        <v>2026</v>
      </c>
      <c r="D119" s="2" t="n">
        <v>2026</v>
      </c>
      <c r="E119" s="2" t="n">
        <f aca="false">SUMIFS(Player_Season!$E$2:$E$1869,Player_Season!$B$2:$B$1869,A119)</f>
        <v>10</v>
      </c>
      <c r="F119" s="2" t="n">
        <f aca="false">SUMIFS(Player_Season!$F$2:$F$1869,Player_Season!$B$2:$B$1869,A119)</f>
        <v>59</v>
      </c>
      <c r="G119" s="2" t="n">
        <f aca="false">IF(E119&gt;0,F119/E119,"")</f>
        <v>5.9</v>
      </c>
      <c r="H119" s="2" t="s">
        <v>24</v>
      </c>
    </row>
    <row r="120" customFormat="false" ht="15" hidden="false" customHeight="false" outlineLevel="0" collapsed="false">
      <c r="A120" s="2" t="s">
        <v>482</v>
      </c>
      <c r="B120" s="2" t="n">
        <v>3</v>
      </c>
      <c r="C120" s="2" t="n">
        <v>2019</v>
      </c>
      <c r="D120" s="2" t="n">
        <v>2021</v>
      </c>
      <c r="E120" s="2" t="n">
        <f aca="false">SUMIFS(Player_Season!$E$2:$E$1869,Player_Season!$B$2:$B$1869,A120)</f>
        <v>21</v>
      </c>
      <c r="F120" s="2" t="n">
        <f aca="false">SUMIFS(Player_Season!$F$2:$F$1869,Player_Season!$B$2:$B$1869,A120)</f>
        <v>58</v>
      </c>
      <c r="G120" s="2" t="n">
        <f aca="false">IF(E120&gt;0,F120/E120,"")</f>
        <v>2.76190476190476</v>
      </c>
      <c r="H120" s="2" t="s">
        <v>24</v>
      </c>
    </row>
    <row r="121" customFormat="false" ht="15" hidden="false" customHeight="false" outlineLevel="0" collapsed="false">
      <c r="A121" s="2" t="s">
        <v>445</v>
      </c>
      <c r="B121" s="2" t="n">
        <v>3</v>
      </c>
      <c r="C121" s="2" t="n">
        <v>2019</v>
      </c>
      <c r="D121" s="2" t="n">
        <v>2021</v>
      </c>
      <c r="E121" s="2" t="n">
        <f aca="false">SUMIFS(Player_Season!$E$2:$E$1869,Player_Season!$B$2:$B$1869,A121)</f>
        <v>25</v>
      </c>
      <c r="F121" s="2" t="n">
        <f aca="false">SUMIFS(Player_Season!$F$2:$F$1869,Player_Season!$B$2:$B$1869,A121)</f>
        <v>57</v>
      </c>
      <c r="G121" s="2" t="n">
        <f aca="false">IF(E121&gt;0,F121/E121,"")</f>
        <v>2.28</v>
      </c>
      <c r="H121" s="2" t="s">
        <v>29</v>
      </c>
    </row>
    <row r="122" customFormat="false" ht="15" hidden="false" customHeight="false" outlineLevel="0" collapsed="false">
      <c r="A122" s="2" t="s">
        <v>132</v>
      </c>
      <c r="B122" s="2" t="n">
        <v>3</v>
      </c>
      <c r="C122" s="2" t="n">
        <v>2023</v>
      </c>
      <c r="D122" s="2" t="n">
        <v>2025</v>
      </c>
      <c r="E122" s="2" t="n">
        <f aca="false">SUMIFS(Player_Season!$E$2:$E$1869,Player_Season!$B$2:$B$1869,A122)</f>
        <v>15</v>
      </c>
      <c r="F122" s="2" t="n">
        <f aca="false">SUMIFS(Player_Season!$F$2:$F$1869,Player_Season!$B$2:$B$1869,A122)</f>
        <v>56</v>
      </c>
      <c r="G122" s="2" t="n">
        <f aca="false">IF(E122&gt;0,F122/E122,"")</f>
        <v>3.73333333333333</v>
      </c>
      <c r="H122" s="2" t="s">
        <v>29</v>
      </c>
    </row>
    <row r="123" customFormat="false" ht="15" hidden="false" customHeight="false" outlineLevel="0" collapsed="false">
      <c r="A123" s="2" t="s">
        <v>111</v>
      </c>
      <c r="B123" s="2" t="n">
        <v>6</v>
      </c>
      <c r="C123" s="2" t="n">
        <v>2021</v>
      </c>
      <c r="D123" s="2" t="n">
        <v>2026</v>
      </c>
      <c r="E123" s="2" t="n">
        <f aca="false">SUMIFS(Player_Season!$E$2:$E$1869,Player_Season!$B$2:$B$1869,A123)</f>
        <v>48</v>
      </c>
      <c r="F123" s="2" t="n">
        <f aca="false">SUMIFS(Player_Season!$F$2:$F$1869,Player_Season!$B$2:$B$1869,A123)</f>
        <v>56</v>
      </c>
      <c r="G123" s="2" t="n">
        <f aca="false">IF(E123&gt;0,F123/E123,"")</f>
        <v>1.16666666666667</v>
      </c>
      <c r="H123" s="2" t="s">
        <v>29</v>
      </c>
    </row>
    <row r="124" customFormat="false" ht="15" hidden="false" customHeight="false" outlineLevel="0" collapsed="false">
      <c r="A124" s="2" t="s">
        <v>295</v>
      </c>
      <c r="B124" s="2" t="n">
        <v>4</v>
      </c>
      <c r="C124" s="2" t="n">
        <v>2019</v>
      </c>
      <c r="D124" s="2" t="n">
        <v>2022</v>
      </c>
      <c r="E124" s="2" t="n">
        <f aca="false">SUMIFS(Player_Season!$E$2:$E$1869,Player_Season!$B$2:$B$1869,A124)</f>
        <v>20</v>
      </c>
      <c r="F124" s="2" t="n">
        <f aca="false">SUMIFS(Player_Season!$F$2:$F$1869,Player_Season!$B$2:$B$1869,A124)</f>
        <v>55</v>
      </c>
      <c r="G124" s="2" t="n">
        <f aca="false">IF(E124&gt;0,F124/E124,"")</f>
        <v>2.75</v>
      </c>
      <c r="H124" s="2" t="s">
        <v>24</v>
      </c>
    </row>
    <row r="125" customFormat="false" ht="15" hidden="false" customHeight="false" outlineLevel="0" collapsed="false">
      <c r="A125" s="2" t="s">
        <v>514</v>
      </c>
      <c r="B125" s="2" t="n">
        <v>4</v>
      </c>
      <c r="C125" s="2" t="n">
        <v>2019</v>
      </c>
      <c r="D125" s="2" t="n">
        <v>2022</v>
      </c>
      <c r="E125" s="2" t="n">
        <f aca="false">SUMIFS(Player_Season!$E$2:$E$1869,Player_Season!$B$2:$B$1869,A125)</f>
        <v>16</v>
      </c>
      <c r="F125" s="2" t="n">
        <f aca="false">SUMIFS(Player_Season!$F$2:$F$1869,Player_Season!$B$2:$B$1869,A125)</f>
        <v>55</v>
      </c>
      <c r="G125" s="2" t="n">
        <f aca="false">IF(E125&gt;0,F125/E125,"")</f>
        <v>3.4375</v>
      </c>
      <c r="H125" s="2" t="s">
        <v>29</v>
      </c>
    </row>
    <row r="126" customFormat="false" ht="15" hidden="false" customHeight="false" outlineLevel="0" collapsed="false">
      <c r="A126" s="2" t="s">
        <v>138</v>
      </c>
      <c r="B126" s="2" t="n">
        <v>2</v>
      </c>
      <c r="C126" s="2" t="n">
        <v>2025</v>
      </c>
      <c r="D126" s="2" t="n">
        <v>2026</v>
      </c>
      <c r="E126" s="2" t="n">
        <f aca="false">SUMIFS(Player_Season!$E$2:$E$1869,Player_Season!$B$2:$B$1869,A126)</f>
        <v>14</v>
      </c>
      <c r="F126" s="2" t="n">
        <f aca="false">SUMIFS(Player_Season!$F$2:$F$1869,Player_Season!$B$2:$B$1869,A126)</f>
        <v>55</v>
      </c>
      <c r="G126" s="2" t="n">
        <f aca="false">IF(E126&gt;0,F126/E126,"")</f>
        <v>3.92857142857143</v>
      </c>
      <c r="H126" s="2" t="s">
        <v>29</v>
      </c>
    </row>
    <row r="127" customFormat="false" ht="15" hidden="false" customHeight="false" outlineLevel="0" collapsed="false">
      <c r="A127" s="2" t="s">
        <v>134</v>
      </c>
      <c r="B127" s="2" t="n">
        <v>2</v>
      </c>
      <c r="C127" s="2" t="n">
        <v>2025</v>
      </c>
      <c r="D127" s="2" t="n">
        <v>2026</v>
      </c>
      <c r="E127" s="2" t="n">
        <f aca="false">SUMIFS(Player_Season!$E$2:$E$1869,Player_Season!$B$2:$B$1869,A127)</f>
        <v>14</v>
      </c>
      <c r="F127" s="2" t="n">
        <f aca="false">SUMIFS(Player_Season!$F$2:$F$1869,Player_Season!$B$2:$B$1869,A127)</f>
        <v>54</v>
      </c>
      <c r="G127" s="2" t="n">
        <f aca="false">IF(E127&gt;0,F127/E127,"")</f>
        <v>3.85714285714286</v>
      </c>
      <c r="H127" s="2" t="s">
        <v>24</v>
      </c>
    </row>
    <row r="128" customFormat="false" ht="15" hidden="false" customHeight="false" outlineLevel="0" collapsed="false">
      <c r="A128" s="2" t="s">
        <v>467</v>
      </c>
      <c r="B128" s="2" t="n">
        <v>8</v>
      </c>
      <c r="C128" s="2" t="n">
        <v>2019</v>
      </c>
      <c r="D128" s="2" t="n">
        <v>2026</v>
      </c>
      <c r="E128" s="2" t="n">
        <f aca="false">SUMIFS(Player_Season!$E$2:$E$1869,Player_Season!$B$2:$B$1869,A128)</f>
        <v>54</v>
      </c>
      <c r="F128" s="2" t="n">
        <f aca="false">SUMIFS(Player_Season!$F$2:$F$1869,Player_Season!$B$2:$B$1869,A128)</f>
        <v>54</v>
      </c>
      <c r="G128" s="2" t="n">
        <f aca="false">IF(E128&gt;0,F128/E128,"")</f>
        <v>1</v>
      </c>
      <c r="H128" s="2" t="s">
        <v>413</v>
      </c>
    </row>
    <row r="129" customFormat="false" ht="15" hidden="false" customHeight="false" outlineLevel="0" collapsed="false">
      <c r="A129" s="2" t="s">
        <v>131</v>
      </c>
      <c r="B129" s="2" t="n">
        <v>1</v>
      </c>
      <c r="C129" s="2" t="n">
        <v>2026</v>
      </c>
      <c r="D129" s="2" t="n">
        <v>2026</v>
      </c>
      <c r="E129" s="2" t="n">
        <f aca="false">SUMIFS(Player_Season!$E$2:$E$1869,Player_Season!$B$2:$B$1869,A129)</f>
        <v>12</v>
      </c>
      <c r="F129" s="2" t="n">
        <f aca="false">SUMIFS(Player_Season!$F$2:$F$1869,Player_Season!$B$2:$B$1869,A129)</f>
        <v>53</v>
      </c>
      <c r="G129" s="2" t="n">
        <f aca="false">IF(E129&gt;0,F129/E129,"")</f>
        <v>4.41666666666667</v>
      </c>
      <c r="H129" s="2" t="s">
        <v>29</v>
      </c>
    </row>
    <row r="130" customFormat="false" ht="15" hidden="false" customHeight="false" outlineLevel="0" collapsed="false">
      <c r="A130" s="2" t="s">
        <v>148</v>
      </c>
      <c r="B130" s="2" t="n">
        <v>6</v>
      </c>
      <c r="C130" s="2" t="n">
        <v>2019</v>
      </c>
      <c r="D130" s="2" t="n">
        <v>2024</v>
      </c>
      <c r="E130" s="2" t="n">
        <f aca="false">SUMIFS(Player_Season!$E$2:$E$1869,Player_Season!$B$2:$B$1869,A130)</f>
        <v>50</v>
      </c>
      <c r="F130" s="2" t="n">
        <f aca="false">SUMIFS(Player_Season!$F$2:$F$1869,Player_Season!$B$2:$B$1869,A130)</f>
        <v>53</v>
      </c>
      <c r="G130" s="2" t="n">
        <f aca="false">IF(E130&gt;0,F130/E130,"")</f>
        <v>1.06</v>
      </c>
      <c r="H130" s="2" t="s">
        <v>117</v>
      </c>
    </row>
    <row r="131" customFormat="false" ht="15" hidden="false" customHeight="false" outlineLevel="0" collapsed="false">
      <c r="A131" s="2" t="s">
        <v>119</v>
      </c>
      <c r="B131" s="2" t="n">
        <v>4</v>
      </c>
      <c r="C131" s="2" t="n">
        <v>2023</v>
      </c>
      <c r="D131" s="2" t="n">
        <v>2026</v>
      </c>
      <c r="E131" s="2" t="n">
        <f aca="false">SUMIFS(Player_Season!$E$2:$E$1869,Player_Season!$B$2:$B$1869,A131)</f>
        <v>20</v>
      </c>
      <c r="F131" s="2" t="n">
        <f aca="false">SUMIFS(Player_Season!$F$2:$F$1869,Player_Season!$B$2:$B$1869,A131)</f>
        <v>53</v>
      </c>
      <c r="G131" s="2" t="n">
        <f aca="false">IF(E131&gt;0,F131/E131,"")</f>
        <v>2.65</v>
      </c>
      <c r="H131" s="2" t="s">
        <v>29</v>
      </c>
    </row>
    <row r="132" customFormat="false" ht="15" hidden="false" customHeight="false" outlineLevel="0" collapsed="false">
      <c r="A132" s="2" t="s">
        <v>110</v>
      </c>
      <c r="B132" s="2" t="n">
        <v>5</v>
      </c>
      <c r="C132" s="2" t="n">
        <v>2022</v>
      </c>
      <c r="D132" s="2" t="n">
        <v>2026</v>
      </c>
      <c r="E132" s="2" t="n">
        <f aca="false">SUMIFS(Player_Season!$E$2:$E$1869,Player_Season!$B$2:$B$1869,A132)</f>
        <v>48</v>
      </c>
      <c r="F132" s="2" t="n">
        <f aca="false">SUMIFS(Player_Season!$F$2:$F$1869,Player_Season!$B$2:$B$1869,A132)</f>
        <v>52</v>
      </c>
      <c r="G132" s="2" t="n">
        <f aca="false">IF(E132&gt;0,F132/E132,"")</f>
        <v>1.08333333333333</v>
      </c>
      <c r="H132" s="2" t="s">
        <v>83</v>
      </c>
    </row>
    <row r="133" customFormat="false" ht="15" hidden="false" customHeight="false" outlineLevel="0" collapsed="false">
      <c r="A133" s="2" t="s">
        <v>146</v>
      </c>
      <c r="B133" s="2" t="n">
        <v>8</v>
      </c>
      <c r="C133" s="2" t="n">
        <v>2019</v>
      </c>
      <c r="D133" s="2" t="n">
        <v>2026</v>
      </c>
      <c r="E133" s="2" t="n">
        <f aca="false">SUMIFS(Player_Season!$E$2:$E$1869,Player_Season!$B$2:$B$1869,A133)</f>
        <v>78</v>
      </c>
      <c r="F133" s="2" t="n">
        <f aca="false">SUMIFS(Player_Season!$F$2:$F$1869,Player_Season!$B$2:$B$1869,A133)</f>
        <v>52</v>
      </c>
      <c r="G133" s="2" t="n">
        <f aca="false">IF(E133&gt;0,F133/E133,"")</f>
        <v>0.666666666666667</v>
      </c>
      <c r="H133" s="2" t="s">
        <v>117</v>
      </c>
    </row>
    <row r="134" customFormat="false" ht="15" hidden="false" customHeight="false" outlineLevel="0" collapsed="false">
      <c r="A134" s="2" t="s">
        <v>118</v>
      </c>
      <c r="B134" s="2" t="n">
        <v>2</v>
      </c>
      <c r="C134" s="2" t="n">
        <v>2025</v>
      </c>
      <c r="D134" s="2" t="n">
        <v>2026</v>
      </c>
      <c r="E134" s="2" t="n">
        <f aca="false">SUMIFS(Player_Season!$E$2:$E$1869,Player_Season!$B$2:$B$1869,A134)</f>
        <v>11</v>
      </c>
      <c r="F134" s="2" t="n">
        <f aca="false">SUMIFS(Player_Season!$F$2:$F$1869,Player_Season!$B$2:$B$1869,A134)</f>
        <v>51</v>
      </c>
      <c r="G134" s="2" t="n">
        <f aca="false">IF(E134&gt;0,F134/E134,"")</f>
        <v>4.63636363636364</v>
      </c>
      <c r="H134" s="2" t="s">
        <v>24</v>
      </c>
    </row>
    <row r="135" customFormat="false" ht="15" hidden="false" customHeight="false" outlineLevel="0" collapsed="false">
      <c r="A135" s="2" t="s">
        <v>105</v>
      </c>
      <c r="B135" s="2" t="n">
        <v>4</v>
      </c>
      <c r="C135" s="2" t="n">
        <v>2023</v>
      </c>
      <c r="D135" s="2" t="n">
        <v>2026</v>
      </c>
      <c r="E135" s="2" t="n">
        <f aca="false">SUMIFS(Player_Season!$E$2:$E$1869,Player_Season!$B$2:$B$1869,A135)</f>
        <v>39</v>
      </c>
      <c r="F135" s="2" t="n">
        <f aca="false">SUMIFS(Player_Season!$F$2:$F$1869,Player_Season!$B$2:$B$1869,A135)</f>
        <v>51</v>
      </c>
      <c r="G135" s="2" t="n">
        <f aca="false">IF(E135&gt;0,F135/E135,"")</f>
        <v>1.30769230769231</v>
      </c>
      <c r="H135" s="2" t="s">
        <v>83</v>
      </c>
    </row>
    <row r="136" customFormat="false" ht="15" hidden="false" customHeight="false" outlineLevel="0" collapsed="false">
      <c r="A136" s="2" t="s">
        <v>136</v>
      </c>
      <c r="B136" s="2" t="n">
        <v>2</v>
      </c>
      <c r="C136" s="2" t="n">
        <v>2025</v>
      </c>
      <c r="D136" s="2" t="n">
        <v>2026</v>
      </c>
      <c r="E136" s="2" t="n">
        <f aca="false">SUMIFS(Player_Season!$E$2:$E$1869,Player_Season!$B$2:$B$1869,A136)</f>
        <v>19</v>
      </c>
      <c r="F136" s="2" t="n">
        <f aca="false">SUMIFS(Player_Season!$F$2:$F$1869,Player_Season!$B$2:$B$1869,A136)</f>
        <v>50</v>
      </c>
      <c r="G136" s="2" t="n">
        <f aca="false">IF(E136&gt;0,F136/E136,"")</f>
        <v>2.63157894736842</v>
      </c>
      <c r="H136" s="2" t="s">
        <v>29</v>
      </c>
    </row>
    <row r="137" customFormat="false" ht="15" hidden="false" customHeight="false" outlineLevel="0" collapsed="false">
      <c r="A137" s="2" t="s">
        <v>121</v>
      </c>
      <c r="B137" s="2" t="n">
        <v>6</v>
      </c>
      <c r="C137" s="2" t="n">
        <v>2021</v>
      </c>
      <c r="D137" s="2" t="n">
        <v>2026</v>
      </c>
      <c r="E137" s="2" t="n">
        <f aca="false">SUMIFS(Player_Season!$E$2:$E$1869,Player_Season!$B$2:$B$1869,A137)</f>
        <v>59</v>
      </c>
      <c r="F137" s="2" t="n">
        <f aca="false">SUMIFS(Player_Season!$F$2:$F$1869,Player_Season!$B$2:$B$1869,A137)</f>
        <v>50</v>
      </c>
      <c r="G137" s="2" t="n">
        <f aca="false">IF(E137&gt;0,F137/E137,"")</f>
        <v>0.847457627118644</v>
      </c>
      <c r="H137" s="2" t="s">
        <v>115</v>
      </c>
    </row>
    <row r="138" customFormat="false" ht="15" hidden="false" customHeight="false" outlineLevel="0" collapsed="false">
      <c r="A138" s="2" t="s">
        <v>166</v>
      </c>
      <c r="B138" s="2" t="n">
        <v>2</v>
      </c>
      <c r="C138" s="2" t="n">
        <v>2025</v>
      </c>
      <c r="D138" s="2" t="n">
        <v>2026</v>
      </c>
      <c r="E138" s="2" t="n">
        <f aca="false">SUMIFS(Player_Season!$E$2:$E$1869,Player_Season!$B$2:$B$1869,A138)</f>
        <v>13</v>
      </c>
      <c r="F138" s="2" t="n">
        <f aca="false">SUMIFS(Player_Season!$F$2:$F$1869,Player_Season!$B$2:$B$1869,A138)</f>
        <v>49</v>
      </c>
      <c r="G138" s="2" t="n">
        <f aca="false">IF(E138&gt;0,F138/E138,"")</f>
        <v>3.76923076923077</v>
      </c>
      <c r="H138" s="2" t="s">
        <v>24</v>
      </c>
    </row>
    <row r="139" customFormat="false" ht="15" hidden="false" customHeight="false" outlineLevel="0" collapsed="false">
      <c r="A139" s="2" t="s">
        <v>510</v>
      </c>
      <c r="B139" s="2" t="n">
        <v>3</v>
      </c>
      <c r="C139" s="2" t="n">
        <v>2019</v>
      </c>
      <c r="D139" s="2" t="n">
        <v>2021</v>
      </c>
      <c r="E139" s="2" t="n">
        <f aca="false">SUMIFS(Player_Season!$E$2:$E$1869,Player_Season!$B$2:$B$1869,A139)</f>
        <v>17</v>
      </c>
      <c r="F139" s="2" t="n">
        <f aca="false">SUMIFS(Player_Season!$F$2:$F$1869,Player_Season!$B$2:$B$1869,A139)</f>
        <v>48</v>
      </c>
      <c r="G139" s="2" t="n">
        <f aca="false">IF(E139&gt;0,F139/E139,"")</f>
        <v>2.82352941176471</v>
      </c>
      <c r="H139" s="2" t="s">
        <v>29</v>
      </c>
    </row>
    <row r="140" customFormat="false" ht="15" hidden="false" customHeight="false" outlineLevel="0" collapsed="false">
      <c r="A140" s="2" t="s">
        <v>137</v>
      </c>
      <c r="B140" s="2" t="n">
        <v>3</v>
      </c>
      <c r="C140" s="2" t="n">
        <v>2022</v>
      </c>
      <c r="D140" s="2" t="n">
        <v>2024</v>
      </c>
      <c r="E140" s="2" t="n">
        <f aca="false">SUMIFS(Player_Season!$E$2:$E$1869,Player_Season!$B$2:$B$1869,A140)</f>
        <v>21</v>
      </c>
      <c r="F140" s="2" t="n">
        <f aca="false">SUMIFS(Player_Season!$F$2:$F$1869,Player_Season!$B$2:$B$1869,A140)</f>
        <v>48</v>
      </c>
      <c r="G140" s="2" t="n">
        <f aca="false">IF(E140&gt;0,F140/E140,"")</f>
        <v>2.28571428571429</v>
      </c>
      <c r="H140" s="2" t="s">
        <v>29</v>
      </c>
    </row>
    <row r="141" customFormat="false" ht="15" hidden="false" customHeight="false" outlineLevel="0" collapsed="false">
      <c r="A141" s="2" t="s">
        <v>633</v>
      </c>
      <c r="B141" s="2" t="n">
        <v>3</v>
      </c>
      <c r="C141" s="2" t="n">
        <v>2024</v>
      </c>
      <c r="D141" s="2" t="n">
        <v>2026</v>
      </c>
      <c r="E141" s="2" t="n">
        <f aca="false">SUMIFS(Player_Season!$E$2:$E$1869,Player_Season!$B$2:$B$1869,A141)</f>
        <v>32</v>
      </c>
      <c r="F141" s="2" t="n">
        <f aca="false">SUMIFS(Player_Season!$F$2:$F$1869,Player_Season!$B$2:$B$1869,A141)</f>
        <v>48</v>
      </c>
      <c r="G141" s="2" t="n">
        <f aca="false">IF(E141&gt;0,F141/E141,"")</f>
        <v>1.5</v>
      </c>
      <c r="H141" s="2" t="s">
        <v>413</v>
      </c>
    </row>
    <row r="142" customFormat="false" ht="15" hidden="false" customHeight="false" outlineLevel="0" collapsed="false">
      <c r="A142" s="2" t="s">
        <v>116</v>
      </c>
      <c r="B142" s="2" t="n">
        <v>8</v>
      </c>
      <c r="C142" s="2" t="n">
        <v>2019</v>
      </c>
      <c r="D142" s="2" t="n">
        <v>2026</v>
      </c>
      <c r="E142" s="2" t="n">
        <f aca="false">SUMIFS(Player_Season!$E$2:$E$1869,Player_Season!$B$2:$B$1869,A142)</f>
        <v>72</v>
      </c>
      <c r="F142" s="2" t="n">
        <f aca="false">SUMIFS(Player_Season!$F$2:$F$1869,Player_Season!$B$2:$B$1869,A142)</f>
        <v>48</v>
      </c>
      <c r="G142" s="2" t="n">
        <f aca="false">IF(E142&gt;0,F142/E142,"")</f>
        <v>0.666666666666667</v>
      </c>
      <c r="H142" s="2" t="s">
        <v>117</v>
      </c>
    </row>
    <row r="143" customFormat="false" ht="15" hidden="false" customHeight="false" outlineLevel="0" collapsed="false">
      <c r="A143" s="2" t="s">
        <v>357</v>
      </c>
      <c r="B143" s="2" t="n">
        <v>6</v>
      </c>
      <c r="C143" s="2" t="n">
        <v>2019</v>
      </c>
      <c r="D143" s="2" t="n">
        <v>2024</v>
      </c>
      <c r="E143" s="2" t="n">
        <f aca="false">SUMIFS(Player_Season!$E$2:$E$1869,Player_Season!$B$2:$B$1869,A143)</f>
        <v>14</v>
      </c>
      <c r="F143" s="2" t="n">
        <f aca="false">SUMIFS(Player_Season!$F$2:$F$1869,Player_Season!$B$2:$B$1869,A143)</f>
        <v>47</v>
      </c>
      <c r="G143" s="2" t="n">
        <f aca="false">IF(E143&gt;0,F143/E143,"")</f>
        <v>3.35714285714286</v>
      </c>
      <c r="H143" s="2" t="s">
        <v>24</v>
      </c>
    </row>
    <row r="144" customFormat="false" ht="15" hidden="false" customHeight="false" outlineLevel="0" collapsed="false">
      <c r="A144" s="2" t="s">
        <v>156</v>
      </c>
      <c r="B144" s="2" t="n">
        <v>1</v>
      </c>
      <c r="C144" s="2" t="n">
        <v>2026</v>
      </c>
      <c r="D144" s="2" t="n">
        <v>2026</v>
      </c>
      <c r="E144" s="2" t="n">
        <f aca="false">SUMIFS(Player_Season!$E$2:$E$1869,Player_Season!$B$2:$B$1869,A144)</f>
        <v>8</v>
      </c>
      <c r="F144" s="2" t="n">
        <f aca="false">SUMIFS(Player_Season!$F$2:$F$1869,Player_Season!$B$2:$B$1869,A144)</f>
        <v>47</v>
      </c>
      <c r="G144" s="2" t="n">
        <f aca="false">IF(E144&gt;0,F144/E144,"")</f>
        <v>5.875</v>
      </c>
      <c r="H144" s="2" t="s">
        <v>24</v>
      </c>
    </row>
    <row r="145" customFormat="false" ht="15" hidden="false" customHeight="false" outlineLevel="0" collapsed="false">
      <c r="A145" s="2" t="s">
        <v>114</v>
      </c>
      <c r="B145" s="2" t="n">
        <v>8</v>
      </c>
      <c r="C145" s="2" t="n">
        <v>2019</v>
      </c>
      <c r="D145" s="2" t="n">
        <v>2026</v>
      </c>
      <c r="E145" s="2" t="n">
        <f aca="false">SUMIFS(Player_Season!$E$2:$E$1869,Player_Season!$B$2:$B$1869,A145)</f>
        <v>77</v>
      </c>
      <c r="F145" s="2" t="n">
        <f aca="false">SUMIFS(Player_Season!$F$2:$F$1869,Player_Season!$B$2:$B$1869,A145)</f>
        <v>45</v>
      </c>
      <c r="G145" s="2" t="n">
        <f aca="false">IF(E145&gt;0,F145/E145,"")</f>
        <v>0.584415584415584</v>
      </c>
      <c r="H145" s="2" t="s">
        <v>115</v>
      </c>
    </row>
    <row r="146" customFormat="false" ht="15" hidden="false" customHeight="false" outlineLevel="0" collapsed="false">
      <c r="A146" s="2" t="s">
        <v>209</v>
      </c>
      <c r="B146" s="2" t="n">
        <v>6</v>
      </c>
      <c r="C146" s="2" t="n">
        <v>2020</v>
      </c>
      <c r="D146" s="2" t="n">
        <v>2025</v>
      </c>
      <c r="E146" s="2" t="n">
        <f aca="false">SUMIFS(Player_Season!$E$2:$E$1869,Player_Season!$B$2:$B$1869,A146)</f>
        <v>44</v>
      </c>
      <c r="F146" s="2" t="n">
        <f aca="false">SUMIFS(Player_Season!$F$2:$F$1869,Player_Season!$B$2:$B$1869,A146)</f>
        <v>45</v>
      </c>
      <c r="G146" s="2" t="n">
        <f aca="false">IF(E146&gt;0,F146/E146,"")</f>
        <v>1.02272727272727</v>
      </c>
      <c r="H146" s="2" t="s">
        <v>115</v>
      </c>
    </row>
    <row r="147" customFormat="false" ht="15" hidden="false" customHeight="false" outlineLevel="0" collapsed="false">
      <c r="A147" s="2" t="s">
        <v>139</v>
      </c>
      <c r="B147" s="2" t="n">
        <v>3</v>
      </c>
      <c r="C147" s="2" t="n">
        <v>2024</v>
      </c>
      <c r="D147" s="2" t="n">
        <v>2026</v>
      </c>
      <c r="E147" s="2" t="n">
        <f aca="false">SUMIFS(Player_Season!$E$2:$E$1869,Player_Season!$B$2:$B$1869,A147)</f>
        <v>32</v>
      </c>
      <c r="F147" s="2" t="n">
        <f aca="false">SUMIFS(Player_Season!$F$2:$F$1869,Player_Season!$B$2:$B$1869,A147)</f>
        <v>45</v>
      </c>
      <c r="G147" s="2" t="n">
        <f aca="false">IF(E147&gt;0,F147/E147,"")</f>
        <v>1.40625</v>
      </c>
      <c r="H147" s="2" t="s">
        <v>115</v>
      </c>
    </row>
    <row r="148" customFormat="false" ht="15" hidden="false" customHeight="false" outlineLevel="0" collapsed="false">
      <c r="A148" s="2" t="s">
        <v>124</v>
      </c>
      <c r="B148" s="2" t="n">
        <v>6</v>
      </c>
      <c r="C148" s="2" t="n">
        <v>2021</v>
      </c>
      <c r="D148" s="2" t="n">
        <v>2026</v>
      </c>
      <c r="E148" s="2" t="n">
        <f aca="false">SUMIFS(Player_Season!$E$2:$E$1869,Player_Season!$B$2:$B$1869,A148)</f>
        <v>53</v>
      </c>
      <c r="F148" s="2" t="n">
        <f aca="false">SUMIFS(Player_Season!$F$2:$F$1869,Player_Season!$B$2:$B$1869,A148)</f>
        <v>45</v>
      </c>
      <c r="G148" s="2" t="n">
        <f aca="false">IF(E148&gt;0,F148/E148,"")</f>
        <v>0.849056603773585</v>
      </c>
      <c r="H148" s="2" t="s">
        <v>83</v>
      </c>
    </row>
    <row r="149" customFormat="false" ht="15" hidden="false" customHeight="false" outlineLevel="0" collapsed="false">
      <c r="A149" s="2" t="s">
        <v>167</v>
      </c>
      <c r="B149" s="2" t="n">
        <v>1</v>
      </c>
      <c r="C149" s="2" t="n">
        <v>2026</v>
      </c>
      <c r="D149" s="2" t="n">
        <v>2026</v>
      </c>
      <c r="E149" s="2" t="n">
        <f aca="false">SUMIFS(Player_Season!$E$2:$E$1869,Player_Season!$B$2:$B$1869,A149)</f>
        <v>9</v>
      </c>
      <c r="F149" s="2" t="n">
        <f aca="false">SUMIFS(Player_Season!$F$2:$F$1869,Player_Season!$B$2:$B$1869,A149)</f>
        <v>44</v>
      </c>
      <c r="G149" s="2" t="n">
        <f aca="false">IF(E149&gt;0,F149/E149,"")</f>
        <v>4.88888888888889</v>
      </c>
      <c r="H149" s="2" t="s">
        <v>29</v>
      </c>
    </row>
    <row r="150" customFormat="false" ht="15" hidden="false" customHeight="false" outlineLevel="0" collapsed="false">
      <c r="A150" s="2" t="s">
        <v>179</v>
      </c>
      <c r="B150" s="2" t="n">
        <v>8</v>
      </c>
      <c r="C150" s="2" t="n">
        <v>2019</v>
      </c>
      <c r="D150" s="2" t="n">
        <v>2026</v>
      </c>
      <c r="E150" s="2" t="n">
        <f aca="false">SUMIFS(Player_Season!$E$2:$E$1869,Player_Season!$B$2:$B$1869,A150)</f>
        <v>61</v>
      </c>
      <c r="F150" s="2" t="n">
        <f aca="false">SUMIFS(Player_Season!$F$2:$F$1869,Player_Season!$B$2:$B$1869,A150)</f>
        <v>44</v>
      </c>
      <c r="G150" s="2" t="n">
        <f aca="false">IF(E150&gt;0,F150/E150,"")</f>
        <v>0.721311475409836</v>
      </c>
      <c r="H150" s="2" t="s">
        <v>29</v>
      </c>
    </row>
    <row r="151" customFormat="false" ht="15" hidden="false" customHeight="false" outlineLevel="0" collapsed="false">
      <c r="A151" s="2" t="s">
        <v>523</v>
      </c>
      <c r="B151" s="2" t="n">
        <v>5</v>
      </c>
      <c r="C151" s="2" t="n">
        <v>2020</v>
      </c>
      <c r="D151" s="2" t="n">
        <v>2024</v>
      </c>
      <c r="E151" s="2" t="n">
        <f aca="false">SUMIFS(Player_Season!$E$2:$E$1869,Player_Season!$B$2:$B$1869,A151)</f>
        <v>7</v>
      </c>
      <c r="F151" s="2" t="n">
        <f aca="false">SUMIFS(Player_Season!$F$2:$F$1869,Player_Season!$B$2:$B$1869,A151)</f>
        <v>43</v>
      </c>
      <c r="G151" s="2" t="n">
        <f aca="false">IF(E151&gt;0,F151/E151,"")</f>
        <v>6.14285714285714</v>
      </c>
      <c r="H151" s="2" t="s">
        <v>24</v>
      </c>
    </row>
    <row r="152" customFormat="false" ht="15" hidden="false" customHeight="false" outlineLevel="0" collapsed="false">
      <c r="A152" s="2" t="s">
        <v>189</v>
      </c>
      <c r="B152" s="2" t="n">
        <v>3</v>
      </c>
      <c r="C152" s="2" t="n">
        <v>2024</v>
      </c>
      <c r="D152" s="2" t="n">
        <v>2026</v>
      </c>
      <c r="E152" s="2" t="n">
        <f aca="false">SUMIFS(Player_Season!$E$2:$E$1869,Player_Season!$B$2:$B$1869,A152)</f>
        <v>16</v>
      </c>
      <c r="F152" s="2" t="n">
        <f aca="false">SUMIFS(Player_Season!$F$2:$F$1869,Player_Season!$B$2:$B$1869,A152)</f>
        <v>43</v>
      </c>
      <c r="G152" s="2" t="n">
        <f aca="false">IF(E152&gt;0,F152/E152,"")</f>
        <v>2.6875</v>
      </c>
      <c r="H152" s="2" t="s">
        <v>29</v>
      </c>
    </row>
    <row r="153" customFormat="false" ht="15" hidden="false" customHeight="false" outlineLevel="0" collapsed="false">
      <c r="A153" s="2" t="s">
        <v>603</v>
      </c>
      <c r="B153" s="2" t="n">
        <v>5</v>
      </c>
      <c r="C153" s="2" t="n">
        <v>2022</v>
      </c>
      <c r="D153" s="2" t="n">
        <v>2026</v>
      </c>
      <c r="E153" s="2" t="n">
        <f aca="false">SUMIFS(Player_Season!$E$2:$E$1869,Player_Season!$B$2:$B$1869,A153)</f>
        <v>28</v>
      </c>
      <c r="F153" s="2" t="n">
        <f aca="false">SUMIFS(Player_Season!$F$2:$F$1869,Player_Season!$B$2:$B$1869,A153)</f>
        <v>43</v>
      </c>
      <c r="G153" s="2" t="n">
        <f aca="false">IF(E153&gt;0,F153/E153,"")</f>
        <v>1.53571428571429</v>
      </c>
      <c r="H153" s="2" t="s">
        <v>413</v>
      </c>
    </row>
    <row r="154" customFormat="false" ht="15" hidden="false" customHeight="false" outlineLevel="0" collapsed="false">
      <c r="A154" s="2" t="s">
        <v>219</v>
      </c>
      <c r="B154" s="2" t="n">
        <v>5</v>
      </c>
      <c r="C154" s="2" t="n">
        <v>2021</v>
      </c>
      <c r="D154" s="2" t="n">
        <v>2025</v>
      </c>
      <c r="E154" s="2" t="n">
        <f aca="false">SUMIFS(Player_Season!$E$2:$E$1869,Player_Season!$B$2:$B$1869,A154)</f>
        <v>13</v>
      </c>
      <c r="F154" s="2" t="n">
        <f aca="false">SUMIFS(Player_Season!$F$2:$F$1869,Player_Season!$B$2:$B$1869,A154)</f>
        <v>43</v>
      </c>
      <c r="G154" s="2" t="n">
        <f aca="false">IF(E154&gt;0,F154/E154,"")</f>
        <v>3.30769230769231</v>
      </c>
      <c r="H154" s="2" t="s">
        <v>29</v>
      </c>
    </row>
    <row r="155" customFormat="false" ht="15" hidden="false" customHeight="false" outlineLevel="0" collapsed="false">
      <c r="A155" s="2" t="s">
        <v>425</v>
      </c>
      <c r="B155" s="2" t="n">
        <v>3</v>
      </c>
      <c r="C155" s="2" t="n">
        <v>2019</v>
      </c>
      <c r="D155" s="2" t="n">
        <v>2021</v>
      </c>
      <c r="E155" s="2" t="n">
        <f aca="false">SUMIFS(Player_Season!$E$2:$E$1869,Player_Season!$B$2:$B$1869,A155)</f>
        <v>14</v>
      </c>
      <c r="F155" s="2" t="n">
        <f aca="false">SUMIFS(Player_Season!$F$2:$F$1869,Player_Season!$B$2:$B$1869,A155)</f>
        <v>42</v>
      </c>
      <c r="G155" s="2" t="n">
        <f aca="false">IF(E155&gt;0,F155/E155,"")</f>
        <v>3</v>
      </c>
      <c r="H155" s="2" t="s">
        <v>29</v>
      </c>
    </row>
    <row r="156" customFormat="false" ht="15" hidden="false" customHeight="false" outlineLevel="0" collapsed="false">
      <c r="A156" s="2" t="s">
        <v>184</v>
      </c>
      <c r="B156" s="2" t="n">
        <v>5</v>
      </c>
      <c r="C156" s="2" t="n">
        <v>2021</v>
      </c>
      <c r="D156" s="2" t="n">
        <v>2025</v>
      </c>
      <c r="E156" s="2" t="n">
        <f aca="false">SUMIFS(Player_Season!$E$2:$E$1869,Player_Season!$B$2:$B$1869,A156)</f>
        <v>31</v>
      </c>
      <c r="F156" s="2" t="n">
        <f aca="false">SUMIFS(Player_Season!$F$2:$F$1869,Player_Season!$B$2:$B$1869,A156)</f>
        <v>41</v>
      </c>
      <c r="G156" s="2" t="n">
        <f aca="false">IF(E156&gt;0,F156/E156,"")</f>
        <v>1.32258064516129</v>
      </c>
      <c r="H156" s="2" t="s">
        <v>115</v>
      </c>
    </row>
    <row r="157" customFormat="false" ht="15" hidden="false" customHeight="false" outlineLevel="0" collapsed="false">
      <c r="A157" s="2" t="s">
        <v>456</v>
      </c>
      <c r="B157" s="2" t="n">
        <v>2</v>
      </c>
      <c r="C157" s="2" t="n">
        <v>2019</v>
      </c>
      <c r="D157" s="2" t="n">
        <v>2020</v>
      </c>
      <c r="E157" s="2" t="n">
        <f aca="false">SUMIFS(Player_Season!$E$2:$E$1869,Player_Season!$B$2:$B$1869,A157)</f>
        <v>14</v>
      </c>
      <c r="F157" s="2" t="n">
        <f aca="false">SUMIFS(Player_Season!$F$2:$F$1869,Player_Season!$B$2:$B$1869,A157)</f>
        <v>41</v>
      </c>
      <c r="G157" s="2" t="n">
        <f aca="false">IF(E157&gt;0,F157/E157,"")</f>
        <v>2.92857142857143</v>
      </c>
      <c r="H157" s="2" t="s">
        <v>29</v>
      </c>
    </row>
    <row r="158" customFormat="false" ht="15" hidden="false" customHeight="false" outlineLevel="0" collapsed="false">
      <c r="A158" s="2" t="s">
        <v>494</v>
      </c>
      <c r="B158" s="2" t="n">
        <v>3</v>
      </c>
      <c r="C158" s="2" t="n">
        <v>2019</v>
      </c>
      <c r="D158" s="2" t="n">
        <v>2021</v>
      </c>
      <c r="E158" s="2" t="n">
        <f aca="false">SUMIFS(Player_Season!$E$2:$E$1869,Player_Season!$B$2:$B$1869,A158)</f>
        <v>18</v>
      </c>
      <c r="F158" s="2" t="n">
        <f aca="false">SUMIFS(Player_Season!$F$2:$F$1869,Player_Season!$B$2:$B$1869,A158)</f>
        <v>40</v>
      </c>
      <c r="G158" s="2" t="n">
        <f aca="false">IF(E158&gt;0,F158/E158,"")</f>
        <v>2.22222222222222</v>
      </c>
      <c r="H158" s="2" t="s">
        <v>29</v>
      </c>
    </row>
    <row r="159" customFormat="false" ht="15" hidden="false" customHeight="false" outlineLevel="0" collapsed="false">
      <c r="A159" s="2" t="s">
        <v>151</v>
      </c>
      <c r="B159" s="2" t="n">
        <v>1</v>
      </c>
      <c r="C159" s="2" t="n">
        <v>2026</v>
      </c>
      <c r="D159" s="2" t="n">
        <v>2026</v>
      </c>
      <c r="E159" s="2" t="n">
        <f aca="false">SUMIFS(Player_Season!$E$2:$E$1869,Player_Season!$B$2:$B$1869,A159)</f>
        <v>10</v>
      </c>
      <c r="F159" s="2" t="n">
        <f aca="false">SUMIFS(Player_Season!$F$2:$F$1869,Player_Season!$B$2:$B$1869,A159)</f>
        <v>40</v>
      </c>
      <c r="G159" s="2" t="n">
        <f aca="false">IF(E159&gt;0,F159/E159,"")</f>
        <v>4</v>
      </c>
      <c r="H159" s="2" t="s">
        <v>29</v>
      </c>
    </row>
    <row r="160" customFormat="false" ht="15" hidden="false" customHeight="false" outlineLevel="0" collapsed="false">
      <c r="A160" s="2" t="s">
        <v>123</v>
      </c>
      <c r="B160" s="2" t="n">
        <v>6</v>
      </c>
      <c r="C160" s="2" t="n">
        <v>2021</v>
      </c>
      <c r="D160" s="2" t="n">
        <v>2026</v>
      </c>
      <c r="E160" s="2" t="n">
        <f aca="false">SUMIFS(Player_Season!$E$2:$E$1869,Player_Season!$B$2:$B$1869,A160)</f>
        <v>56</v>
      </c>
      <c r="F160" s="2" t="n">
        <f aca="false">SUMIFS(Player_Season!$F$2:$F$1869,Player_Season!$B$2:$B$1869,A160)</f>
        <v>39</v>
      </c>
      <c r="G160" s="2" t="n">
        <f aca="false">IF(E160&gt;0,F160/E160,"")</f>
        <v>0.696428571428571</v>
      </c>
      <c r="H160" s="2" t="s">
        <v>83</v>
      </c>
    </row>
    <row r="161" customFormat="false" ht="15" hidden="false" customHeight="false" outlineLevel="0" collapsed="false">
      <c r="A161" s="2" t="s">
        <v>239</v>
      </c>
      <c r="B161" s="2" t="n">
        <v>4</v>
      </c>
      <c r="C161" s="2" t="n">
        <v>2019</v>
      </c>
      <c r="D161" s="2" t="n">
        <v>2022</v>
      </c>
      <c r="E161" s="2" t="n">
        <f aca="false">SUMIFS(Player_Season!$E$2:$E$1869,Player_Season!$B$2:$B$1869,A161)</f>
        <v>35</v>
      </c>
      <c r="F161" s="2" t="n">
        <f aca="false">SUMIFS(Player_Season!$F$2:$F$1869,Player_Season!$B$2:$B$1869,A161)</f>
        <v>39</v>
      </c>
      <c r="G161" s="2" t="n">
        <f aca="false">IF(E161&gt;0,F161/E161,"")</f>
        <v>1.11428571428571</v>
      </c>
      <c r="H161" s="2" t="s">
        <v>117</v>
      </c>
    </row>
    <row r="162" customFormat="false" ht="15" hidden="false" customHeight="false" outlineLevel="0" collapsed="false">
      <c r="A162" s="2" t="s">
        <v>503</v>
      </c>
      <c r="B162" s="2" t="n">
        <v>3</v>
      </c>
      <c r="C162" s="2" t="n">
        <v>2019</v>
      </c>
      <c r="D162" s="2" t="n">
        <v>2021</v>
      </c>
      <c r="E162" s="2" t="n">
        <f aca="false">SUMIFS(Player_Season!$E$2:$E$1869,Player_Season!$B$2:$B$1869,A162)</f>
        <v>13</v>
      </c>
      <c r="F162" s="2" t="n">
        <f aca="false">SUMIFS(Player_Season!$F$2:$F$1869,Player_Season!$B$2:$B$1869,A162)</f>
        <v>39</v>
      </c>
      <c r="G162" s="2" t="n">
        <f aca="false">IF(E162&gt;0,F162/E162,"")</f>
        <v>3</v>
      </c>
      <c r="H162" s="2" t="s">
        <v>24</v>
      </c>
    </row>
    <row r="163" customFormat="false" ht="15" hidden="false" customHeight="false" outlineLevel="0" collapsed="false">
      <c r="A163" s="2" t="s">
        <v>459</v>
      </c>
      <c r="B163" s="2" t="n">
        <v>2</v>
      </c>
      <c r="C163" s="2" t="n">
        <v>2019</v>
      </c>
      <c r="D163" s="2" t="n">
        <v>2021</v>
      </c>
      <c r="E163" s="2" t="n">
        <f aca="false">SUMIFS(Player_Season!$E$2:$E$1869,Player_Season!$B$2:$B$1869,A163)</f>
        <v>8</v>
      </c>
      <c r="F163" s="2" t="n">
        <f aca="false">SUMIFS(Player_Season!$F$2:$F$1869,Player_Season!$B$2:$B$1869,A163)</f>
        <v>38</v>
      </c>
      <c r="G163" s="2" t="n">
        <f aca="false">IF(E163&gt;0,F163/E163,"")</f>
        <v>4.75</v>
      </c>
      <c r="H163" s="2" t="s">
        <v>24</v>
      </c>
    </row>
    <row r="164" customFormat="false" ht="15" hidden="false" customHeight="false" outlineLevel="0" collapsed="false">
      <c r="A164" s="2" t="s">
        <v>492</v>
      </c>
      <c r="B164" s="2" t="n">
        <v>3</v>
      </c>
      <c r="C164" s="2" t="n">
        <v>2019</v>
      </c>
      <c r="D164" s="2" t="n">
        <v>2021</v>
      </c>
      <c r="E164" s="2" t="n">
        <f aca="false">SUMIFS(Player_Season!$E$2:$E$1869,Player_Season!$B$2:$B$1869,A164)</f>
        <v>12</v>
      </c>
      <c r="F164" s="2" t="n">
        <f aca="false">SUMIFS(Player_Season!$F$2:$F$1869,Player_Season!$B$2:$B$1869,A164)</f>
        <v>38</v>
      </c>
      <c r="G164" s="2" t="n">
        <f aca="false">IF(E164&gt;0,F164/E164,"")</f>
        <v>3.16666666666667</v>
      </c>
      <c r="H164" s="2" t="s">
        <v>24</v>
      </c>
    </row>
    <row r="165" customFormat="false" ht="15" hidden="false" customHeight="false" outlineLevel="0" collapsed="false">
      <c r="A165" s="2" t="s">
        <v>177</v>
      </c>
      <c r="B165" s="2" t="n">
        <v>1</v>
      </c>
      <c r="C165" s="2" t="n">
        <v>2026</v>
      </c>
      <c r="D165" s="2" t="n">
        <v>2026</v>
      </c>
      <c r="E165" s="2" t="n">
        <f aca="false">SUMIFS(Player_Season!$E$2:$E$1869,Player_Season!$B$2:$B$1869,A165)</f>
        <v>9</v>
      </c>
      <c r="F165" s="2" t="n">
        <f aca="false">SUMIFS(Player_Season!$F$2:$F$1869,Player_Season!$B$2:$B$1869,A165)</f>
        <v>38</v>
      </c>
      <c r="G165" s="2" t="n">
        <f aca="false">IF(E165&gt;0,F165/E165,"")</f>
        <v>4.22222222222222</v>
      </c>
      <c r="H165" s="2" t="s">
        <v>29</v>
      </c>
    </row>
    <row r="166" customFormat="false" ht="15" hidden="false" customHeight="false" outlineLevel="0" collapsed="false">
      <c r="A166" s="2" t="s">
        <v>173</v>
      </c>
      <c r="B166" s="2" t="n">
        <v>3</v>
      </c>
      <c r="C166" s="2" t="n">
        <v>2024</v>
      </c>
      <c r="D166" s="2" t="n">
        <v>2026</v>
      </c>
      <c r="E166" s="2" t="n">
        <f aca="false">SUMIFS(Player_Season!$E$2:$E$1869,Player_Season!$B$2:$B$1869,A166)</f>
        <v>9</v>
      </c>
      <c r="F166" s="2" t="n">
        <f aca="false">SUMIFS(Player_Season!$F$2:$F$1869,Player_Season!$B$2:$B$1869,A166)</f>
        <v>37</v>
      </c>
      <c r="G166" s="2" t="n">
        <f aca="false">IF(E166&gt;0,F166/E166,"")</f>
        <v>4.11111111111111</v>
      </c>
      <c r="H166" s="2" t="s">
        <v>29</v>
      </c>
    </row>
    <row r="167" customFormat="false" ht="15" hidden="false" customHeight="false" outlineLevel="0" collapsed="false">
      <c r="A167" s="2" t="s">
        <v>170</v>
      </c>
      <c r="B167" s="2" t="n">
        <v>1</v>
      </c>
      <c r="C167" s="2" t="n">
        <v>2026</v>
      </c>
      <c r="D167" s="2" t="n">
        <v>2026</v>
      </c>
      <c r="E167" s="2" t="n">
        <f aca="false">SUMIFS(Player_Season!$E$2:$E$1869,Player_Season!$B$2:$B$1869,A167)</f>
        <v>9</v>
      </c>
      <c r="F167" s="2" t="n">
        <f aca="false">SUMIFS(Player_Season!$F$2:$F$1869,Player_Season!$B$2:$B$1869,A167)</f>
        <v>37</v>
      </c>
      <c r="G167" s="2" t="n">
        <f aca="false">IF(E167&gt;0,F167/E167,"")</f>
        <v>4.11111111111111</v>
      </c>
      <c r="H167" s="2" t="s">
        <v>29</v>
      </c>
    </row>
    <row r="168" customFormat="false" ht="15" hidden="false" customHeight="false" outlineLevel="0" collapsed="false">
      <c r="A168" s="2" t="s">
        <v>176</v>
      </c>
      <c r="B168" s="2" t="n">
        <v>2</v>
      </c>
      <c r="C168" s="2" t="n">
        <v>2024</v>
      </c>
      <c r="D168" s="2" t="n">
        <v>2025</v>
      </c>
      <c r="E168" s="2" t="n">
        <f aca="false">SUMIFS(Player_Season!$E$2:$E$1869,Player_Season!$B$2:$B$1869,A168)</f>
        <v>11</v>
      </c>
      <c r="F168" s="2" t="n">
        <f aca="false">SUMIFS(Player_Season!$F$2:$F$1869,Player_Season!$B$2:$B$1869,A168)</f>
        <v>37</v>
      </c>
      <c r="G168" s="2" t="n">
        <f aca="false">IF(E168&gt;0,F168/E168,"")</f>
        <v>3.36363636363636</v>
      </c>
      <c r="H168" s="2" t="s">
        <v>29</v>
      </c>
    </row>
    <row r="169" customFormat="false" ht="15" hidden="false" customHeight="false" outlineLevel="0" collapsed="false">
      <c r="A169" s="2" t="s">
        <v>140</v>
      </c>
      <c r="B169" s="2" t="n">
        <v>3</v>
      </c>
      <c r="C169" s="2" t="n">
        <v>2024</v>
      </c>
      <c r="D169" s="2" t="n">
        <v>2026</v>
      </c>
      <c r="E169" s="2" t="n">
        <f aca="false">SUMIFS(Player_Season!$E$2:$E$1869,Player_Season!$B$2:$B$1869,A169)</f>
        <v>32</v>
      </c>
      <c r="F169" s="2" t="n">
        <f aca="false">SUMIFS(Player_Season!$F$2:$F$1869,Player_Season!$B$2:$B$1869,A169)</f>
        <v>35</v>
      </c>
      <c r="G169" s="2" t="n">
        <f aca="false">IF(E169&gt;0,F169/E169,"")</f>
        <v>1.09375</v>
      </c>
      <c r="H169" s="2" t="s">
        <v>117</v>
      </c>
    </row>
    <row r="170" customFormat="false" ht="15" hidden="false" customHeight="false" outlineLevel="0" collapsed="false">
      <c r="A170" s="2" t="s">
        <v>149</v>
      </c>
      <c r="B170" s="2" t="n">
        <v>1</v>
      </c>
      <c r="C170" s="2" t="n">
        <v>2026</v>
      </c>
      <c r="D170" s="2" t="n">
        <v>2026</v>
      </c>
      <c r="E170" s="2" t="n">
        <f aca="false">SUMIFS(Player_Season!$E$2:$E$1869,Player_Season!$B$2:$B$1869,A170)</f>
        <v>10</v>
      </c>
      <c r="F170" s="2" t="n">
        <f aca="false">SUMIFS(Player_Season!$F$2:$F$1869,Player_Season!$B$2:$B$1869,A170)</f>
        <v>35</v>
      </c>
      <c r="G170" s="2" t="n">
        <f aca="false">IF(E170&gt;0,F170/E170,"")</f>
        <v>3.5</v>
      </c>
      <c r="H170" s="2" t="s">
        <v>29</v>
      </c>
    </row>
    <row r="171" customFormat="false" ht="15" hidden="false" customHeight="false" outlineLevel="0" collapsed="false">
      <c r="A171" s="2" t="s">
        <v>432</v>
      </c>
      <c r="B171" s="2" t="n">
        <v>1</v>
      </c>
      <c r="C171" s="2" t="n">
        <v>2019</v>
      </c>
      <c r="D171" s="2" t="n">
        <v>2019</v>
      </c>
      <c r="E171" s="2" t="n">
        <f aca="false">SUMIFS(Player_Season!$E$2:$E$1869,Player_Season!$B$2:$B$1869,A171)</f>
        <v>10</v>
      </c>
      <c r="F171" s="2" t="n">
        <f aca="false">SUMIFS(Player_Season!$F$2:$F$1869,Player_Season!$B$2:$B$1869,A171)</f>
        <v>35</v>
      </c>
      <c r="G171" s="2" t="n">
        <f aca="false">IF(E171&gt;0,F171/E171,"")</f>
        <v>3.5</v>
      </c>
      <c r="H171" s="2" t="s">
        <v>29</v>
      </c>
    </row>
    <row r="172" customFormat="false" ht="15" hidden="false" customHeight="false" outlineLevel="0" collapsed="false">
      <c r="A172" s="2" t="s">
        <v>619</v>
      </c>
      <c r="B172" s="2" t="n">
        <v>4</v>
      </c>
      <c r="C172" s="2" t="n">
        <v>2023</v>
      </c>
      <c r="D172" s="2" t="n">
        <v>2026</v>
      </c>
      <c r="E172" s="2" t="n">
        <f aca="false">SUMIFS(Player_Season!$E$2:$E$1869,Player_Season!$B$2:$B$1869,A172)</f>
        <v>37</v>
      </c>
      <c r="F172" s="2" t="n">
        <f aca="false">SUMIFS(Player_Season!$F$2:$F$1869,Player_Season!$B$2:$B$1869,A172)</f>
        <v>34</v>
      </c>
      <c r="G172" s="2" t="n">
        <f aca="false">IF(E172&gt;0,F172/E172,"")</f>
        <v>0.918918918918919</v>
      </c>
      <c r="H172" s="2" t="s">
        <v>413</v>
      </c>
    </row>
    <row r="173" customFormat="false" ht="15" hidden="false" customHeight="false" outlineLevel="0" collapsed="false">
      <c r="A173" s="2" t="s">
        <v>188</v>
      </c>
      <c r="B173" s="2" t="n">
        <v>7</v>
      </c>
      <c r="C173" s="2" t="n">
        <v>2019</v>
      </c>
      <c r="D173" s="2" t="n">
        <v>2025</v>
      </c>
      <c r="E173" s="2" t="n">
        <f aca="false">SUMIFS(Player_Season!$E$2:$E$1869,Player_Season!$B$2:$B$1869,A173)</f>
        <v>51</v>
      </c>
      <c r="F173" s="2" t="n">
        <f aca="false">SUMIFS(Player_Season!$F$2:$F$1869,Player_Season!$B$2:$B$1869,A173)</f>
        <v>33</v>
      </c>
      <c r="G173" s="2" t="n">
        <f aca="false">IF(E173&gt;0,F173/E173,"")</f>
        <v>0.647058823529412</v>
      </c>
      <c r="H173" s="2" t="s">
        <v>29</v>
      </c>
    </row>
    <row r="174" customFormat="false" ht="15" hidden="false" customHeight="false" outlineLevel="0" collapsed="false">
      <c r="A174" s="2" t="s">
        <v>422</v>
      </c>
      <c r="B174" s="2" t="n">
        <v>2</v>
      </c>
      <c r="C174" s="2" t="n">
        <v>2019</v>
      </c>
      <c r="D174" s="2" t="n">
        <v>2020</v>
      </c>
      <c r="E174" s="2" t="n">
        <f aca="false">SUMIFS(Player_Season!$E$2:$E$1869,Player_Season!$B$2:$B$1869,A174)</f>
        <v>16</v>
      </c>
      <c r="F174" s="2" t="n">
        <f aca="false">SUMIFS(Player_Season!$F$2:$F$1869,Player_Season!$B$2:$B$1869,A174)</f>
        <v>32</v>
      </c>
      <c r="G174" s="2" t="n">
        <f aca="false">IF(E174&gt;0,F174/E174,"")</f>
        <v>2</v>
      </c>
      <c r="H174" s="2" t="s">
        <v>29</v>
      </c>
    </row>
    <row r="175" customFormat="false" ht="15" hidden="false" customHeight="false" outlineLevel="0" collapsed="false">
      <c r="A175" s="2" t="s">
        <v>207</v>
      </c>
      <c r="B175" s="2" t="n">
        <v>5</v>
      </c>
      <c r="C175" s="2" t="n">
        <v>2021</v>
      </c>
      <c r="D175" s="2" t="n">
        <v>2025</v>
      </c>
      <c r="E175" s="2" t="n">
        <f aca="false">SUMIFS(Player_Season!$E$2:$E$1869,Player_Season!$B$2:$B$1869,A175)</f>
        <v>17</v>
      </c>
      <c r="F175" s="2" t="n">
        <f aca="false">SUMIFS(Player_Season!$F$2:$F$1869,Player_Season!$B$2:$B$1869,A175)</f>
        <v>31</v>
      </c>
      <c r="G175" s="2" t="n">
        <f aca="false">IF(E175&gt;0,F175/E175,"")</f>
        <v>1.82352941176471</v>
      </c>
      <c r="H175" s="2" t="s">
        <v>24</v>
      </c>
    </row>
    <row r="176" customFormat="false" ht="15" hidden="false" customHeight="false" outlineLevel="0" collapsed="false">
      <c r="A176" s="2" t="s">
        <v>314</v>
      </c>
      <c r="B176" s="2" t="n">
        <v>2</v>
      </c>
      <c r="C176" s="2" t="n">
        <v>2021</v>
      </c>
      <c r="D176" s="2" t="n">
        <v>2022</v>
      </c>
      <c r="E176" s="2" t="n">
        <f aca="false">SUMIFS(Player_Season!$E$2:$E$1869,Player_Season!$B$2:$B$1869,A176)</f>
        <v>8</v>
      </c>
      <c r="F176" s="2" t="n">
        <f aca="false">SUMIFS(Player_Season!$F$2:$F$1869,Player_Season!$B$2:$B$1869,A176)</f>
        <v>31</v>
      </c>
      <c r="G176" s="2" t="n">
        <f aca="false">IF(E176&gt;0,F176/E176,"")</f>
        <v>3.875</v>
      </c>
      <c r="H176" s="2" t="s">
        <v>24</v>
      </c>
    </row>
    <row r="177" customFormat="false" ht="15" hidden="false" customHeight="false" outlineLevel="0" collapsed="false">
      <c r="A177" s="2" t="s">
        <v>250</v>
      </c>
      <c r="B177" s="2" t="n">
        <v>4</v>
      </c>
      <c r="C177" s="2" t="n">
        <v>2020</v>
      </c>
      <c r="D177" s="2" t="n">
        <v>2023</v>
      </c>
      <c r="E177" s="2" t="n">
        <f aca="false">SUMIFS(Player_Season!$E$2:$E$1869,Player_Season!$B$2:$B$1869,A177)</f>
        <v>11</v>
      </c>
      <c r="F177" s="2" t="n">
        <f aca="false">SUMIFS(Player_Season!$F$2:$F$1869,Player_Season!$B$2:$B$1869,A177)</f>
        <v>31</v>
      </c>
      <c r="G177" s="2" t="n">
        <f aca="false">IF(E177&gt;0,F177/E177,"")</f>
        <v>2.81818181818182</v>
      </c>
      <c r="H177" s="2" t="s">
        <v>29</v>
      </c>
    </row>
    <row r="178" customFormat="false" ht="15" hidden="false" customHeight="false" outlineLevel="0" collapsed="false">
      <c r="A178" s="2" t="s">
        <v>200</v>
      </c>
      <c r="B178" s="2" t="n">
        <v>5</v>
      </c>
      <c r="C178" s="2" t="n">
        <v>2022</v>
      </c>
      <c r="D178" s="2" t="n">
        <v>2026</v>
      </c>
      <c r="E178" s="2" t="n">
        <f aca="false">SUMIFS(Player_Season!$E$2:$E$1869,Player_Season!$B$2:$B$1869,A178)</f>
        <v>12</v>
      </c>
      <c r="F178" s="2" t="n">
        <f aca="false">SUMIFS(Player_Season!$F$2:$F$1869,Player_Season!$B$2:$B$1869,A178)</f>
        <v>31</v>
      </c>
      <c r="G178" s="2" t="n">
        <f aca="false">IF(E178&gt;0,F178/E178,"")</f>
        <v>2.58333333333333</v>
      </c>
      <c r="H178" s="2" t="s">
        <v>29</v>
      </c>
    </row>
    <row r="179" customFormat="false" ht="15" hidden="false" customHeight="false" outlineLevel="0" collapsed="false">
      <c r="A179" s="2" t="s">
        <v>113</v>
      </c>
      <c r="B179" s="2" t="n">
        <v>4</v>
      </c>
      <c r="C179" s="2" t="n">
        <v>2023</v>
      </c>
      <c r="D179" s="2" t="n">
        <v>2026</v>
      </c>
      <c r="E179" s="2" t="n">
        <f aca="false">SUMIFS(Player_Season!$E$2:$E$1869,Player_Season!$B$2:$B$1869,A179)</f>
        <v>42</v>
      </c>
      <c r="F179" s="2" t="n">
        <f aca="false">SUMIFS(Player_Season!$F$2:$F$1869,Player_Season!$B$2:$B$1869,A179)</f>
        <v>30</v>
      </c>
      <c r="G179" s="2" t="n">
        <f aca="false">IF(E179&gt;0,F179/E179,"")</f>
        <v>0.714285714285714</v>
      </c>
      <c r="H179" s="2" t="s">
        <v>83</v>
      </c>
    </row>
    <row r="180" customFormat="false" ht="15" hidden="false" customHeight="false" outlineLevel="0" collapsed="false">
      <c r="A180" s="2" t="s">
        <v>193</v>
      </c>
      <c r="B180" s="2" t="n">
        <v>2</v>
      </c>
      <c r="C180" s="2" t="n">
        <v>2021</v>
      </c>
      <c r="D180" s="2" t="n">
        <v>2023</v>
      </c>
      <c r="E180" s="2" t="n">
        <f aca="false">SUMIFS(Player_Season!$E$2:$E$1869,Player_Season!$B$2:$B$1869,A180)</f>
        <v>10</v>
      </c>
      <c r="F180" s="2" t="n">
        <f aca="false">SUMIFS(Player_Season!$F$2:$F$1869,Player_Season!$B$2:$B$1869,A180)</f>
        <v>30</v>
      </c>
      <c r="G180" s="2" t="n">
        <f aca="false">IF(E180&gt;0,F180/E180,"")</f>
        <v>3</v>
      </c>
      <c r="H180" s="2" t="s">
        <v>29</v>
      </c>
    </row>
    <row r="181" customFormat="false" ht="15" hidden="false" customHeight="false" outlineLevel="0" collapsed="false">
      <c r="A181" s="2" t="s">
        <v>154</v>
      </c>
      <c r="B181" s="2" t="n">
        <v>3</v>
      </c>
      <c r="C181" s="2" t="n">
        <v>2024</v>
      </c>
      <c r="D181" s="2" t="n">
        <v>2026</v>
      </c>
      <c r="E181" s="2" t="n">
        <f aca="false">SUMIFS(Player_Season!$E$2:$E$1869,Player_Season!$B$2:$B$1869,A181)</f>
        <v>8</v>
      </c>
      <c r="F181" s="2" t="n">
        <f aca="false">SUMIFS(Player_Season!$F$2:$F$1869,Player_Season!$B$2:$B$1869,A181)</f>
        <v>29</v>
      </c>
      <c r="G181" s="2" t="n">
        <f aca="false">IF(E181&gt;0,F181/E181,"")</f>
        <v>3.625</v>
      </c>
      <c r="H181" s="2" t="s">
        <v>24</v>
      </c>
    </row>
    <row r="182" customFormat="false" ht="15" hidden="false" customHeight="false" outlineLevel="0" collapsed="false">
      <c r="A182" s="2" t="s">
        <v>172</v>
      </c>
      <c r="B182" s="2" t="n">
        <v>4</v>
      </c>
      <c r="C182" s="2" t="n">
        <v>2021</v>
      </c>
      <c r="D182" s="2" t="n">
        <v>2024</v>
      </c>
      <c r="E182" s="2" t="n">
        <f aca="false">SUMIFS(Player_Season!$E$2:$E$1869,Player_Season!$B$2:$B$1869,A182)</f>
        <v>16</v>
      </c>
      <c r="F182" s="2" t="n">
        <f aca="false">SUMIFS(Player_Season!$F$2:$F$1869,Player_Season!$B$2:$B$1869,A182)</f>
        <v>29</v>
      </c>
      <c r="G182" s="2" t="n">
        <f aca="false">IF(E182&gt;0,F182/E182,"")</f>
        <v>1.8125</v>
      </c>
      <c r="H182" s="2" t="s">
        <v>29</v>
      </c>
    </row>
    <row r="183" customFormat="false" ht="15" hidden="false" customHeight="false" outlineLevel="0" collapsed="false">
      <c r="A183" s="2" t="s">
        <v>260</v>
      </c>
      <c r="B183" s="2" t="n">
        <v>3</v>
      </c>
      <c r="C183" s="2" t="n">
        <v>2020</v>
      </c>
      <c r="D183" s="2" t="n">
        <v>2022</v>
      </c>
      <c r="E183" s="2" t="n">
        <f aca="false">SUMIFS(Player_Season!$E$2:$E$1869,Player_Season!$B$2:$B$1869,A183)</f>
        <v>12</v>
      </c>
      <c r="F183" s="2" t="n">
        <f aca="false">SUMIFS(Player_Season!$F$2:$F$1869,Player_Season!$B$2:$B$1869,A183)</f>
        <v>29</v>
      </c>
      <c r="G183" s="2" t="n">
        <f aca="false">IF(E183&gt;0,F183/E183,"")</f>
        <v>2.41666666666667</v>
      </c>
      <c r="H183" s="2" t="s">
        <v>24</v>
      </c>
    </row>
    <row r="184" customFormat="false" ht="15" hidden="false" customHeight="false" outlineLevel="0" collapsed="false">
      <c r="A184" s="2" t="s">
        <v>181</v>
      </c>
      <c r="B184" s="2" t="n">
        <v>1</v>
      </c>
      <c r="C184" s="2" t="n">
        <v>2026</v>
      </c>
      <c r="D184" s="2" t="n">
        <v>2026</v>
      </c>
      <c r="E184" s="2" t="n">
        <f aca="false">SUMIFS(Player_Season!$E$2:$E$1869,Player_Season!$B$2:$B$1869,A184)</f>
        <v>8</v>
      </c>
      <c r="F184" s="2" t="n">
        <f aca="false">SUMIFS(Player_Season!$F$2:$F$1869,Player_Season!$B$2:$B$1869,A184)</f>
        <v>29</v>
      </c>
      <c r="G184" s="2" t="n">
        <f aca="false">IF(E184&gt;0,F184/E184,"")</f>
        <v>3.625</v>
      </c>
      <c r="H184" s="2" t="s">
        <v>29</v>
      </c>
    </row>
    <row r="185" customFormat="false" ht="15" hidden="false" customHeight="false" outlineLevel="0" collapsed="false">
      <c r="A185" s="2" t="s">
        <v>205</v>
      </c>
      <c r="B185" s="2" t="n">
        <v>5</v>
      </c>
      <c r="C185" s="2" t="n">
        <v>2022</v>
      </c>
      <c r="D185" s="2" t="n">
        <v>2026</v>
      </c>
      <c r="E185" s="2" t="n">
        <f aca="false">SUMIFS(Player_Season!$E$2:$E$1869,Player_Season!$B$2:$B$1869,A185)</f>
        <v>11</v>
      </c>
      <c r="F185" s="2" t="n">
        <f aca="false">SUMIFS(Player_Season!$F$2:$F$1869,Player_Season!$B$2:$B$1869,A185)</f>
        <v>28</v>
      </c>
      <c r="G185" s="2" t="n">
        <f aca="false">IF(E185&gt;0,F185/E185,"")</f>
        <v>2.54545454545455</v>
      </c>
      <c r="H185" s="2" t="s">
        <v>29</v>
      </c>
    </row>
    <row r="186" customFormat="false" ht="15" hidden="false" customHeight="false" outlineLevel="0" collapsed="false">
      <c r="A186" s="2" t="s">
        <v>277</v>
      </c>
      <c r="B186" s="2" t="n">
        <v>5</v>
      </c>
      <c r="C186" s="2" t="n">
        <v>2019</v>
      </c>
      <c r="D186" s="2" t="n">
        <v>2023</v>
      </c>
      <c r="E186" s="2" t="n">
        <f aca="false">SUMIFS(Player_Season!$E$2:$E$1869,Player_Season!$B$2:$B$1869,A186)</f>
        <v>28</v>
      </c>
      <c r="F186" s="2" t="n">
        <f aca="false">SUMIFS(Player_Season!$F$2:$F$1869,Player_Season!$B$2:$B$1869,A186)</f>
        <v>27</v>
      </c>
      <c r="G186" s="2" t="n">
        <f aca="false">IF(E186&gt;0,F186/E186,"")</f>
        <v>0.964285714285714</v>
      </c>
      <c r="H186" s="2" t="s">
        <v>115</v>
      </c>
    </row>
    <row r="187" customFormat="false" ht="15" hidden="false" customHeight="false" outlineLevel="0" collapsed="false">
      <c r="A187" s="2" t="s">
        <v>505</v>
      </c>
      <c r="B187" s="2" t="n">
        <v>3</v>
      </c>
      <c r="C187" s="2" t="n">
        <v>2019</v>
      </c>
      <c r="D187" s="2" t="n">
        <v>2021</v>
      </c>
      <c r="E187" s="2" t="n">
        <f aca="false">SUMIFS(Player_Season!$E$2:$E$1869,Player_Season!$B$2:$B$1869,A187)</f>
        <v>16</v>
      </c>
      <c r="F187" s="2" t="n">
        <f aca="false">SUMIFS(Player_Season!$F$2:$F$1869,Player_Season!$B$2:$B$1869,A187)</f>
        <v>27</v>
      </c>
      <c r="G187" s="2" t="n">
        <f aca="false">IF(E187&gt;0,F187/E187,"")</f>
        <v>1.6875</v>
      </c>
      <c r="H187" s="2" t="s">
        <v>29</v>
      </c>
    </row>
    <row r="188" customFormat="false" ht="15" hidden="false" customHeight="false" outlineLevel="0" collapsed="false">
      <c r="A188" s="2" t="s">
        <v>485</v>
      </c>
      <c r="B188" s="2" t="n">
        <v>1</v>
      </c>
      <c r="C188" s="2" t="n">
        <v>2019</v>
      </c>
      <c r="D188" s="2" t="n">
        <v>2019</v>
      </c>
      <c r="E188" s="2" t="n">
        <f aca="false">SUMIFS(Player_Season!$E$2:$E$1869,Player_Season!$B$2:$B$1869,A188)</f>
        <v>6</v>
      </c>
      <c r="F188" s="2" t="n">
        <f aca="false">SUMIFS(Player_Season!$F$2:$F$1869,Player_Season!$B$2:$B$1869,A188)</f>
        <v>27</v>
      </c>
      <c r="G188" s="2" t="n">
        <f aca="false">IF(E188&gt;0,F188/E188,"")</f>
        <v>4.5</v>
      </c>
      <c r="H188" s="2" t="s">
        <v>24</v>
      </c>
    </row>
    <row r="189" customFormat="false" ht="15" hidden="false" customHeight="false" outlineLevel="0" collapsed="false">
      <c r="A189" s="2" t="s">
        <v>452</v>
      </c>
      <c r="B189" s="2" t="n">
        <v>5</v>
      </c>
      <c r="C189" s="2" t="n">
        <v>2019</v>
      </c>
      <c r="D189" s="2" t="n">
        <v>2023</v>
      </c>
      <c r="E189" s="2" t="n">
        <f aca="false">SUMIFS(Player_Season!$E$2:$E$1869,Player_Season!$B$2:$B$1869,A189)</f>
        <v>37</v>
      </c>
      <c r="F189" s="2" t="n">
        <f aca="false">SUMIFS(Player_Season!$F$2:$F$1869,Player_Season!$B$2:$B$1869,A189)</f>
        <v>27</v>
      </c>
      <c r="G189" s="2" t="n">
        <f aca="false">IF(E189&gt;0,F189/E189,"")</f>
        <v>0.72972972972973</v>
      </c>
      <c r="H189" s="2" t="s">
        <v>413</v>
      </c>
    </row>
    <row r="190" customFormat="false" ht="15" hidden="false" customHeight="false" outlineLevel="0" collapsed="false">
      <c r="A190" s="2" t="s">
        <v>196</v>
      </c>
      <c r="B190" s="2" t="n">
        <v>1</v>
      </c>
      <c r="C190" s="2" t="n">
        <v>2026</v>
      </c>
      <c r="D190" s="2" t="n">
        <v>2026</v>
      </c>
      <c r="E190" s="2" t="n">
        <f aca="false">SUMIFS(Player_Season!$E$2:$E$1869,Player_Season!$B$2:$B$1869,A190)</f>
        <v>7</v>
      </c>
      <c r="F190" s="2" t="n">
        <f aca="false">SUMIFS(Player_Season!$F$2:$F$1869,Player_Season!$B$2:$B$1869,A190)</f>
        <v>27</v>
      </c>
      <c r="G190" s="2" t="n">
        <f aca="false">IF(E190&gt;0,F190/E190,"")</f>
        <v>3.85714285714286</v>
      </c>
      <c r="H190" s="2" t="s">
        <v>24</v>
      </c>
    </row>
    <row r="191" customFormat="false" ht="15" hidden="false" customHeight="false" outlineLevel="0" collapsed="false">
      <c r="A191" s="2" t="s">
        <v>269</v>
      </c>
      <c r="B191" s="2" t="n">
        <v>6</v>
      </c>
      <c r="C191" s="2" t="n">
        <v>2019</v>
      </c>
      <c r="D191" s="2" t="n">
        <v>2026</v>
      </c>
      <c r="E191" s="2" t="n">
        <f aca="false">SUMIFS(Player_Season!$E$2:$E$1869,Player_Season!$B$2:$B$1869,A191)</f>
        <v>34</v>
      </c>
      <c r="F191" s="2" t="n">
        <f aca="false">SUMIFS(Player_Season!$F$2:$F$1869,Player_Season!$B$2:$B$1869,A191)</f>
        <v>27</v>
      </c>
      <c r="G191" s="2" t="n">
        <f aca="false">IF(E191&gt;0,F191/E191,"")</f>
        <v>0.794117647058824</v>
      </c>
      <c r="H191" s="2" t="s">
        <v>117</v>
      </c>
    </row>
    <row r="192" customFormat="false" ht="15" hidden="false" customHeight="false" outlineLevel="0" collapsed="false">
      <c r="A192" s="2" t="s">
        <v>195</v>
      </c>
      <c r="B192" s="2" t="n">
        <v>2</v>
      </c>
      <c r="C192" s="2" t="n">
        <v>2024</v>
      </c>
      <c r="D192" s="2" t="n">
        <v>2025</v>
      </c>
      <c r="E192" s="2" t="n">
        <f aca="false">SUMIFS(Player_Season!$E$2:$E$1869,Player_Season!$B$2:$B$1869,A192)</f>
        <v>9</v>
      </c>
      <c r="F192" s="2" t="n">
        <f aca="false">SUMIFS(Player_Season!$F$2:$F$1869,Player_Season!$B$2:$B$1869,A192)</f>
        <v>26</v>
      </c>
      <c r="G192" s="2" t="n">
        <f aca="false">IF(E192&gt;0,F192/E192,"")</f>
        <v>2.88888888888889</v>
      </c>
      <c r="H192" s="2" t="s">
        <v>29</v>
      </c>
    </row>
    <row r="193" customFormat="false" ht="15" hidden="false" customHeight="false" outlineLevel="0" collapsed="false">
      <c r="A193" s="2" t="s">
        <v>186</v>
      </c>
      <c r="B193" s="2" t="n">
        <v>4</v>
      </c>
      <c r="C193" s="2" t="n">
        <v>2023</v>
      </c>
      <c r="D193" s="2" t="n">
        <v>2026</v>
      </c>
      <c r="E193" s="2" t="n">
        <f aca="false">SUMIFS(Player_Season!$E$2:$E$1869,Player_Season!$B$2:$B$1869,A193)</f>
        <v>25</v>
      </c>
      <c r="F193" s="2" t="n">
        <f aca="false">SUMIFS(Player_Season!$F$2:$F$1869,Player_Season!$B$2:$B$1869,A193)</f>
        <v>25</v>
      </c>
      <c r="G193" s="2" t="n">
        <f aca="false">IF(E193&gt;0,F193/E193,"")</f>
        <v>1</v>
      </c>
      <c r="H193" s="2" t="s">
        <v>115</v>
      </c>
    </row>
    <row r="194" customFormat="false" ht="15" hidden="false" customHeight="false" outlineLevel="0" collapsed="false">
      <c r="A194" s="2" t="s">
        <v>212</v>
      </c>
      <c r="B194" s="2" t="n">
        <v>5</v>
      </c>
      <c r="C194" s="2" t="n">
        <v>2022</v>
      </c>
      <c r="D194" s="2" t="n">
        <v>2026</v>
      </c>
      <c r="E194" s="2" t="n">
        <f aca="false">SUMIFS(Player_Season!$E$2:$E$1869,Player_Season!$B$2:$B$1869,A194)</f>
        <v>8</v>
      </c>
      <c r="F194" s="2" t="n">
        <f aca="false">SUMIFS(Player_Season!$F$2:$F$1869,Player_Season!$B$2:$B$1869,A194)</f>
        <v>25</v>
      </c>
      <c r="G194" s="2" t="n">
        <f aca="false">IF(E194&gt;0,F194/E194,"")</f>
        <v>3.125</v>
      </c>
      <c r="H194" s="2" t="s">
        <v>29</v>
      </c>
    </row>
    <row r="195" customFormat="false" ht="15" hidden="false" customHeight="false" outlineLevel="0" collapsed="false">
      <c r="A195" s="2" t="s">
        <v>437</v>
      </c>
      <c r="B195" s="2" t="n">
        <v>6</v>
      </c>
      <c r="C195" s="2" t="n">
        <v>2019</v>
      </c>
      <c r="D195" s="2" t="n">
        <v>2026</v>
      </c>
      <c r="E195" s="2" t="n">
        <f aca="false">SUMIFS(Player_Season!$E$2:$E$1869,Player_Season!$B$2:$B$1869,A195)</f>
        <v>47</v>
      </c>
      <c r="F195" s="2" t="n">
        <f aca="false">SUMIFS(Player_Season!$F$2:$F$1869,Player_Season!$B$2:$B$1869,A195)</f>
        <v>25</v>
      </c>
      <c r="G195" s="2" t="n">
        <f aca="false">IF(E195&gt;0,F195/E195,"")</f>
        <v>0.531914893617021</v>
      </c>
      <c r="H195" s="2" t="s">
        <v>413</v>
      </c>
    </row>
    <row r="196" customFormat="false" ht="15" hidden="false" customHeight="false" outlineLevel="0" collapsed="false">
      <c r="A196" s="2" t="s">
        <v>632</v>
      </c>
      <c r="B196" s="2" t="n">
        <v>3</v>
      </c>
      <c r="C196" s="2" t="n">
        <v>2024</v>
      </c>
      <c r="D196" s="2" t="n">
        <v>2026</v>
      </c>
      <c r="E196" s="2" t="n">
        <f aca="false">SUMIFS(Player_Season!$E$2:$E$1869,Player_Season!$B$2:$B$1869,A196)</f>
        <v>24</v>
      </c>
      <c r="F196" s="2" t="n">
        <f aca="false">SUMIFS(Player_Season!$F$2:$F$1869,Player_Season!$B$2:$B$1869,A196)</f>
        <v>25</v>
      </c>
      <c r="G196" s="2" t="n">
        <f aca="false">IF(E196&gt;0,F196/E196,"")</f>
        <v>1.04166666666667</v>
      </c>
      <c r="H196" s="2" t="s">
        <v>413</v>
      </c>
    </row>
    <row r="197" customFormat="false" ht="15" hidden="false" customHeight="false" outlineLevel="0" collapsed="false">
      <c r="A197" s="2" t="s">
        <v>182</v>
      </c>
      <c r="B197" s="2" t="n">
        <v>2</v>
      </c>
      <c r="C197" s="2" t="n">
        <v>2021</v>
      </c>
      <c r="D197" s="2" t="n">
        <v>2022</v>
      </c>
      <c r="E197" s="2" t="n">
        <f aca="false">SUMIFS(Player_Season!$E$2:$E$1869,Player_Season!$B$2:$B$1869,A197)</f>
        <v>8</v>
      </c>
      <c r="F197" s="2" t="n">
        <f aca="false">SUMIFS(Player_Season!$F$2:$F$1869,Player_Season!$B$2:$B$1869,A197)</f>
        <v>25</v>
      </c>
      <c r="G197" s="2" t="n">
        <f aca="false">IF(E197&gt;0,F197/E197,"")</f>
        <v>3.125</v>
      </c>
      <c r="H197" s="2" t="s">
        <v>29</v>
      </c>
    </row>
    <row r="198" customFormat="false" ht="15" hidden="false" customHeight="false" outlineLevel="0" collapsed="false">
      <c r="A198" s="2" t="s">
        <v>216</v>
      </c>
      <c r="B198" s="2" t="n">
        <v>4</v>
      </c>
      <c r="C198" s="2" t="n">
        <v>2023</v>
      </c>
      <c r="D198" s="2" t="n">
        <v>2026</v>
      </c>
      <c r="E198" s="2" t="n">
        <f aca="false">SUMIFS(Player_Season!$E$2:$E$1869,Player_Season!$B$2:$B$1869,A198)</f>
        <v>8</v>
      </c>
      <c r="F198" s="2" t="n">
        <f aca="false">SUMIFS(Player_Season!$F$2:$F$1869,Player_Season!$B$2:$B$1869,A198)</f>
        <v>25</v>
      </c>
      <c r="G198" s="2" t="n">
        <f aca="false">IF(E198&gt;0,F198/E198,"")</f>
        <v>3.125</v>
      </c>
      <c r="H198" s="2" t="s">
        <v>29</v>
      </c>
    </row>
    <row r="199" customFormat="false" ht="15" hidden="false" customHeight="false" outlineLevel="0" collapsed="false">
      <c r="A199" s="2" t="s">
        <v>218</v>
      </c>
      <c r="B199" s="2" t="n">
        <v>1</v>
      </c>
      <c r="C199" s="2" t="n">
        <v>2026</v>
      </c>
      <c r="D199" s="2" t="n">
        <v>2026</v>
      </c>
      <c r="E199" s="2" t="n">
        <f aca="false">SUMIFS(Player_Season!$E$2:$E$1869,Player_Season!$B$2:$B$1869,A199)</f>
        <v>9</v>
      </c>
      <c r="F199" s="2" t="n">
        <f aca="false">SUMIFS(Player_Season!$F$2:$F$1869,Player_Season!$B$2:$B$1869,A199)</f>
        <v>23</v>
      </c>
      <c r="G199" s="2" t="n">
        <f aca="false">IF(E199&gt;0,F199/E199,"")</f>
        <v>2.55555555555556</v>
      </c>
      <c r="H199" s="2" t="s">
        <v>29</v>
      </c>
    </row>
    <row r="200" customFormat="false" ht="15" hidden="false" customHeight="false" outlineLevel="0" collapsed="false">
      <c r="A200" s="2" t="s">
        <v>223</v>
      </c>
      <c r="B200" s="2" t="n">
        <v>2</v>
      </c>
      <c r="C200" s="2" t="n">
        <v>2024</v>
      </c>
      <c r="D200" s="2" t="n">
        <v>2025</v>
      </c>
      <c r="E200" s="2" t="n">
        <f aca="false">SUMIFS(Player_Season!$E$2:$E$1869,Player_Season!$B$2:$B$1869,A200)</f>
        <v>8</v>
      </c>
      <c r="F200" s="2" t="n">
        <f aca="false">SUMIFS(Player_Season!$F$2:$F$1869,Player_Season!$B$2:$B$1869,A200)</f>
        <v>23</v>
      </c>
      <c r="G200" s="2" t="n">
        <f aca="false">IF(E200&gt;0,F200/E200,"")</f>
        <v>2.875</v>
      </c>
      <c r="H200" s="2" t="s">
        <v>29</v>
      </c>
    </row>
    <row r="201" customFormat="false" ht="15" hidden="false" customHeight="false" outlineLevel="0" collapsed="false">
      <c r="A201" s="2" t="s">
        <v>591</v>
      </c>
      <c r="B201" s="2" t="n">
        <v>4</v>
      </c>
      <c r="C201" s="2" t="n">
        <v>2022</v>
      </c>
      <c r="D201" s="2" t="n">
        <v>2026</v>
      </c>
      <c r="E201" s="2" t="n">
        <f aca="false">SUMIFS(Player_Season!$E$2:$E$1869,Player_Season!$B$2:$B$1869,A201)</f>
        <v>24</v>
      </c>
      <c r="F201" s="2" t="n">
        <f aca="false">SUMIFS(Player_Season!$F$2:$F$1869,Player_Season!$B$2:$B$1869,A201)</f>
        <v>23</v>
      </c>
      <c r="G201" s="2" t="n">
        <f aca="false">IF(E201&gt;0,F201/E201,"")</f>
        <v>0.958333333333333</v>
      </c>
      <c r="H201" s="2" t="s">
        <v>413</v>
      </c>
    </row>
    <row r="202" customFormat="false" ht="15" hidden="false" customHeight="false" outlineLevel="0" collapsed="false">
      <c r="A202" s="2" t="s">
        <v>285</v>
      </c>
      <c r="B202" s="2" t="n">
        <v>5</v>
      </c>
      <c r="C202" s="2" t="n">
        <v>2019</v>
      </c>
      <c r="D202" s="2" t="n">
        <v>2023</v>
      </c>
      <c r="E202" s="2" t="n">
        <f aca="false">SUMIFS(Player_Season!$E$2:$E$1869,Player_Season!$B$2:$B$1869,A202)</f>
        <v>39</v>
      </c>
      <c r="F202" s="2" t="n">
        <f aca="false">SUMIFS(Player_Season!$F$2:$F$1869,Player_Season!$B$2:$B$1869,A202)</f>
        <v>23</v>
      </c>
      <c r="G202" s="2" t="n">
        <f aca="false">IF(E202&gt;0,F202/E202,"")</f>
        <v>0.58974358974359</v>
      </c>
      <c r="H202" s="2" t="s">
        <v>115</v>
      </c>
    </row>
    <row r="203" customFormat="false" ht="15" hidden="false" customHeight="false" outlineLevel="0" collapsed="false">
      <c r="A203" s="2" t="s">
        <v>202</v>
      </c>
      <c r="B203" s="2" t="n">
        <v>4</v>
      </c>
      <c r="C203" s="2" t="n">
        <v>2022</v>
      </c>
      <c r="D203" s="2" t="n">
        <v>2025</v>
      </c>
      <c r="E203" s="2" t="n">
        <f aca="false">SUMIFS(Player_Season!$E$2:$E$1869,Player_Season!$B$2:$B$1869,A203)</f>
        <v>17</v>
      </c>
      <c r="F203" s="2" t="n">
        <f aca="false">SUMIFS(Player_Season!$F$2:$F$1869,Player_Season!$B$2:$B$1869,A203)</f>
        <v>23</v>
      </c>
      <c r="G203" s="2" t="n">
        <f aca="false">IF(E203&gt;0,F203/E203,"")</f>
        <v>1.35294117647059</v>
      </c>
      <c r="H203" s="2" t="s">
        <v>83</v>
      </c>
    </row>
    <row r="204" customFormat="false" ht="15" hidden="false" customHeight="false" outlineLevel="0" collapsed="false">
      <c r="A204" s="2" t="s">
        <v>240</v>
      </c>
      <c r="B204" s="2" t="n">
        <v>5</v>
      </c>
      <c r="C204" s="2" t="n">
        <v>2020</v>
      </c>
      <c r="D204" s="2" t="n">
        <v>2024</v>
      </c>
      <c r="E204" s="2" t="n">
        <f aca="false">SUMIFS(Player_Season!$E$2:$E$1869,Player_Season!$B$2:$B$1869,A204)</f>
        <v>26</v>
      </c>
      <c r="F204" s="2" t="n">
        <f aca="false">SUMIFS(Player_Season!$F$2:$F$1869,Player_Season!$B$2:$B$1869,A204)</f>
        <v>23</v>
      </c>
      <c r="G204" s="2" t="n">
        <f aca="false">IF(E204&gt;0,F204/E204,"")</f>
        <v>0.884615384615385</v>
      </c>
      <c r="H204" s="2" t="s">
        <v>115</v>
      </c>
    </row>
    <row r="205" customFormat="false" ht="15" hidden="false" customHeight="false" outlineLevel="0" collapsed="false">
      <c r="A205" s="2" t="s">
        <v>369</v>
      </c>
      <c r="B205" s="2" t="n">
        <v>3</v>
      </c>
      <c r="C205" s="2" t="n">
        <v>2020</v>
      </c>
      <c r="D205" s="2" t="n">
        <v>2022</v>
      </c>
      <c r="E205" s="2" t="n">
        <f aca="false">SUMIFS(Player_Season!$E$2:$E$1869,Player_Season!$B$2:$B$1869,A205)</f>
        <v>12</v>
      </c>
      <c r="F205" s="2" t="n">
        <f aca="false">SUMIFS(Player_Season!$F$2:$F$1869,Player_Season!$B$2:$B$1869,A205)</f>
        <v>22</v>
      </c>
      <c r="G205" s="2" t="n">
        <f aca="false">IF(E205&gt;0,F205/E205,"")</f>
        <v>1.83333333333333</v>
      </c>
      <c r="H205" s="2" t="s">
        <v>29</v>
      </c>
    </row>
    <row r="206" customFormat="false" ht="15" hidden="false" customHeight="false" outlineLevel="0" collapsed="false">
      <c r="A206" s="2" t="s">
        <v>215</v>
      </c>
      <c r="B206" s="2" t="n">
        <v>8</v>
      </c>
      <c r="C206" s="2" t="n">
        <v>2019</v>
      </c>
      <c r="D206" s="2" t="n">
        <v>2026</v>
      </c>
      <c r="E206" s="2" t="n">
        <f aca="false">SUMIFS(Player_Season!$E$2:$E$1869,Player_Season!$B$2:$B$1869,A206)</f>
        <v>56</v>
      </c>
      <c r="F206" s="2" t="n">
        <f aca="false">SUMIFS(Player_Season!$F$2:$F$1869,Player_Season!$B$2:$B$1869,A206)</f>
        <v>22</v>
      </c>
      <c r="G206" s="2" t="n">
        <f aca="false">IF(E206&gt;0,F206/E206,"")</f>
        <v>0.392857142857143</v>
      </c>
      <c r="H206" s="2" t="s">
        <v>29</v>
      </c>
    </row>
    <row r="207" customFormat="false" ht="15" hidden="false" customHeight="false" outlineLevel="0" collapsed="false">
      <c r="A207" s="2" t="s">
        <v>204</v>
      </c>
      <c r="B207" s="2" t="n">
        <v>2</v>
      </c>
      <c r="C207" s="2" t="n">
        <v>2025</v>
      </c>
      <c r="D207" s="2" t="n">
        <v>2026</v>
      </c>
      <c r="E207" s="2" t="n">
        <f aca="false">SUMIFS(Player_Season!$E$2:$E$1869,Player_Season!$B$2:$B$1869,A207)</f>
        <v>10</v>
      </c>
      <c r="F207" s="2" t="n">
        <f aca="false">SUMIFS(Player_Season!$F$2:$F$1869,Player_Season!$B$2:$B$1869,A207)</f>
        <v>22</v>
      </c>
      <c r="G207" s="2" t="n">
        <f aca="false">IF(E207&gt;0,F207/E207,"")</f>
        <v>2.2</v>
      </c>
      <c r="H207" s="2" t="s">
        <v>29</v>
      </c>
    </row>
    <row r="208" customFormat="false" ht="15" hidden="false" customHeight="false" outlineLevel="0" collapsed="false">
      <c r="A208" s="2" t="s">
        <v>230</v>
      </c>
      <c r="B208" s="2" t="n">
        <v>2</v>
      </c>
      <c r="C208" s="2" t="n">
        <v>2024</v>
      </c>
      <c r="D208" s="2" t="n">
        <v>2026</v>
      </c>
      <c r="E208" s="2" t="n">
        <f aca="false">SUMIFS(Player_Season!$E$2:$E$1869,Player_Season!$B$2:$B$1869,A208)</f>
        <v>6</v>
      </c>
      <c r="F208" s="2" t="n">
        <f aca="false">SUMIFS(Player_Season!$F$2:$F$1869,Player_Season!$B$2:$B$1869,A208)</f>
        <v>22</v>
      </c>
      <c r="G208" s="2" t="n">
        <f aca="false">IF(E208&gt;0,F208/E208,"")</f>
        <v>3.66666666666667</v>
      </c>
      <c r="H208" s="2" t="s">
        <v>24</v>
      </c>
    </row>
    <row r="209" customFormat="false" ht="15" hidden="false" customHeight="false" outlineLevel="0" collapsed="false">
      <c r="A209" s="2" t="s">
        <v>217</v>
      </c>
      <c r="B209" s="2" t="n">
        <v>5</v>
      </c>
      <c r="C209" s="2" t="n">
        <v>2019</v>
      </c>
      <c r="D209" s="2" t="n">
        <v>2023</v>
      </c>
      <c r="E209" s="2" t="n">
        <f aca="false">SUMIFS(Player_Season!$E$2:$E$1869,Player_Season!$B$2:$B$1869,A209)</f>
        <v>43</v>
      </c>
      <c r="F209" s="2" t="n">
        <f aca="false">SUMIFS(Player_Season!$F$2:$F$1869,Player_Season!$B$2:$B$1869,A209)</f>
        <v>22</v>
      </c>
      <c r="G209" s="2" t="n">
        <f aca="false">IF(E209&gt;0,F209/E209,"")</f>
        <v>0.511627906976744</v>
      </c>
      <c r="H209" s="2" t="s">
        <v>117</v>
      </c>
    </row>
    <row r="210" customFormat="false" ht="15" hidden="false" customHeight="false" outlineLevel="0" collapsed="false">
      <c r="A210" s="2" t="s">
        <v>236</v>
      </c>
      <c r="B210" s="2" t="n">
        <v>1</v>
      </c>
      <c r="C210" s="2" t="n">
        <v>2024</v>
      </c>
      <c r="D210" s="2" t="n">
        <v>2024</v>
      </c>
      <c r="E210" s="2" t="n">
        <f aca="false">SUMIFS(Player_Season!$E$2:$E$1869,Player_Season!$B$2:$B$1869,A210)</f>
        <v>6</v>
      </c>
      <c r="F210" s="2" t="n">
        <f aca="false">SUMIFS(Player_Season!$F$2:$F$1869,Player_Season!$B$2:$B$1869,A210)</f>
        <v>22</v>
      </c>
      <c r="G210" s="2" t="n">
        <f aca="false">IF(E210&gt;0,F210/E210,"")</f>
        <v>3.66666666666667</v>
      </c>
      <c r="H210" s="2" t="s">
        <v>29</v>
      </c>
    </row>
    <row r="211" customFormat="false" ht="15" hidden="false" customHeight="false" outlineLevel="0" collapsed="false">
      <c r="A211" s="2" t="s">
        <v>130</v>
      </c>
      <c r="B211" s="2" t="n">
        <v>6</v>
      </c>
      <c r="C211" s="2" t="n">
        <v>2021</v>
      </c>
      <c r="D211" s="2" t="n">
        <v>2026</v>
      </c>
      <c r="E211" s="2" t="n">
        <f aca="false">SUMIFS(Player_Season!$E$2:$E$1869,Player_Season!$B$2:$B$1869,A211)</f>
        <v>57</v>
      </c>
      <c r="F211" s="2" t="n">
        <f aca="false">SUMIFS(Player_Season!$F$2:$F$1869,Player_Season!$B$2:$B$1869,A211)</f>
        <v>22</v>
      </c>
      <c r="G211" s="2" t="n">
        <f aca="false">IF(E211&gt;0,F211/E211,"")</f>
        <v>0.385964912280702</v>
      </c>
      <c r="H211" s="2" t="s">
        <v>117</v>
      </c>
    </row>
    <row r="212" customFormat="false" ht="15" hidden="false" customHeight="false" outlineLevel="0" collapsed="false">
      <c r="A212" s="2" t="s">
        <v>323</v>
      </c>
      <c r="B212" s="2" t="n">
        <v>4</v>
      </c>
      <c r="C212" s="2" t="n">
        <v>2019</v>
      </c>
      <c r="D212" s="2" t="n">
        <v>2022</v>
      </c>
      <c r="E212" s="2" t="n">
        <f aca="false">SUMIFS(Player_Season!$E$2:$E$1869,Player_Season!$B$2:$B$1869,A212)</f>
        <v>28</v>
      </c>
      <c r="F212" s="2" t="n">
        <f aca="false">SUMIFS(Player_Season!$F$2:$F$1869,Player_Season!$B$2:$B$1869,A212)</f>
        <v>21</v>
      </c>
      <c r="G212" s="2" t="n">
        <f aca="false">IF(E212&gt;0,F212/E212,"")</f>
        <v>0.75</v>
      </c>
      <c r="H212" s="2" t="s">
        <v>29</v>
      </c>
    </row>
    <row r="213" customFormat="false" ht="15" hidden="false" customHeight="false" outlineLevel="0" collapsed="false">
      <c r="A213" s="2" t="s">
        <v>163</v>
      </c>
      <c r="B213" s="2" t="n">
        <v>5</v>
      </c>
      <c r="C213" s="2" t="n">
        <v>2022</v>
      </c>
      <c r="D213" s="2" t="n">
        <v>2026</v>
      </c>
      <c r="E213" s="2" t="n">
        <f aca="false">SUMIFS(Player_Season!$E$2:$E$1869,Player_Season!$B$2:$B$1869,A213)</f>
        <v>27</v>
      </c>
      <c r="F213" s="2" t="n">
        <f aca="false">SUMIFS(Player_Season!$F$2:$F$1869,Player_Season!$B$2:$B$1869,A213)</f>
        <v>21</v>
      </c>
      <c r="G213" s="2" t="n">
        <f aca="false">IF(E213&gt;0,F213/E213,"")</f>
        <v>0.777777777777778</v>
      </c>
      <c r="H213" s="2" t="s">
        <v>83</v>
      </c>
    </row>
    <row r="214" customFormat="false" ht="15" hidden="false" customHeight="false" outlineLevel="0" collapsed="false">
      <c r="A214" s="2" t="s">
        <v>153</v>
      </c>
      <c r="B214" s="2" t="n">
        <v>5</v>
      </c>
      <c r="C214" s="2" t="n">
        <v>2021</v>
      </c>
      <c r="D214" s="2" t="n">
        <v>2025</v>
      </c>
      <c r="E214" s="2" t="n">
        <f aca="false">SUMIFS(Player_Season!$E$2:$E$1869,Player_Season!$B$2:$B$1869,A214)</f>
        <v>46</v>
      </c>
      <c r="F214" s="2" t="n">
        <f aca="false">SUMIFS(Player_Season!$F$2:$F$1869,Player_Season!$B$2:$B$1869,A214)</f>
        <v>21</v>
      </c>
      <c r="G214" s="2" t="n">
        <f aca="false">IF(E214&gt;0,F214/E214,"")</f>
        <v>0.456521739130435</v>
      </c>
      <c r="H214" s="2" t="s">
        <v>117</v>
      </c>
    </row>
    <row r="215" customFormat="false" ht="15" hidden="false" customHeight="false" outlineLevel="0" collapsed="false">
      <c r="A215" s="2" t="s">
        <v>231</v>
      </c>
      <c r="B215" s="2" t="n">
        <v>5</v>
      </c>
      <c r="C215" s="2" t="n">
        <v>2022</v>
      </c>
      <c r="D215" s="2" t="n">
        <v>2026</v>
      </c>
      <c r="E215" s="2" t="n">
        <f aca="false">SUMIFS(Player_Season!$E$2:$E$1869,Player_Season!$B$2:$B$1869,A215)</f>
        <v>25</v>
      </c>
      <c r="F215" s="2" t="n">
        <f aca="false">SUMIFS(Player_Season!$F$2:$F$1869,Player_Season!$B$2:$B$1869,A215)</f>
        <v>21</v>
      </c>
      <c r="G215" s="2" t="n">
        <f aca="false">IF(E215&gt;0,F215/E215,"")</f>
        <v>0.84</v>
      </c>
      <c r="H215" s="2" t="s">
        <v>115</v>
      </c>
    </row>
    <row r="216" customFormat="false" ht="15" hidden="false" customHeight="false" outlineLevel="0" collapsed="false">
      <c r="A216" s="2" t="s">
        <v>158</v>
      </c>
      <c r="B216" s="2" t="n">
        <v>5</v>
      </c>
      <c r="C216" s="2" t="n">
        <v>2022</v>
      </c>
      <c r="D216" s="2" t="n">
        <v>2026</v>
      </c>
      <c r="E216" s="2" t="n">
        <f aca="false">SUMIFS(Player_Season!$E$2:$E$1869,Player_Season!$B$2:$B$1869,A216)</f>
        <v>29</v>
      </c>
      <c r="F216" s="2" t="n">
        <f aca="false">SUMIFS(Player_Season!$F$2:$F$1869,Player_Season!$B$2:$B$1869,A216)</f>
        <v>21</v>
      </c>
      <c r="G216" s="2" t="n">
        <f aca="false">IF(E216&gt;0,F216/E216,"")</f>
        <v>0.724137931034483</v>
      </c>
      <c r="H216" s="2" t="s">
        <v>83</v>
      </c>
    </row>
    <row r="217" customFormat="false" ht="15" hidden="false" customHeight="false" outlineLevel="0" collapsed="false">
      <c r="A217" s="2" t="s">
        <v>435</v>
      </c>
      <c r="B217" s="2" t="n">
        <v>3</v>
      </c>
      <c r="C217" s="2" t="n">
        <v>2019</v>
      </c>
      <c r="D217" s="2" t="n">
        <v>2021</v>
      </c>
      <c r="E217" s="2" t="n">
        <f aca="false">SUMIFS(Player_Season!$E$2:$E$1869,Player_Season!$B$2:$B$1869,A217)</f>
        <v>14</v>
      </c>
      <c r="F217" s="2" t="n">
        <f aca="false">SUMIFS(Player_Season!$F$2:$F$1869,Player_Season!$B$2:$B$1869,A217)</f>
        <v>20</v>
      </c>
      <c r="G217" s="2" t="n">
        <f aca="false">IF(E217&gt;0,F217/E217,"")</f>
        <v>1.42857142857143</v>
      </c>
      <c r="H217" s="2" t="s">
        <v>29</v>
      </c>
    </row>
    <row r="218" customFormat="false" ht="15" hidden="false" customHeight="false" outlineLevel="0" collapsed="false">
      <c r="A218" s="2" t="s">
        <v>185</v>
      </c>
      <c r="B218" s="2" t="n">
        <v>4</v>
      </c>
      <c r="C218" s="2" t="n">
        <v>2023</v>
      </c>
      <c r="D218" s="2" t="n">
        <v>2026</v>
      </c>
      <c r="E218" s="2" t="n">
        <f aca="false">SUMIFS(Player_Season!$E$2:$E$1869,Player_Season!$B$2:$B$1869,A218)</f>
        <v>41</v>
      </c>
      <c r="F218" s="2" t="n">
        <f aca="false">SUMIFS(Player_Season!$F$2:$F$1869,Player_Season!$B$2:$B$1869,A218)</f>
        <v>20</v>
      </c>
      <c r="G218" s="2" t="n">
        <f aca="false">IF(E218&gt;0,F218/E218,"")</f>
        <v>0.487804878048781</v>
      </c>
      <c r="H218" s="2" t="s">
        <v>115</v>
      </c>
    </row>
    <row r="219" customFormat="false" ht="15" hidden="false" customHeight="false" outlineLevel="0" collapsed="false">
      <c r="A219" s="2" t="s">
        <v>160</v>
      </c>
      <c r="B219" s="2" t="n">
        <v>4</v>
      </c>
      <c r="C219" s="2" t="n">
        <v>2023</v>
      </c>
      <c r="D219" s="2" t="n">
        <v>2026</v>
      </c>
      <c r="E219" s="2" t="n">
        <f aca="false">SUMIFS(Player_Season!$E$2:$E$1869,Player_Season!$B$2:$B$1869,A219)</f>
        <v>42</v>
      </c>
      <c r="F219" s="2" t="n">
        <f aca="false">SUMIFS(Player_Season!$F$2:$F$1869,Player_Season!$B$2:$B$1869,A219)</f>
        <v>20</v>
      </c>
      <c r="G219" s="2" t="n">
        <f aca="false">IF(E219&gt;0,F219/E219,"")</f>
        <v>0.476190476190476</v>
      </c>
      <c r="H219" s="2" t="s">
        <v>83</v>
      </c>
    </row>
    <row r="220" customFormat="false" ht="15" hidden="false" customHeight="false" outlineLevel="0" collapsed="false">
      <c r="A220" s="2" t="s">
        <v>247</v>
      </c>
      <c r="B220" s="2" t="n">
        <v>2</v>
      </c>
      <c r="C220" s="2" t="n">
        <v>2022</v>
      </c>
      <c r="D220" s="2" t="n">
        <v>2023</v>
      </c>
      <c r="E220" s="2" t="n">
        <f aca="false">SUMIFS(Player_Season!$E$2:$E$1869,Player_Season!$B$2:$B$1869,A220)</f>
        <v>8</v>
      </c>
      <c r="F220" s="2" t="n">
        <f aca="false">SUMIFS(Player_Season!$F$2:$F$1869,Player_Season!$B$2:$B$1869,A220)</f>
        <v>20</v>
      </c>
      <c r="G220" s="2" t="n">
        <f aca="false">IF(E220&gt;0,F220/E220,"")</f>
        <v>2.5</v>
      </c>
      <c r="H220" s="2" t="s">
        <v>24</v>
      </c>
    </row>
    <row r="221" customFormat="false" ht="15" hidden="false" customHeight="false" outlineLevel="0" collapsed="false">
      <c r="A221" s="2" t="s">
        <v>128</v>
      </c>
      <c r="B221" s="2" t="n">
        <v>4</v>
      </c>
      <c r="C221" s="2" t="n">
        <v>2023</v>
      </c>
      <c r="D221" s="2" t="n">
        <v>2026</v>
      </c>
      <c r="E221" s="2" t="n">
        <f aca="false">SUMIFS(Player_Season!$E$2:$E$1869,Player_Season!$B$2:$B$1869,A221)</f>
        <v>41</v>
      </c>
      <c r="F221" s="2" t="n">
        <f aca="false">SUMIFS(Player_Season!$F$2:$F$1869,Player_Season!$B$2:$B$1869,A221)</f>
        <v>20</v>
      </c>
      <c r="G221" s="2" t="n">
        <f aca="false">IF(E221&gt;0,F221/E221,"")</f>
        <v>0.487804878048781</v>
      </c>
      <c r="H221" s="2" t="s">
        <v>115</v>
      </c>
    </row>
    <row r="222" customFormat="false" ht="15" hidden="false" customHeight="false" outlineLevel="0" collapsed="false">
      <c r="A222" s="2" t="s">
        <v>346</v>
      </c>
      <c r="B222" s="2" t="n">
        <v>4</v>
      </c>
      <c r="C222" s="2" t="n">
        <v>2019</v>
      </c>
      <c r="D222" s="2" t="n">
        <v>2022</v>
      </c>
      <c r="E222" s="2" t="n">
        <f aca="false">SUMIFS(Player_Season!$E$2:$E$1869,Player_Season!$B$2:$B$1869,A222)</f>
        <v>25</v>
      </c>
      <c r="F222" s="2" t="n">
        <f aca="false">SUMIFS(Player_Season!$F$2:$F$1869,Player_Season!$B$2:$B$1869,A222)</f>
        <v>19</v>
      </c>
      <c r="G222" s="2" t="n">
        <f aca="false">IF(E222&gt;0,F222/E222,"")</f>
        <v>0.76</v>
      </c>
      <c r="H222" s="2" t="s">
        <v>29</v>
      </c>
    </row>
    <row r="223" customFormat="false" ht="15" hidden="false" customHeight="false" outlineLevel="0" collapsed="false">
      <c r="A223" s="2" t="s">
        <v>242</v>
      </c>
      <c r="B223" s="2" t="n">
        <v>1</v>
      </c>
      <c r="C223" s="2" t="n">
        <v>2026</v>
      </c>
      <c r="D223" s="2" t="n">
        <v>2026</v>
      </c>
      <c r="E223" s="2" t="n">
        <f aca="false">SUMIFS(Player_Season!$E$2:$E$1869,Player_Season!$B$2:$B$1869,A223)</f>
        <v>5</v>
      </c>
      <c r="F223" s="2" t="n">
        <f aca="false">SUMIFS(Player_Season!$F$2:$F$1869,Player_Season!$B$2:$B$1869,A223)</f>
        <v>19</v>
      </c>
      <c r="G223" s="2" t="n">
        <f aca="false">IF(E223&gt;0,F223/E223,"")</f>
        <v>3.8</v>
      </c>
      <c r="H223" s="2" t="s">
        <v>24</v>
      </c>
    </row>
    <row r="224" customFormat="false" ht="15" hidden="false" customHeight="false" outlineLevel="0" collapsed="false">
      <c r="A224" s="2" t="s">
        <v>174</v>
      </c>
      <c r="B224" s="2" t="n">
        <v>3</v>
      </c>
      <c r="C224" s="2" t="n">
        <v>2024</v>
      </c>
      <c r="D224" s="2" t="n">
        <v>2026</v>
      </c>
      <c r="E224" s="2" t="n">
        <f aca="false">SUMIFS(Player_Season!$E$2:$E$1869,Player_Season!$B$2:$B$1869,A224)</f>
        <v>32</v>
      </c>
      <c r="F224" s="2" t="n">
        <f aca="false">SUMIFS(Player_Season!$F$2:$F$1869,Player_Season!$B$2:$B$1869,A224)</f>
        <v>19</v>
      </c>
      <c r="G224" s="2" t="n">
        <f aca="false">IF(E224&gt;0,F224/E224,"")</f>
        <v>0.59375</v>
      </c>
      <c r="H224" s="2" t="s">
        <v>83</v>
      </c>
    </row>
    <row r="225" customFormat="false" ht="15" hidden="false" customHeight="false" outlineLevel="0" collapsed="false">
      <c r="A225" s="2" t="s">
        <v>616</v>
      </c>
      <c r="B225" s="2" t="n">
        <v>4</v>
      </c>
      <c r="C225" s="2" t="n">
        <v>2023</v>
      </c>
      <c r="D225" s="2" t="n">
        <v>2026</v>
      </c>
      <c r="E225" s="2" t="n">
        <f aca="false">SUMIFS(Player_Season!$E$2:$E$1869,Player_Season!$B$2:$B$1869,A225)</f>
        <v>22</v>
      </c>
      <c r="F225" s="2" t="n">
        <f aca="false">SUMIFS(Player_Season!$F$2:$F$1869,Player_Season!$B$2:$B$1869,A225)</f>
        <v>19</v>
      </c>
      <c r="G225" s="2" t="n">
        <f aca="false">IF(E225&gt;0,F225/E225,"")</f>
        <v>0.863636363636364</v>
      </c>
      <c r="H225" s="2" t="s">
        <v>413</v>
      </c>
    </row>
    <row r="226" customFormat="false" ht="15" hidden="false" customHeight="false" outlineLevel="0" collapsed="false">
      <c r="A226" s="2" t="s">
        <v>199</v>
      </c>
      <c r="B226" s="2" t="n">
        <v>2</v>
      </c>
      <c r="C226" s="2" t="n">
        <v>2022</v>
      </c>
      <c r="D226" s="2" t="n">
        <v>2023</v>
      </c>
      <c r="E226" s="2" t="n">
        <f aca="false">SUMIFS(Player_Season!$E$2:$E$1869,Player_Season!$B$2:$B$1869,A226)</f>
        <v>7</v>
      </c>
      <c r="F226" s="2" t="n">
        <f aca="false">SUMIFS(Player_Season!$F$2:$F$1869,Player_Season!$B$2:$B$1869,A226)</f>
        <v>19</v>
      </c>
      <c r="G226" s="2" t="n">
        <f aca="false">IF(E226&gt;0,F226/E226,"")</f>
        <v>2.71428571428571</v>
      </c>
      <c r="H226" s="2" t="s">
        <v>24</v>
      </c>
    </row>
    <row r="227" customFormat="false" ht="15" hidden="false" customHeight="false" outlineLevel="0" collapsed="false">
      <c r="A227" s="2" t="s">
        <v>165</v>
      </c>
      <c r="B227" s="2" t="n">
        <v>7</v>
      </c>
      <c r="C227" s="2" t="n">
        <v>2019</v>
      </c>
      <c r="D227" s="2" t="n">
        <v>2025</v>
      </c>
      <c r="E227" s="2" t="n">
        <f aca="false">SUMIFS(Player_Season!$E$2:$E$1869,Player_Season!$B$2:$B$1869,A227)</f>
        <v>57</v>
      </c>
      <c r="F227" s="2" t="n">
        <f aca="false">SUMIFS(Player_Season!$F$2:$F$1869,Player_Season!$B$2:$B$1869,A227)</f>
        <v>19</v>
      </c>
      <c r="G227" s="2" t="n">
        <f aca="false">IF(E227&gt;0,F227/E227,"")</f>
        <v>0.333333333333333</v>
      </c>
      <c r="H227" s="2" t="s">
        <v>29</v>
      </c>
    </row>
    <row r="228" customFormat="false" ht="15" hidden="false" customHeight="false" outlineLevel="0" collapsed="false">
      <c r="A228" s="2" t="s">
        <v>142</v>
      </c>
      <c r="B228" s="2" t="n">
        <v>8</v>
      </c>
      <c r="C228" s="2" t="n">
        <v>2019</v>
      </c>
      <c r="D228" s="2" t="n">
        <v>2026</v>
      </c>
      <c r="E228" s="2" t="n">
        <f aca="false">SUMIFS(Player_Season!$E$2:$E$1869,Player_Season!$B$2:$B$1869,A228)</f>
        <v>74</v>
      </c>
      <c r="F228" s="2" t="n">
        <f aca="false">SUMIFS(Player_Season!$F$2:$F$1869,Player_Season!$B$2:$B$1869,A228)</f>
        <v>19</v>
      </c>
      <c r="G228" s="2" t="n">
        <f aca="false">IF(E228&gt;0,F228/E228,"")</f>
        <v>0.256756756756757</v>
      </c>
      <c r="H228" s="2" t="s">
        <v>117</v>
      </c>
    </row>
    <row r="229" customFormat="false" ht="15" hidden="false" customHeight="false" outlineLevel="0" collapsed="false">
      <c r="A229" s="2" t="s">
        <v>211</v>
      </c>
      <c r="B229" s="2" t="n">
        <v>2</v>
      </c>
      <c r="C229" s="2" t="n">
        <v>2025</v>
      </c>
      <c r="D229" s="2" t="n">
        <v>2026</v>
      </c>
      <c r="E229" s="2" t="n">
        <f aca="false">SUMIFS(Player_Season!$E$2:$E$1869,Player_Season!$B$2:$B$1869,A229)</f>
        <v>17</v>
      </c>
      <c r="F229" s="2" t="n">
        <f aca="false">SUMIFS(Player_Season!$F$2:$F$1869,Player_Season!$B$2:$B$1869,A229)</f>
        <v>19</v>
      </c>
      <c r="G229" s="2" t="n">
        <f aca="false">IF(E229&gt;0,F229/E229,"")</f>
        <v>1.11764705882353</v>
      </c>
      <c r="H229" s="2" t="s">
        <v>83</v>
      </c>
    </row>
    <row r="230" customFormat="false" ht="15" hidden="false" customHeight="false" outlineLevel="0" collapsed="false">
      <c r="A230" s="2" t="s">
        <v>233</v>
      </c>
      <c r="B230" s="2" t="n">
        <v>2</v>
      </c>
      <c r="C230" s="2" t="n">
        <v>2025</v>
      </c>
      <c r="D230" s="2" t="n">
        <v>2026</v>
      </c>
      <c r="E230" s="2" t="n">
        <f aca="false">SUMIFS(Player_Season!$E$2:$E$1869,Player_Season!$B$2:$B$1869,A230)</f>
        <v>13</v>
      </c>
      <c r="F230" s="2" t="n">
        <f aca="false">SUMIFS(Player_Season!$F$2:$F$1869,Player_Season!$B$2:$B$1869,A230)</f>
        <v>19</v>
      </c>
      <c r="G230" s="2" t="n">
        <f aca="false">IF(E230&gt;0,F230/E230,"")</f>
        <v>1.46153846153846</v>
      </c>
      <c r="H230" s="2" t="s">
        <v>115</v>
      </c>
    </row>
    <row r="231" customFormat="false" ht="15" hidden="false" customHeight="false" outlineLevel="0" collapsed="false">
      <c r="A231" s="2" t="s">
        <v>213</v>
      </c>
      <c r="B231" s="2" t="n">
        <v>2</v>
      </c>
      <c r="C231" s="2" t="n">
        <v>2025</v>
      </c>
      <c r="D231" s="2" t="n">
        <v>2026</v>
      </c>
      <c r="E231" s="2" t="n">
        <f aca="false">SUMIFS(Player_Season!$E$2:$E$1869,Player_Season!$B$2:$B$1869,A231)</f>
        <v>21</v>
      </c>
      <c r="F231" s="2" t="n">
        <f aca="false">SUMIFS(Player_Season!$F$2:$F$1869,Player_Season!$B$2:$B$1869,A231)</f>
        <v>19</v>
      </c>
      <c r="G231" s="2" t="n">
        <f aca="false">IF(E231&gt;0,F231/E231,"")</f>
        <v>0.904761904761905</v>
      </c>
      <c r="H231" s="2" t="s">
        <v>117</v>
      </c>
    </row>
    <row r="232" customFormat="false" ht="15" hidden="false" customHeight="false" outlineLevel="0" collapsed="false">
      <c r="A232" s="2" t="s">
        <v>659</v>
      </c>
      <c r="B232" s="2" t="n">
        <v>1</v>
      </c>
      <c r="C232" s="2" t="n">
        <v>2026</v>
      </c>
      <c r="D232" s="2" t="n">
        <v>2026</v>
      </c>
      <c r="E232" s="2" t="n">
        <f aca="false">SUMIFS(Player_Season!$E$2:$E$1869,Player_Season!$B$2:$B$1869,A232)</f>
        <v>9</v>
      </c>
      <c r="F232" s="2" t="n">
        <f aca="false">SUMIFS(Player_Season!$F$2:$F$1869,Player_Season!$B$2:$B$1869,A232)</f>
        <v>19</v>
      </c>
      <c r="G232" s="2" t="n">
        <f aca="false">IF(E232&gt;0,F232/E232,"")</f>
        <v>2.11111111111111</v>
      </c>
      <c r="H232" s="2" t="s">
        <v>413</v>
      </c>
    </row>
    <row r="233" customFormat="false" ht="15" hidden="false" customHeight="false" outlineLevel="0" collapsed="false">
      <c r="A233" s="2" t="s">
        <v>257</v>
      </c>
      <c r="B233" s="2" t="n">
        <v>1</v>
      </c>
      <c r="C233" s="2" t="n">
        <v>2026</v>
      </c>
      <c r="D233" s="2" t="n">
        <v>2026</v>
      </c>
      <c r="E233" s="2" t="n">
        <f aca="false">SUMIFS(Player_Season!$E$2:$E$1869,Player_Season!$B$2:$B$1869,A233)</f>
        <v>5</v>
      </c>
      <c r="F233" s="2" t="n">
        <f aca="false">SUMIFS(Player_Season!$F$2:$F$1869,Player_Season!$B$2:$B$1869,A233)</f>
        <v>18</v>
      </c>
      <c r="G233" s="2" t="n">
        <f aca="false">IF(E233&gt;0,F233/E233,"")</f>
        <v>3.6</v>
      </c>
      <c r="H233" s="2" t="s">
        <v>29</v>
      </c>
    </row>
    <row r="234" customFormat="false" ht="15" hidden="false" customHeight="false" outlineLevel="0" collapsed="false">
      <c r="A234" s="2" t="s">
        <v>214</v>
      </c>
      <c r="B234" s="2" t="n">
        <v>3</v>
      </c>
      <c r="C234" s="2" t="n">
        <v>2023</v>
      </c>
      <c r="D234" s="2" t="n">
        <v>2025</v>
      </c>
      <c r="E234" s="2" t="n">
        <f aca="false">SUMIFS(Player_Season!$E$2:$E$1869,Player_Season!$B$2:$B$1869,A234)</f>
        <v>6</v>
      </c>
      <c r="F234" s="2" t="n">
        <f aca="false">SUMIFS(Player_Season!$F$2:$F$1869,Player_Season!$B$2:$B$1869,A234)</f>
        <v>17</v>
      </c>
      <c r="G234" s="2" t="n">
        <f aca="false">IF(E234&gt;0,F234/E234,"")</f>
        <v>2.83333333333333</v>
      </c>
      <c r="H234" s="2" t="s">
        <v>29</v>
      </c>
    </row>
    <row r="235" customFormat="false" ht="15" hidden="false" customHeight="false" outlineLevel="0" collapsed="false">
      <c r="A235" s="2" t="s">
        <v>569</v>
      </c>
      <c r="B235" s="2" t="n">
        <v>1</v>
      </c>
      <c r="C235" s="2" t="n">
        <v>2021</v>
      </c>
      <c r="D235" s="2" t="n">
        <v>2021</v>
      </c>
      <c r="E235" s="2" t="n">
        <f aca="false">SUMIFS(Player_Season!$E$2:$E$1869,Player_Season!$B$2:$B$1869,A235)</f>
        <v>5</v>
      </c>
      <c r="F235" s="2" t="n">
        <f aca="false">SUMIFS(Player_Season!$F$2:$F$1869,Player_Season!$B$2:$B$1869,A235)</f>
        <v>17</v>
      </c>
      <c r="G235" s="2" t="n">
        <f aca="false">IF(E235&gt;0,F235/E235,"")</f>
        <v>3.4</v>
      </c>
      <c r="H235" s="2" t="s">
        <v>29</v>
      </c>
    </row>
    <row r="236" customFormat="false" ht="15" hidden="false" customHeight="false" outlineLevel="0" collapsed="false">
      <c r="A236" s="2" t="s">
        <v>611</v>
      </c>
      <c r="B236" s="2" t="n">
        <v>3</v>
      </c>
      <c r="C236" s="2" t="n">
        <v>2023</v>
      </c>
      <c r="D236" s="2" t="n">
        <v>2026</v>
      </c>
      <c r="E236" s="2" t="n">
        <f aca="false">SUMIFS(Player_Season!$E$2:$E$1869,Player_Season!$B$2:$B$1869,A236)</f>
        <v>21</v>
      </c>
      <c r="F236" s="2" t="n">
        <f aca="false">SUMIFS(Player_Season!$F$2:$F$1869,Player_Season!$B$2:$B$1869,A236)</f>
        <v>17</v>
      </c>
      <c r="G236" s="2" t="n">
        <f aca="false">IF(E236&gt;0,F236/E236,"")</f>
        <v>0.80952380952381</v>
      </c>
      <c r="H236" s="2" t="s">
        <v>413</v>
      </c>
    </row>
    <row r="237" customFormat="false" ht="15" hidden="false" customHeight="false" outlineLevel="0" collapsed="false">
      <c r="A237" s="2" t="s">
        <v>234</v>
      </c>
      <c r="B237" s="2" t="n">
        <v>3</v>
      </c>
      <c r="C237" s="2" t="n">
        <v>2024</v>
      </c>
      <c r="D237" s="2" t="n">
        <v>2026</v>
      </c>
      <c r="E237" s="2" t="n">
        <f aca="false">SUMIFS(Player_Season!$E$2:$E$1869,Player_Season!$B$2:$B$1869,A237)</f>
        <v>19</v>
      </c>
      <c r="F237" s="2" t="n">
        <f aca="false">SUMIFS(Player_Season!$F$2:$F$1869,Player_Season!$B$2:$B$1869,A237)</f>
        <v>17</v>
      </c>
      <c r="G237" s="2" t="n">
        <f aca="false">IF(E237&gt;0,F237/E237,"")</f>
        <v>0.894736842105263</v>
      </c>
      <c r="H237" s="2" t="s">
        <v>117</v>
      </c>
    </row>
    <row r="238" customFormat="false" ht="15" hidden="false" customHeight="false" outlineLevel="0" collapsed="false">
      <c r="A238" s="2" t="s">
        <v>347</v>
      </c>
      <c r="B238" s="2" t="n">
        <v>4</v>
      </c>
      <c r="C238" s="2" t="n">
        <v>2019</v>
      </c>
      <c r="D238" s="2" t="n">
        <v>2022</v>
      </c>
      <c r="E238" s="2" t="n">
        <f aca="false">SUMIFS(Player_Season!$E$2:$E$1869,Player_Season!$B$2:$B$1869,A238)</f>
        <v>24</v>
      </c>
      <c r="F238" s="2" t="n">
        <f aca="false">SUMIFS(Player_Season!$F$2:$F$1869,Player_Season!$B$2:$B$1869,A238)</f>
        <v>17</v>
      </c>
      <c r="G238" s="2" t="n">
        <f aca="false">IF(E238&gt;0,F238/E238,"")</f>
        <v>0.708333333333333</v>
      </c>
      <c r="H238" s="2" t="s">
        <v>83</v>
      </c>
    </row>
    <row r="239" customFormat="false" ht="15" hidden="false" customHeight="false" outlineLevel="0" collapsed="false">
      <c r="A239" s="2" t="s">
        <v>168</v>
      </c>
      <c r="B239" s="2" t="n">
        <v>3</v>
      </c>
      <c r="C239" s="2" t="n">
        <v>2024</v>
      </c>
      <c r="D239" s="2" t="n">
        <v>2026</v>
      </c>
      <c r="E239" s="2" t="n">
        <f aca="false">SUMIFS(Player_Season!$E$2:$E$1869,Player_Season!$B$2:$B$1869,A239)</f>
        <v>32</v>
      </c>
      <c r="F239" s="2" t="n">
        <f aca="false">SUMIFS(Player_Season!$F$2:$F$1869,Player_Season!$B$2:$B$1869,A239)</f>
        <v>17</v>
      </c>
      <c r="G239" s="2" t="n">
        <f aca="false">IF(E239&gt;0,F239/E239,"")</f>
        <v>0.53125</v>
      </c>
      <c r="H239" s="2" t="s">
        <v>115</v>
      </c>
    </row>
    <row r="240" customFormat="false" ht="15" hidden="false" customHeight="false" outlineLevel="0" collapsed="false">
      <c r="A240" s="2" t="s">
        <v>232</v>
      </c>
      <c r="B240" s="2" t="n">
        <v>4</v>
      </c>
      <c r="C240" s="2" t="n">
        <v>2022</v>
      </c>
      <c r="D240" s="2" t="n">
        <v>2025</v>
      </c>
      <c r="E240" s="2" t="n">
        <f aca="false">SUMIFS(Player_Season!$E$2:$E$1869,Player_Season!$B$2:$B$1869,A240)</f>
        <v>12</v>
      </c>
      <c r="F240" s="2" t="n">
        <f aca="false">SUMIFS(Player_Season!$F$2:$F$1869,Player_Season!$B$2:$B$1869,A240)</f>
        <v>17</v>
      </c>
      <c r="G240" s="2" t="n">
        <f aca="false">IF(E240&gt;0,F240/E240,"")</f>
        <v>1.41666666666667</v>
      </c>
      <c r="H240" s="2" t="s">
        <v>29</v>
      </c>
    </row>
    <row r="241" customFormat="false" ht="15" hidden="false" customHeight="false" outlineLevel="0" collapsed="false">
      <c r="A241" s="2" t="s">
        <v>527</v>
      </c>
      <c r="B241" s="2" t="n">
        <v>2</v>
      </c>
      <c r="C241" s="2" t="n">
        <v>2020</v>
      </c>
      <c r="D241" s="2" t="n">
        <v>2021</v>
      </c>
      <c r="E241" s="2" t="n">
        <f aca="false">SUMIFS(Player_Season!$E$2:$E$1869,Player_Season!$B$2:$B$1869,A241)</f>
        <v>5</v>
      </c>
      <c r="F241" s="2" t="n">
        <f aca="false">SUMIFS(Player_Season!$F$2:$F$1869,Player_Season!$B$2:$B$1869,A241)</f>
        <v>16</v>
      </c>
      <c r="G241" s="2" t="n">
        <f aca="false">IF(E241&gt;0,F241/E241,"")</f>
        <v>3.2</v>
      </c>
      <c r="H241" s="2" t="s">
        <v>24</v>
      </c>
    </row>
    <row r="242" customFormat="false" ht="15" hidden="false" customHeight="false" outlineLevel="0" collapsed="false">
      <c r="A242" s="2" t="s">
        <v>271</v>
      </c>
      <c r="B242" s="2" t="n">
        <v>1</v>
      </c>
      <c r="C242" s="2" t="n">
        <v>2022</v>
      </c>
      <c r="D242" s="2" t="n">
        <v>2022</v>
      </c>
      <c r="E242" s="2" t="n">
        <f aca="false">SUMIFS(Player_Season!$E$2:$E$1869,Player_Season!$B$2:$B$1869,A242)</f>
        <v>6</v>
      </c>
      <c r="F242" s="2" t="n">
        <f aca="false">SUMIFS(Player_Season!$F$2:$F$1869,Player_Season!$B$2:$B$1869,A242)</f>
        <v>16</v>
      </c>
      <c r="G242" s="2" t="n">
        <f aca="false">IF(E242&gt;0,F242/E242,"")</f>
        <v>2.66666666666667</v>
      </c>
      <c r="H242" s="2" t="s">
        <v>24</v>
      </c>
    </row>
    <row r="243" customFormat="false" ht="15" hidden="false" customHeight="false" outlineLevel="0" collapsed="false">
      <c r="A243" s="2" t="s">
        <v>246</v>
      </c>
      <c r="B243" s="2" t="n">
        <v>1</v>
      </c>
      <c r="C243" s="2" t="n">
        <v>2026</v>
      </c>
      <c r="D243" s="2" t="n">
        <v>2026</v>
      </c>
      <c r="E243" s="2" t="n">
        <f aca="false">SUMIFS(Player_Season!$E$2:$E$1869,Player_Season!$B$2:$B$1869,A243)</f>
        <v>3</v>
      </c>
      <c r="F243" s="2" t="n">
        <f aca="false">SUMIFS(Player_Season!$F$2:$F$1869,Player_Season!$B$2:$B$1869,A243)</f>
        <v>16</v>
      </c>
      <c r="G243" s="2" t="n">
        <f aca="false">IF(E243&gt;0,F243/E243,"")</f>
        <v>5.33333333333333</v>
      </c>
      <c r="H243" s="2" t="s">
        <v>29</v>
      </c>
    </row>
    <row r="244" customFormat="false" ht="15" hidden="false" customHeight="false" outlineLevel="0" collapsed="false">
      <c r="A244" s="2" t="s">
        <v>235</v>
      </c>
      <c r="B244" s="2" t="n">
        <v>1</v>
      </c>
      <c r="C244" s="2" t="n">
        <v>2024</v>
      </c>
      <c r="D244" s="2" t="n">
        <v>2024</v>
      </c>
      <c r="E244" s="2" t="n">
        <f aca="false">SUMIFS(Player_Season!$E$2:$E$1869,Player_Season!$B$2:$B$1869,A244)</f>
        <v>6</v>
      </c>
      <c r="F244" s="2" t="n">
        <f aca="false">SUMIFS(Player_Season!$F$2:$F$1869,Player_Season!$B$2:$B$1869,A244)</f>
        <v>16</v>
      </c>
      <c r="G244" s="2" t="n">
        <f aca="false">IF(E244&gt;0,F244/E244,"")</f>
        <v>2.66666666666667</v>
      </c>
      <c r="H244" s="2" t="s">
        <v>29</v>
      </c>
    </row>
    <row r="245" customFormat="false" ht="15" hidden="false" customHeight="false" outlineLevel="0" collapsed="false">
      <c r="A245" s="2" t="s">
        <v>487</v>
      </c>
      <c r="B245" s="2" t="n">
        <v>8</v>
      </c>
      <c r="C245" s="2" t="n">
        <v>2019</v>
      </c>
      <c r="D245" s="2" t="n">
        <v>2026</v>
      </c>
      <c r="E245" s="2" t="n">
        <f aca="false">SUMIFS(Player_Season!$E$2:$E$1869,Player_Season!$B$2:$B$1869,A245)</f>
        <v>74</v>
      </c>
      <c r="F245" s="2" t="n">
        <f aca="false">SUMIFS(Player_Season!$F$2:$F$1869,Player_Season!$B$2:$B$1869,A245)</f>
        <v>15</v>
      </c>
      <c r="G245" s="2" t="n">
        <f aca="false">IF(E245&gt;0,F245/E245,"")</f>
        <v>0.202702702702703</v>
      </c>
      <c r="H245" s="2" t="s">
        <v>409</v>
      </c>
    </row>
    <row r="246" customFormat="false" ht="15" hidden="false" customHeight="false" outlineLevel="0" collapsed="false">
      <c r="A246" s="2" t="s">
        <v>252</v>
      </c>
      <c r="B246" s="2" t="n">
        <v>2</v>
      </c>
      <c r="C246" s="2" t="n">
        <v>2024</v>
      </c>
      <c r="D246" s="2" t="n">
        <v>2025</v>
      </c>
      <c r="E246" s="2" t="n">
        <f aca="false">SUMIFS(Player_Season!$E$2:$E$1869,Player_Season!$B$2:$B$1869,A246)</f>
        <v>6</v>
      </c>
      <c r="F246" s="2" t="n">
        <f aca="false">SUMIFS(Player_Season!$F$2:$F$1869,Player_Season!$B$2:$B$1869,A246)</f>
        <v>15</v>
      </c>
      <c r="G246" s="2" t="n">
        <f aca="false">IF(E246&gt;0,F246/E246,"")</f>
        <v>2.5</v>
      </c>
      <c r="H246" s="2" t="s">
        <v>29</v>
      </c>
    </row>
    <row r="247" customFormat="false" ht="15" hidden="false" customHeight="false" outlineLevel="0" collapsed="false">
      <c r="A247" s="2" t="s">
        <v>155</v>
      </c>
      <c r="B247" s="2" t="n">
        <v>7</v>
      </c>
      <c r="C247" s="2" t="n">
        <v>2019</v>
      </c>
      <c r="D247" s="2" t="n">
        <v>2025</v>
      </c>
      <c r="E247" s="2" t="n">
        <f aca="false">SUMIFS(Player_Season!$E$2:$E$1869,Player_Season!$B$2:$B$1869,A247)</f>
        <v>65</v>
      </c>
      <c r="F247" s="2" t="n">
        <f aca="false">SUMIFS(Player_Season!$F$2:$F$1869,Player_Season!$B$2:$B$1869,A247)</f>
        <v>15</v>
      </c>
      <c r="G247" s="2" t="n">
        <f aca="false">IF(E247&gt;0,F247/E247,"")</f>
        <v>0.230769230769231</v>
      </c>
      <c r="H247" s="2" t="s">
        <v>117</v>
      </c>
    </row>
    <row r="248" customFormat="false" ht="15" hidden="false" customHeight="false" outlineLevel="0" collapsed="false">
      <c r="A248" s="2" t="s">
        <v>203</v>
      </c>
      <c r="B248" s="2" t="n">
        <v>5</v>
      </c>
      <c r="C248" s="2" t="n">
        <v>2022</v>
      </c>
      <c r="D248" s="2" t="n">
        <v>2026</v>
      </c>
      <c r="E248" s="2" t="n">
        <f aca="false">SUMIFS(Player_Season!$E$2:$E$1869,Player_Season!$B$2:$B$1869,A248)</f>
        <v>29</v>
      </c>
      <c r="F248" s="2" t="n">
        <f aca="false">SUMIFS(Player_Season!$F$2:$F$1869,Player_Season!$B$2:$B$1869,A248)</f>
        <v>15</v>
      </c>
      <c r="G248" s="2" t="n">
        <f aca="false">IF(E248&gt;0,F248/E248,"")</f>
        <v>0.517241379310345</v>
      </c>
      <c r="H248" s="2" t="s">
        <v>83</v>
      </c>
    </row>
    <row r="249" customFormat="false" ht="15" hidden="false" customHeight="false" outlineLevel="0" collapsed="false">
      <c r="A249" s="2" t="s">
        <v>258</v>
      </c>
      <c r="B249" s="2" t="n">
        <v>2</v>
      </c>
      <c r="C249" s="2" t="n">
        <v>2021</v>
      </c>
      <c r="D249" s="2" t="n">
        <v>2022</v>
      </c>
      <c r="E249" s="2" t="n">
        <f aca="false">SUMIFS(Player_Season!$E$2:$E$1869,Player_Season!$B$2:$B$1869,A249)</f>
        <v>8</v>
      </c>
      <c r="F249" s="2" t="n">
        <f aca="false">SUMIFS(Player_Season!$F$2:$F$1869,Player_Season!$B$2:$B$1869,A249)</f>
        <v>15</v>
      </c>
      <c r="G249" s="2" t="n">
        <f aca="false">IF(E249&gt;0,F249/E249,"")</f>
        <v>1.875</v>
      </c>
      <c r="H249" s="2" t="s">
        <v>24</v>
      </c>
    </row>
    <row r="250" customFormat="false" ht="15" hidden="false" customHeight="false" outlineLevel="0" collapsed="false">
      <c r="A250" s="2" t="s">
        <v>496</v>
      </c>
      <c r="B250" s="2" t="n">
        <v>2</v>
      </c>
      <c r="C250" s="2" t="n">
        <v>2019</v>
      </c>
      <c r="D250" s="2" t="n">
        <v>2020</v>
      </c>
      <c r="E250" s="2" t="n">
        <f aca="false">SUMIFS(Player_Season!$E$2:$E$1869,Player_Season!$B$2:$B$1869,A250)</f>
        <v>10</v>
      </c>
      <c r="F250" s="2" t="n">
        <f aca="false">SUMIFS(Player_Season!$F$2:$F$1869,Player_Season!$B$2:$B$1869,A250)</f>
        <v>14</v>
      </c>
      <c r="G250" s="2" t="n">
        <f aca="false">IF(E250&gt;0,F250/E250,"")</f>
        <v>1.4</v>
      </c>
      <c r="H250" s="2" t="s">
        <v>29</v>
      </c>
    </row>
    <row r="251" customFormat="false" ht="15" hidden="false" customHeight="false" outlineLevel="0" collapsed="false">
      <c r="A251" s="2" t="s">
        <v>515</v>
      </c>
      <c r="B251" s="2" t="n">
        <v>2</v>
      </c>
      <c r="C251" s="2" t="n">
        <v>2019</v>
      </c>
      <c r="D251" s="2" t="n">
        <v>2021</v>
      </c>
      <c r="E251" s="2" t="n">
        <f aca="false">SUMIFS(Player_Season!$E$2:$E$1869,Player_Season!$B$2:$B$1869,A251)</f>
        <v>18</v>
      </c>
      <c r="F251" s="2" t="n">
        <f aca="false">SUMIFS(Player_Season!$F$2:$F$1869,Player_Season!$B$2:$B$1869,A251)</f>
        <v>14</v>
      </c>
      <c r="G251" s="2" t="n">
        <f aca="false">IF(E251&gt;0,F251/E251,"")</f>
        <v>0.777777777777778</v>
      </c>
      <c r="H251" s="2" t="s">
        <v>115</v>
      </c>
    </row>
    <row r="252" customFormat="false" ht="15" hidden="false" customHeight="false" outlineLevel="0" collapsed="false">
      <c r="A252" s="2" t="s">
        <v>521</v>
      </c>
      <c r="B252" s="2" t="n">
        <v>2</v>
      </c>
      <c r="C252" s="2" t="n">
        <v>2020</v>
      </c>
      <c r="D252" s="2" t="n">
        <v>2021</v>
      </c>
      <c r="E252" s="2" t="n">
        <f aca="false">SUMIFS(Player_Season!$E$2:$E$1869,Player_Season!$B$2:$B$1869,A252)</f>
        <v>6</v>
      </c>
      <c r="F252" s="2" t="n">
        <f aca="false">SUMIFS(Player_Season!$F$2:$F$1869,Player_Season!$B$2:$B$1869,A252)</f>
        <v>14</v>
      </c>
      <c r="G252" s="2" t="n">
        <f aca="false">IF(E252&gt;0,F252/E252,"")</f>
        <v>2.33333333333333</v>
      </c>
      <c r="H252" s="2" t="s">
        <v>29</v>
      </c>
    </row>
    <row r="253" customFormat="false" ht="15" hidden="false" customHeight="false" outlineLevel="0" collapsed="false">
      <c r="A253" s="2" t="s">
        <v>159</v>
      </c>
      <c r="B253" s="2" t="n">
        <v>8</v>
      </c>
      <c r="C253" s="2" t="n">
        <v>2019</v>
      </c>
      <c r="D253" s="2" t="n">
        <v>2026</v>
      </c>
      <c r="E253" s="2" t="n">
        <f aca="false">SUMIFS(Player_Season!$E$2:$E$1869,Player_Season!$B$2:$B$1869,A253)</f>
        <v>69</v>
      </c>
      <c r="F253" s="2" t="n">
        <f aca="false">SUMIFS(Player_Season!$F$2:$F$1869,Player_Season!$B$2:$B$1869,A253)</f>
        <v>14</v>
      </c>
      <c r="G253" s="2" t="n">
        <f aca="false">IF(E253&gt;0,F253/E253,"")</f>
        <v>0.202898550724638</v>
      </c>
      <c r="H253" s="2" t="s">
        <v>117</v>
      </c>
    </row>
    <row r="254" customFormat="false" ht="15" hidden="false" customHeight="false" outlineLevel="0" collapsed="false">
      <c r="A254" s="2" t="s">
        <v>562</v>
      </c>
      <c r="B254" s="2" t="n">
        <v>4</v>
      </c>
      <c r="C254" s="2" t="n">
        <v>2021</v>
      </c>
      <c r="D254" s="2" t="n">
        <v>2024</v>
      </c>
      <c r="E254" s="2" t="n">
        <f aca="false">SUMIFS(Player_Season!$E$2:$E$1869,Player_Season!$B$2:$B$1869,A254)</f>
        <v>3</v>
      </c>
      <c r="F254" s="2" t="n">
        <f aca="false">SUMIFS(Player_Season!$F$2:$F$1869,Player_Season!$B$2:$B$1869,A254)</f>
        <v>14</v>
      </c>
      <c r="G254" s="2" t="n">
        <f aca="false">IF(E254&gt;0,F254/E254,"")</f>
        <v>4.66666666666667</v>
      </c>
      <c r="H254" s="2" t="s">
        <v>24</v>
      </c>
    </row>
    <row r="255" customFormat="false" ht="15" hidden="false" customHeight="false" outlineLevel="0" collapsed="false">
      <c r="A255" s="2" t="s">
        <v>265</v>
      </c>
      <c r="B255" s="2" t="n">
        <v>1</v>
      </c>
      <c r="C255" s="2" t="n">
        <v>2023</v>
      </c>
      <c r="D255" s="2" t="n">
        <v>2023</v>
      </c>
      <c r="E255" s="2" t="n">
        <f aca="false">SUMIFS(Player_Season!$E$2:$E$1869,Player_Season!$B$2:$B$1869,A255)</f>
        <v>5</v>
      </c>
      <c r="F255" s="2" t="n">
        <f aca="false">SUMIFS(Player_Season!$F$2:$F$1869,Player_Season!$B$2:$B$1869,A255)</f>
        <v>14</v>
      </c>
      <c r="G255" s="2" t="n">
        <f aca="false">IF(E255&gt;0,F255/E255,"")</f>
        <v>2.8</v>
      </c>
      <c r="H255" s="2" t="s">
        <v>29</v>
      </c>
    </row>
    <row r="256" customFormat="false" ht="15" hidden="false" customHeight="false" outlineLevel="0" collapsed="false">
      <c r="A256" s="2" t="s">
        <v>273</v>
      </c>
      <c r="B256" s="2" t="n">
        <v>2</v>
      </c>
      <c r="C256" s="2" t="n">
        <v>2022</v>
      </c>
      <c r="D256" s="2" t="n">
        <v>2023</v>
      </c>
      <c r="E256" s="2" t="n">
        <f aca="false">SUMIFS(Player_Season!$E$2:$E$1869,Player_Season!$B$2:$B$1869,A256)</f>
        <v>5</v>
      </c>
      <c r="F256" s="2" t="n">
        <f aca="false">SUMIFS(Player_Season!$F$2:$F$1869,Player_Season!$B$2:$B$1869,A256)</f>
        <v>13</v>
      </c>
      <c r="G256" s="2" t="n">
        <f aca="false">IF(E256&gt;0,F256/E256,"")</f>
        <v>2.6</v>
      </c>
      <c r="H256" s="2" t="s">
        <v>29</v>
      </c>
    </row>
    <row r="257" customFormat="false" ht="15" hidden="false" customHeight="false" outlineLevel="0" collapsed="false">
      <c r="A257" s="2" t="s">
        <v>183</v>
      </c>
      <c r="B257" s="2" t="n">
        <v>4</v>
      </c>
      <c r="C257" s="2" t="n">
        <v>2023</v>
      </c>
      <c r="D257" s="2" t="n">
        <v>2026</v>
      </c>
      <c r="E257" s="2" t="n">
        <f aca="false">SUMIFS(Player_Season!$E$2:$E$1869,Player_Season!$B$2:$B$1869,A257)</f>
        <v>27</v>
      </c>
      <c r="F257" s="2" t="n">
        <f aca="false">SUMIFS(Player_Season!$F$2:$F$1869,Player_Season!$B$2:$B$1869,A257)</f>
        <v>13</v>
      </c>
      <c r="G257" s="2" t="n">
        <f aca="false">IF(E257&gt;0,F257/E257,"")</f>
        <v>0.481481481481481</v>
      </c>
      <c r="H257" s="2" t="s">
        <v>83</v>
      </c>
    </row>
    <row r="258" customFormat="false" ht="15" hidden="false" customHeight="false" outlineLevel="0" collapsed="false">
      <c r="A258" s="2" t="s">
        <v>224</v>
      </c>
      <c r="B258" s="2" t="n">
        <v>6</v>
      </c>
      <c r="C258" s="2" t="n">
        <v>2021</v>
      </c>
      <c r="D258" s="2" t="n">
        <v>2026</v>
      </c>
      <c r="E258" s="2" t="n">
        <f aca="false">SUMIFS(Player_Season!$E$2:$E$1869,Player_Season!$B$2:$B$1869,A258)</f>
        <v>29</v>
      </c>
      <c r="F258" s="2" t="n">
        <f aca="false">SUMIFS(Player_Season!$F$2:$F$1869,Player_Season!$B$2:$B$1869,A258)</f>
        <v>13</v>
      </c>
      <c r="G258" s="2" t="n">
        <f aca="false">IF(E258&gt;0,F258/E258,"")</f>
        <v>0.448275862068966</v>
      </c>
      <c r="H258" s="2" t="s">
        <v>83</v>
      </c>
    </row>
    <row r="259" customFormat="false" ht="15" hidden="false" customHeight="false" outlineLevel="0" collapsed="false">
      <c r="A259" s="2" t="s">
        <v>278</v>
      </c>
      <c r="B259" s="2" t="n">
        <v>2</v>
      </c>
      <c r="C259" s="2" t="n">
        <v>2021</v>
      </c>
      <c r="D259" s="2" t="n">
        <v>2022</v>
      </c>
      <c r="E259" s="2" t="n">
        <f aca="false">SUMIFS(Player_Season!$E$2:$E$1869,Player_Season!$B$2:$B$1869,A259)</f>
        <v>8</v>
      </c>
      <c r="F259" s="2" t="n">
        <f aca="false">SUMIFS(Player_Season!$F$2:$F$1869,Player_Season!$B$2:$B$1869,A259)</f>
        <v>13</v>
      </c>
      <c r="G259" s="2" t="n">
        <f aca="false">IF(E259&gt;0,F259/E259,"")</f>
        <v>1.625</v>
      </c>
      <c r="H259" s="2" t="s">
        <v>29</v>
      </c>
    </row>
    <row r="260" customFormat="false" ht="15" hidden="false" customHeight="false" outlineLevel="0" collapsed="false">
      <c r="A260" s="2" t="s">
        <v>259</v>
      </c>
      <c r="B260" s="2" t="n">
        <v>1</v>
      </c>
      <c r="C260" s="2" t="n">
        <v>2026</v>
      </c>
      <c r="D260" s="2" t="n">
        <v>2026</v>
      </c>
      <c r="E260" s="2" t="n">
        <f aca="false">SUMIFS(Player_Season!$E$2:$E$1869,Player_Season!$B$2:$B$1869,A260)</f>
        <v>6</v>
      </c>
      <c r="F260" s="2" t="n">
        <f aca="false">SUMIFS(Player_Season!$F$2:$F$1869,Player_Season!$B$2:$B$1869,A260)</f>
        <v>13</v>
      </c>
      <c r="G260" s="2" t="n">
        <f aca="false">IF(E260&gt;0,F260/E260,"")</f>
        <v>2.16666666666667</v>
      </c>
      <c r="H260" s="2" t="s">
        <v>29</v>
      </c>
    </row>
    <row r="261" customFormat="false" ht="15" hidden="false" customHeight="false" outlineLevel="0" collapsed="false">
      <c r="A261" s="2" t="s">
        <v>194</v>
      </c>
      <c r="B261" s="2" t="n">
        <v>6</v>
      </c>
      <c r="C261" s="2" t="n">
        <v>2019</v>
      </c>
      <c r="D261" s="2" t="n">
        <v>2024</v>
      </c>
      <c r="E261" s="2" t="n">
        <f aca="false">SUMIFS(Player_Season!$E$2:$E$1869,Player_Season!$B$2:$B$1869,A261)</f>
        <v>53</v>
      </c>
      <c r="F261" s="2" t="n">
        <f aca="false">SUMIFS(Player_Season!$F$2:$F$1869,Player_Season!$B$2:$B$1869,A261)</f>
        <v>13</v>
      </c>
      <c r="G261" s="2" t="n">
        <f aca="false">IF(E261&gt;0,F261/E261,"")</f>
        <v>0.245283018867925</v>
      </c>
      <c r="H261" s="2" t="s">
        <v>29</v>
      </c>
    </row>
    <row r="262" customFormat="false" ht="15" hidden="false" customHeight="false" outlineLevel="0" collapsed="false">
      <c r="A262" s="2" t="s">
        <v>300</v>
      </c>
      <c r="B262" s="2" t="n">
        <v>2</v>
      </c>
      <c r="C262" s="2" t="n">
        <v>2023</v>
      </c>
      <c r="D262" s="2" t="n">
        <v>2024</v>
      </c>
      <c r="E262" s="2" t="n">
        <f aca="false">SUMIFS(Player_Season!$E$2:$E$1869,Player_Season!$B$2:$B$1869,A262)</f>
        <v>2</v>
      </c>
      <c r="F262" s="2" t="n">
        <f aca="false">SUMIFS(Player_Season!$F$2:$F$1869,Player_Season!$B$2:$B$1869,A262)</f>
        <v>12</v>
      </c>
      <c r="G262" s="2" t="n">
        <f aca="false">IF(E262&gt;0,F262/E262,"")</f>
        <v>6</v>
      </c>
      <c r="H262" s="2" t="s">
        <v>24</v>
      </c>
    </row>
    <row r="263" customFormat="false" ht="15" hidden="false" customHeight="false" outlineLevel="0" collapsed="false">
      <c r="A263" s="2" t="s">
        <v>284</v>
      </c>
      <c r="B263" s="2" t="n">
        <v>2</v>
      </c>
      <c r="C263" s="2" t="n">
        <v>2021</v>
      </c>
      <c r="D263" s="2" t="n">
        <v>2022</v>
      </c>
      <c r="E263" s="2" t="n">
        <f aca="false">SUMIFS(Player_Season!$E$2:$E$1869,Player_Season!$B$2:$B$1869,A263)</f>
        <v>18</v>
      </c>
      <c r="F263" s="2" t="n">
        <f aca="false">SUMIFS(Player_Season!$F$2:$F$1869,Player_Season!$B$2:$B$1869,A263)</f>
        <v>12</v>
      </c>
      <c r="G263" s="2" t="n">
        <f aca="false">IF(E263&gt;0,F263/E263,"")</f>
        <v>0.666666666666667</v>
      </c>
      <c r="H263" s="2" t="s">
        <v>83</v>
      </c>
    </row>
    <row r="264" customFormat="false" ht="15" hidden="false" customHeight="false" outlineLevel="0" collapsed="false">
      <c r="A264" s="2" t="s">
        <v>152</v>
      </c>
      <c r="B264" s="2" t="n">
        <v>3</v>
      </c>
      <c r="C264" s="2" t="n">
        <v>2024</v>
      </c>
      <c r="D264" s="2" t="n">
        <v>2026</v>
      </c>
      <c r="E264" s="2" t="n">
        <f aca="false">SUMIFS(Player_Season!$E$2:$E$1869,Player_Season!$B$2:$B$1869,A264)</f>
        <v>32</v>
      </c>
      <c r="F264" s="2" t="n">
        <f aca="false">SUMIFS(Player_Season!$F$2:$F$1869,Player_Season!$B$2:$B$1869,A264)</f>
        <v>12</v>
      </c>
      <c r="G264" s="2" t="n">
        <f aca="false">IF(E264&gt;0,F264/E264,"")</f>
        <v>0.375</v>
      </c>
      <c r="H264" s="2" t="s">
        <v>117</v>
      </c>
    </row>
    <row r="265" customFormat="false" ht="15" hidden="false" customHeight="false" outlineLevel="0" collapsed="false">
      <c r="A265" s="2" t="s">
        <v>261</v>
      </c>
      <c r="B265" s="2" t="n">
        <v>1</v>
      </c>
      <c r="C265" s="2" t="n">
        <v>2026</v>
      </c>
      <c r="D265" s="2" t="n">
        <v>2026</v>
      </c>
      <c r="E265" s="2" t="n">
        <f aca="false">SUMIFS(Player_Season!$E$2:$E$1869,Player_Season!$B$2:$B$1869,A265)</f>
        <v>10</v>
      </c>
      <c r="F265" s="2" t="n">
        <f aca="false">SUMIFS(Player_Season!$F$2:$F$1869,Player_Season!$B$2:$B$1869,A265)</f>
        <v>12</v>
      </c>
      <c r="G265" s="2" t="n">
        <f aca="false">IF(E265&gt;0,F265/E265,"")</f>
        <v>1.2</v>
      </c>
      <c r="H265" s="2" t="s">
        <v>83</v>
      </c>
    </row>
    <row r="266" customFormat="false" ht="15" hidden="false" customHeight="false" outlineLevel="0" collapsed="false">
      <c r="A266" s="2" t="s">
        <v>171</v>
      </c>
      <c r="B266" s="2" t="n">
        <v>6</v>
      </c>
      <c r="C266" s="2" t="n">
        <v>2021</v>
      </c>
      <c r="D266" s="2" t="n">
        <v>2026</v>
      </c>
      <c r="E266" s="2" t="n">
        <f aca="false">SUMIFS(Player_Season!$E$2:$E$1869,Player_Season!$B$2:$B$1869,A266)</f>
        <v>47</v>
      </c>
      <c r="F266" s="2" t="n">
        <f aca="false">SUMIFS(Player_Season!$F$2:$F$1869,Player_Season!$B$2:$B$1869,A266)</f>
        <v>12</v>
      </c>
      <c r="G266" s="2" t="n">
        <f aca="false">IF(E266&gt;0,F266/E266,"")</f>
        <v>0.25531914893617</v>
      </c>
      <c r="H266" s="2" t="s">
        <v>29</v>
      </c>
    </row>
    <row r="267" customFormat="false" ht="15" hidden="false" customHeight="false" outlineLevel="0" collapsed="false">
      <c r="A267" s="2" t="s">
        <v>540</v>
      </c>
      <c r="B267" s="2" t="n">
        <v>5</v>
      </c>
      <c r="C267" s="2" t="n">
        <v>2020</v>
      </c>
      <c r="D267" s="2" t="n">
        <v>2024</v>
      </c>
      <c r="E267" s="2" t="n">
        <f aca="false">SUMIFS(Player_Season!$E$2:$E$1869,Player_Season!$B$2:$B$1869,A267)</f>
        <v>20</v>
      </c>
      <c r="F267" s="2" t="n">
        <f aca="false">SUMIFS(Player_Season!$F$2:$F$1869,Player_Season!$B$2:$B$1869,A267)</f>
        <v>12</v>
      </c>
      <c r="G267" s="2" t="n">
        <f aca="false">IF(E267&gt;0,F267/E267,"")</f>
        <v>0.6</v>
      </c>
      <c r="H267" s="2" t="s">
        <v>413</v>
      </c>
    </row>
    <row r="268" customFormat="false" ht="15" hidden="false" customHeight="false" outlineLevel="0" collapsed="false">
      <c r="A268" s="2" t="s">
        <v>499</v>
      </c>
      <c r="B268" s="2" t="n">
        <v>3</v>
      </c>
      <c r="C268" s="2" t="n">
        <v>2019</v>
      </c>
      <c r="D268" s="2" t="n">
        <v>2021</v>
      </c>
      <c r="E268" s="2" t="n">
        <f aca="false">SUMIFS(Player_Season!$E$2:$E$1869,Player_Season!$B$2:$B$1869,A268)</f>
        <v>4</v>
      </c>
      <c r="F268" s="2" t="n">
        <f aca="false">SUMIFS(Player_Season!$F$2:$F$1869,Player_Season!$B$2:$B$1869,A268)</f>
        <v>12</v>
      </c>
      <c r="G268" s="2" t="n">
        <f aca="false">IF(E268&gt;0,F268/E268,"")</f>
        <v>3</v>
      </c>
      <c r="H268" s="2" t="s">
        <v>29</v>
      </c>
    </row>
    <row r="269" customFormat="false" ht="15" hidden="false" customHeight="false" outlineLevel="0" collapsed="false">
      <c r="A269" s="2" t="s">
        <v>198</v>
      </c>
      <c r="B269" s="2" t="n">
        <v>8</v>
      </c>
      <c r="C269" s="2" t="n">
        <v>2019</v>
      </c>
      <c r="D269" s="2" t="n">
        <v>2026</v>
      </c>
      <c r="E269" s="2" t="n">
        <f aca="false">SUMIFS(Player_Season!$E$2:$E$1869,Player_Season!$B$2:$B$1869,A269)</f>
        <v>65</v>
      </c>
      <c r="F269" s="2" t="n">
        <f aca="false">SUMIFS(Player_Season!$F$2:$F$1869,Player_Season!$B$2:$B$1869,A269)</f>
        <v>12</v>
      </c>
      <c r="G269" s="2" t="n">
        <f aca="false">IF(E269&gt;0,F269/E269,"")</f>
        <v>0.184615384615385</v>
      </c>
      <c r="H269" s="2" t="s">
        <v>117</v>
      </c>
    </row>
    <row r="270" customFormat="false" ht="15" hidden="false" customHeight="false" outlineLevel="0" collapsed="false">
      <c r="A270" s="2" t="s">
        <v>243</v>
      </c>
      <c r="B270" s="2" t="n">
        <v>4</v>
      </c>
      <c r="C270" s="2" t="n">
        <v>2023</v>
      </c>
      <c r="D270" s="2" t="n">
        <v>2026</v>
      </c>
      <c r="E270" s="2" t="n">
        <f aca="false">SUMIFS(Player_Season!$E$2:$E$1869,Player_Season!$B$2:$B$1869,A270)</f>
        <v>34</v>
      </c>
      <c r="F270" s="2" t="n">
        <f aca="false">SUMIFS(Player_Season!$F$2:$F$1869,Player_Season!$B$2:$B$1869,A270)</f>
        <v>11</v>
      </c>
      <c r="G270" s="2" t="n">
        <f aca="false">IF(E270&gt;0,F270/E270,"")</f>
        <v>0.323529411764706</v>
      </c>
      <c r="H270" s="2" t="s">
        <v>115</v>
      </c>
    </row>
    <row r="271" customFormat="false" ht="15" hidden="false" customHeight="false" outlineLevel="0" collapsed="false">
      <c r="A271" s="2" t="s">
        <v>302</v>
      </c>
      <c r="B271" s="2" t="n">
        <v>1</v>
      </c>
      <c r="C271" s="2" t="n">
        <v>2024</v>
      </c>
      <c r="D271" s="2" t="n">
        <v>2024</v>
      </c>
      <c r="E271" s="2" t="n">
        <f aca="false">SUMIFS(Player_Season!$E$2:$E$1869,Player_Season!$B$2:$B$1869,A271)</f>
        <v>2</v>
      </c>
      <c r="F271" s="2" t="n">
        <f aca="false">SUMIFS(Player_Season!$F$2:$F$1869,Player_Season!$B$2:$B$1869,A271)</f>
        <v>11</v>
      </c>
      <c r="G271" s="2" t="n">
        <f aca="false">IF(E271&gt;0,F271/E271,"")</f>
        <v>5.5</v>
      </c>
      <c r="H271" s="2" t="s">
        <v>24</v>
      </c>
    </row>
    <row r="272" customFormat="false" ht="15" hidden="false" customHeight="false" outlineLevel="0" collapsed="false">
      <c r="A272" s="2" t="s">
        <v>227</v>
      </c>
      <c r="B272" s="2" t="n">
        <v>6</v>
      </c>
      <c r="C272" s="2" t="n">
        <v>2021</v>
      </c>
      <c r="D272" s="2" t="n">
        <v>2026</v>
      </c>
      <c r="E272" s="2" t="n">
        <f aca="false">SUMIFS(Player_Season!$E$2:$E$1869,Player_Season!$B$2:$B$1869,A272)</f>
        <v>31</v>
      </c>
      <c r="F272" s="2" t="n">
        <f aca="false">SUMIFS(Player_Season!$F$2:$F$1869,Player_Season!$B$2:$B$1869,A272)</f>
        <v>11</v>
      </c>
      <c r="G272" s="2" t="n">
        <f aca="false">IF(E272&gt;0,F272/E272,"")</f>
        <v>0.354838709677419</v>
      </c>
      <c r="H272" s="2" t="s">
        <v>83</v>
      </c>
    </row>
    <row r="273" customFormat="false" ht="15" hidden="false" customHeight="false" outlineLevel="0" collapsed="false">
      <c r="A273" s="2" t="s">
        <v>264</v>
      </c>
      <c r="B273" s="2" t="n">
        <v>6</v>
      </c>
      <c r="C273" s="2" t="n">
        <v>2019</v>
      </c>
      <c r="D273" s="2" t="n">
        <v>2024</v>
      </c>
      <c r="E273" s="2" t="n">
        <f aca="false">SUMIFS(Player_Season!$E$2:$E$1869,Player_Season!$B$2:$B$1869,A273)</f>
        <v>41</v>
      </c>
      <c r="F273" s="2" t="n">
        <f aca="false">SUMIFS(Player_Season!$F$2:$F$1869,Player_Season!$B$2:$B$1869,A273)</f>
        <v>11</v>
      </c>
      <c r="G273" s="2" t="n">
        <f aca="false">IF(E273&gt;0,F273/E273,"")</f>
        <v>0.268292682926829</v>
      </c>
      <c r="H273" s="2" t="s">
        <v>117</v>
      </c>
    </row>
    <row r="274" customFormat="false" ht="15" hidden="false" customHeight="false" outlineLevel="0" collapsed="false">
      <c r="A274" s="2" t="s">
        <v>244</v>
      </c>
      <c r="B274" s="2" t="n">
        <v>1</v>
      </c>
      <c r="C274" s="2" t="n">
        <v>2026</v>
      </c>
      <c r="D274" s="2" t="n">
        <v>2026</v>
      </c>
      <c r="E274" s="2" t="n">
        <f aca="false">SUMIFS(Player_Season!$E$2:$E$1869,Player_Season!$B$2:$B$1869,A274)</f>
        <v>10</v>
      </c>
      <c r="F274" s="2" t="n">
        <f aca="false">SUMIFS(Player_Season!$F$2:$F$1869,Player_Season!$B$2:$B$1869,A274)</f>
        <v>11</v>
      </c>
      <c r="G274" s="2" t="n">
        <f aca="false">IF(E274&gt;0,F274/E274,"")</f>
        <v>1.1</v>
      </c>
      <c r="H274" s="2" t="s">
        <v>117</v>
      </c>
    </row>
    <row r="275" customFormat="false" ht="15" hidden="false" customHeight="false" outlineLevel="0" collapsed="false">
      <c r="A275" s="2" t="s">
        <v>453</v>
      </c>
      <c r="B275" s="2" t="n">
        <v>4</v>
      </c>
      <c r="C275" s="2" t="n">
        <v>2019</v>
      </c>
      <c r="D275" s="2" t="n">
        <v>2022</v>
      </c>
      <c r="E275" s="2" t="n">
        <f aca="false">SUMIFS(Player_Season!$E$2:$E$1869,Player_Season!$B$2:$B$1869,A275)</f>
        <v>24</v>
      </c>
      <c r="F275" s="2" t="n">
        <f aca="false">SUMIFS(Player_Season!$F$2:$F$1869,Player_Season!$B$2:$B$1869,A275)</f>
        <v>11</v>
      </c>
      <c r="G275" s="2" t="n">
        <f aca="false">IF(E275&gt;0,F275/E275,"")</f>
        <v>0.458333333333333</v>
      </c>
      <c r="H275" s="2" t="s">
        <v>413</v>
      </c>
    </row>
    <row r="276" customFormat="false" ht="15" hidden="false" customHeight="false" outlineLevel="0" collapsed="false">
      <c r="A276" s="2" t="s">
        <v>442</v>
      </c>
      <c r="B276" s="2" t="n">
        <v>7</v>
      </c>
      <c r="C276" s="2" t="n">
        <v>2019</v>
      </c>
      <c r="D276" s="2" t="n">
        <v>2025</v>
      </c>
      <c r="E276" s="2" t="n">
        <f aca="false">SUMIFS(Player_Season!$E$2:$E$1869,Player_Season!$B$2:$B$1869,A276)</f>
        <v>37</v>
      </c>
      <c r="F276" s="2" t="n">
        <f aca="false">SUMIFS(Player_Season!$F$2:$F$1869,Player_Season!$B$2:$B$1869,A276)</f>
        <v>11</v>
      </c>
      <c r="G276" s="2" t="n">
        <f aca="false">IF(E276&gt;0,F276/E276,"")</f>
        <v>0.297297297297297</v>
      </c>
      <c r="H276" s="2" t="s">
        <v>409</v>
      </c>
    </row>
    <row r="277" customFormat="false" ht="15" hidden="false" customHeight="false" outlineLevel="0" collapsed="false">
      <c r="A277" s="2" t="s">
        <v>294</v>
      </c>
      <c r="B277" s="2" t="n">
        <v>1</v>
      </c>
      <c r="C277" s="2" t="n">
        <v>2026</v>
      </c>
      <c r="D277" s="2" t="n">
        <v>2026</v>
      </c>
      <c r="E277" s="2" t="n">
        <f aca="false">SUMIFS(Player_Season!$E$2:$E$1869,Player_Season!$B$2:$B$1869,A277)</f>
        <v>3</v>
      </c>
      <c r="F277" s="2" t="n">
        <f aca="false">SUMIFS(Player_Season!$F$2:$F$1869,Player_Season!$B$2:$B$1869,A277)</f>
        <v>11</v>
      </c>
      <c r="G277" s="2" t="n">
        <f aca="false">IF(E277&gt;0,F277/E277,"")</f>
        <v>3.66666666666667</v>
      </c>
      <c r="H277" s="2" t="s">
        <v>29</v>
      </c>
    </row>
    <row r="278" customFormat="false" ht="15" hidden="false" customHeight="false" outlineLevel="0" collapsed="false">
      <c r="A278" s="2" t="s">
        <v>190</v>
      </c>
      <c r="B278" s="2" t="n">
        <v>7</v>
      </c>
      <c r="C278" s="2" t="n">
        <v>2020</v>
      </c>
      <c r="D278" s="2" t="n">
        <v>2026</v>
      </c>
      <c r="E278" s="2" t="n">
        <f aca="false">SUMIFS(Player_Season!$E$2:$E$1869,Player_Season!$B$2:$B$1869,A278)</f>
        <v>61</v>
      </c>
      <c r="F278" s="2" t="n">
        <f aca="false">SUMIFS(Player_Season!$F$2:$F$1869,Player_Season!$B$2:$B$1869,A278)</f>
        <v>11</v>
      </c>
      <c r="G278" s="2" t="n">
        <f aca="false">IF(E278&gt;0,F278/E278,"")</f>
        <v>0.180327868852459</v>
      </c>
      <c r="H278" s="2" t="s">
        <v>117</v>
      </c>
    </row>
    <row r="279" customFormat="false" ht="15" hidden="false" customHeight="false" outlineLevel="0" collapsed="false">
      <c r="A279" s="2" t="s">
        <v>206</v>
      </c>
      <c r="B279" s="2" t="n">
        <v>6</v>
      </c>
      <c r="C279" s="2" t="n">
        <v>2021</v>
      </c>
      <c r="D279" s="2" t="n">
        <v>2026</v>
      </c>
      <c r="E279" s="2" t="n">
        <f aca="false">SUMIFS(Player_Season!$E$2:$E$1869,Player_Season!$B$2:$B$1869,A279)</f>
        <v>49</v>
      </c>
      <c r="F279" s="2" t="n">
        <f aca="false">SUMIFS(Player_Season!$F$2:$F$1869,Player_Season!$B$2:$B$1869,A279)</f>
        <v>11</v>
      </c>
      <c r="G279" s="2" t="n">
        <f aca="false">IF(E279&gt;0,F279/E279,"")</f>
        <v>0.224489795918367</v>
      </c>
      <c r="H279" s="2" t="s">
        <v>117</v>
      </c>
    </row>
    <row r="280" customFormat="false" ht="15" hidden="false" customHeight="false" outlineLevel="0" collapsed="false">
      <c r="A280" s="2" t="s">
        <v>192</v>
      </c>
      <c r="B280" s="2" t="n">
        <v>2</v>
      </c>
      <c r="C280" s="2" t="n">
        <v>2025</v>
      </c>
      <c r="D280" s="2" t="n">
        <v>2026</v>
      </c>
      <c r="E280" s="2" t="n">
        <f aca="false">SUMIFS(Player_Season!$E$2:$E$1869,Player_Season!$B$2:$B$1869,A280)</f>
        <v>22</v>
      </c>
      <c r="F280" s="2" t="n">
        <f aca="false">SUMIFS(Player_Season!$F$2:$F$1869,Player_Season!$B$2:$B$1869,A280)</f>
        <v>11</v>
      </c>
      <c r="G280" s="2" t="n">
        <f aca="false">IF(E280&gt;0,F280/E280,"")</f>
        <v>0.5</v>
      </c>
      <c r="H280" s="2" t="s">
        <v>83</v>
      </c>
    </row>
    <row r="281" customFormat="false" ht="15" hidden="false" customHeight="false" outlineLevel="0" collapsed="false">
      <c r="A281" s="2" t="s">
        <v>245</v>
      </c>
      <c r="B281" s="2" t="n">
        <v>4</v>
      </c>
      <c r="C281" s="2" t="n">
        <v>2019</v>
      </c>
      <c r="D281" s="2" t="n">
        <v>2023</v>
      </c>
      <c r="E281" s="2" t="n">
        <f aca="false">SUMIFS(Player_Season!$E$2:$E$1869,Player_Season!$B$2:$B$1869,A281)</f>
        <v>35</v>
      </c>
      <c r="F281" s="2" t="n">
        <f aca="false">SUMIFS(Player_Season!$F$2:$F$1869,Player_Season!$B$2:$B$1869,A281)</f>
        <v>11</v>
      </c>
      <c r="G281" s="2" t="n">
        <f aca="false">IF(E281&gt;0,F281/E281,"")</f>
        <v>0.314285714285714</v>
      </c>
      <c r="H281" s="2" t="s">
        <v>29</v>
      </c>
    </row>
    <row r="282" customFormat="false" ht="15" hidden="false" customHeight="false" outlineLevel="0" collapsed="false">
      <c r="A282" s="2" t="s">
        <v>298</v>
      </c>
      <c r="B282" s="2" t="n">
        <v>3</v>
      </c>
      <c r="C282" s="2" t="n">
        <v>2020</v>
      </c>
      <c r="D282" s="2" t="n">
        <v>2022</v>
      </c>
      <c r="E282" s="2" t="n">
        <f aca="false">SUMIFS(Player_Season!$E$2:$E$1869,Player_Season!$B$2:$B$1869,A282)</f>
        <v>26</v>
      </c>
      <c r="F282" s="2" t="n">
        <f aca="false">SUMIFS(Player_Season!$F$2:$F$1869,Player_Season!$B$2:$B$1869,A282)</f>
        <v>11</v>
      </c>
      <c r="G282" s="2" t="n">
        <f aca="false">IF(E282&gt;0,F282/E282,"")</f>
        <v>0.423076923076923</v>
      </c>
      <c r="H282" s="2" t="s">
        <v>117</v>
      </c>
    </row>
    <row r="283" customFormat="false" ht="15" hidden="false" customHeight="false" outlineLevel="0" collapsed="false">
      <c r="A283" s="2" t="s">
        <v>262</v>
      </c>
      <c r="B283" s="2" t="n">
        <v>1</v>
      </c>
      <c r="C283" s="2" t="n">
        <v>2026</v>
      </c>
      <c r="D283" s="2" t="n">
        <v>2026</v>
      </c>
      <c r="E283" s="2" t="n">
        <f aca="false">SUMIFS(Player_Season!$E$2:$E$1869,Player_Season!$B$2:$B$1869,A283)</f>
        <v>10</v>
      </c>
      <c r="F283" s="2" t="n">
        <f aca="false">SUMIFS(Player_Season!$F$2:$F$1869,Player_Season!$B$2:$B$1869,A283)</f>
        <v>11</v>
      </c>
      <c r="G283" s="2" t="n">
        <f aca="false">IF(E283&gt;0,F283/E283,"")</f>
        <v>1.1</v>
      </c>
      <c r="H283" s="2" t="s">
        <v>115</v>
      </c>
    </row>
    <row r="284" customFormat="false" ht="15" hidden="false" customHeight="false" outlineLevel="0" collapsed="false">
      <c r="A284" s="2" t="s">
        <v>561</v>
      </c>
      <c r="B284" s="2" t="n">
        <v>1</v>
      </c>
      <c r="C284" s="2" t="n">
        <v>2021</v>
      </c>
      <c r="D284" s="2" t="n">
        <v>2021</v>
      </c>
      <c r="E284" s="2" t="n">
        <f aca="false">SUMIFS(Player_Season!$E$2:$E$1869,Player_Season!$B$2:$B$1869,A284)</f>
        <v>4</v>
      </c>
      <c r="F284" s="2" t="n">
        <f aca="false">SUMIFS(Player_Season!$F$2:$F$1869,Player_Season!$B$2:$B$1869,A284)</f>
        <v>11</v>
      </c>
      <c r="G284" s="2" t="n">
        <f aca="false">IF(E284&gt;0,F284/E284,"")</f>
        <v>2.75</v>
      </c>
      <c r="H284" s="2" t="s">
        <v>24</v>
      </c>
    </row>
    <row r="285" customFormat="false" ht="15" hidden="false" customHeight="false" outlineLevel="0" collapsed="false">
      <c r="A285" s="2" t="s">
        <v>276</v>
      </c>
      <c r="B285" s="2" t="n">
        <v>1</v>
      </c>
      <c r="C285" s="2" t="n">
        <v>2024</v>
      </c>
      <c r="D285" s="2" t="n">
        <v>2024</v>
      </c>
      <c r="E285" s="2" t="n">
        <f aca="false">SUMIFS(Player_Season!$E$2:$E$1869,Player_Season!$B$2:$B$1869,A285)</f>
        <v>3</v>
      </c>
      <c r="F285" s="2" t="n">
        <f aca="false">SUMIFS(Player_Season!$F$2:$F$1869,Player_Season!$B$2:$B$1869,A285)</f>
        <v>11</v>
      </c>
      <c r="G285" s="2" t="n">
        <f aca="false">IF(E285&gt;0,F285/E285,"")</f>
        <v>3.66666666666667</v>
      </c>
      <c r="H285" s="2" t="s">
        <v>29</v>
      </c>
    </row>
    <row r="286" customFormat="false" ht="15" hidden="false" customHeight="false" outlineLevel="0" collapsed="false">
      <c r="A286" s="2" t="s">
        <v>280</v>
      </c>
      <c r="B286" s="2" t="n">
        <v>1</v>
      </c>
      <c r="C286" s="2" t="n">
        <v>2026</v>
      </c>
      <c r="D286" s="2" t="n">
        <v>2026</v>
      </c>
      <c r="E286" s="2" t="n">
        <f aca="false">SUMIFS(Player_Season!$E$2:$E$1869,Player_Season!$B$2:$B$1869,A286)</f>
        <v>4</v>
      </c>
      <c r="F286" s="2" t="n">
        <f aca="false">SUMIFS(Player_Season!$F$2:$F$1869,Player_Season!$B$2:$B$1869,A286)</f>
        <v>11</v>
      </c>
      <c r="G286" s="2" t="n">
        <f aca="false">IF(E286&gt;0,F286/E286,"")</f>
        <v>2.75</v>
      </c>
      <c r="H286" s="2" t="s">
        <v>24</v>
      </c>
    </row>
    <row r="287" customFormat="false" ht="15" hidden="false" customHeight="false" outlineLevel="0" collapsed="false">
      <c r="A287" s="2" t="s">
        <v>279</v>
      </c>
      <c r="B287" s="2" t="n">
        <v>1</v>
      </c>
      <c r="C287" s="2" t="n">
        <v>2023</v>
      </c>
      <c r="D287" s="2" t="n">
        <v>2023</v>
      </c>
      <c r="E287" s="2" t="n">
        <f aca="false">SUMIFS(Player_Season!$E$2:$E$1869,Player_Season!$B$2:$B$1869,A287)</f>
        <v>2</v>
      </c>
      <c r="F287" s="2" t="n">
        <f aca="false">SUMIFS(Player_Season!$F$2:$F$1869,Player_Season!$B$2:$B$1869,A287)</f>
        <v>10</v>
      </c>
      <c r="G287" s="2" t="n">
        <f aca="false">IF(E287&gt;0,F287/E287,"")</f>
        <v>5</v>
      </c>
      <c r="H287" s="2" t="s">
        <v>29</v>
      </c>
    </row>
    <row r="288" customFormat="false" ht="15" hidden="false" customHeight="false" outlineLevel="0" collapsed="false">
      <c r="A288" s="2" t="s">
        <v>582</v>
      </c>
      <c r="B288" s="2" t="n">
        <v>1</v>
      </c>
      <c r="C288" s="2" t="n">
        <v>2021</v>
      </c>
      <c r="D288" s="2" t="n">
        <v>2021</v>
      </c>
      <c r="E288" s="2" t="n">
        <f aca="false">SUMIFS(Player_Season!$E$2:$E$1869,Player_Season!$B$2:$B$1869,A288)</f>
        <v>3</v>
      </c>
      <c r="F288" s="2" t="n">
        <f aca="false">SUMIFS(Player_Season!$F$2:$F$1869,Player_Season!$B$2:$B$1869,A288)</f>
        <v>10</v>
      </c>
      <c r="G288" s="2" t="n">
        <f aca="false">IF(E288&gt;0,F288/E288,"")</f>
        <v>3.33333333333333</v>
      </c>
      <c r="H288" s="2" t="s">
        <v>29</v>
      </c>
    </row>
    <row r="289" customFormat="false" ht="15" hidden="false" customHeight="false" outlineLevel="0" collapsed="false">
      <c r="A289" s="2" t="s">
        <v>444</v>
      </c>
      <c r="B289" s="2" t="n">
        <v>1</v>
      </c>
      <c r="C289" s="2" t="n">
        <v>2019</v>
      </c>
      <c r="D289" s="2" t="n">
        <v>2019</v>
      </c>
      <c r="E289" s="2" t="n">
        <f aca="false">SUMIFS(Player_Season!$E$2:$E$1869,Player_Season!$B$2:$B$1869,A289)</f>
        <v>8</v>
      </c>
      <c r="F289" s="2" t="n">
        <f aca="false">SUMIFS(Player_Season!$F$2:$F$1869,Player_Season!$B$2:$B$1869,A289)</f>
        <v>10</v>
      </c>
      <c r="G289" s="2" t="n">
        <f aca="false">IF(E289&gt;0,F289/E289,"")</f>
        <v>1.25</v>
      </c>
      <c r="H289" s="2" t="s">
        <v>413</v>
      </c>
    </row>
    <row r="290" customFormat="false" ht="15" hidden="false" customHeight="false" outlineLevel="0" collapsed="false">
      <c r="A290" s="2" t="s">
        <v>175</v>
      </c>
      <c r="B290" s="2" t="n">
        <v>6</v>
      </c>
      <c r="C290" s="2" t="n">
        <v>2021</v>
      </c>
      <c r="D290" s="2" t="n">
        <v>2026</v>
      </c>
      <c r="E290" s="2" t="n">
        <f aca="false">SUMIFS(Player_Season!$E$2:$E$1869,Player_Season!$B$2:$B$1869,A290)</f>
        <v>39</v>
      </c>
      <c r="F290" s="2" t="n">
        <f aca="false">SUMIFS(Player_Season!$F$2:$F$1869,Player_Season!$B$2:$B$1869,A290)</f>
        <v>10</v>
      </c>
      <c r="G290" s="2" t="n">
        <f aca="false">IF(E290&gt;0,F290/E290,"")</f>
        <v>0.256410256410256</v>
      </c>
      <c r="H290" s="2" t="s">
        <v>117</v>
      </c>
    </row>
    <row r="291" customFormat="false" ht="15" hidden="false" customHeight="false" outlineLevel="0" collapsed="false">
      <c r="A291" s="2" t="s">
        <v>293</v>
      </c>
      <c r="B291" s="2" t="n">
        <v>1</v>
      </c>
      <c r="C291" s="2" t="n">
        <v>2026</v>
      </c>
      <c r="D291" s="2" t="n">
        <v>2026</v>
      </c>
      <c r="E291" s="2" t="n">
        <f aca="false">SUMIFS(Player_Season!$E$2:$E$1869,Player_Season!$B$2:$B$1869,A291)</f>
        <v>3</v>
      </c>
      <c r="F291" s="2" t="n">
        <f aca="false">SUMIFS(Player_Season!$F$2:$F$1869,Player_Season!$B$2:$B$1869,A291)</f>
        <v>10</v>
      </c>
      <c r="G291" s="2" t="n">
        <f aca="false">IF(E291&gt;0,F291/E291,"")</f>
        <v>3.33333333333333</v>
      </c>
      <c r="H291" s="2" t="s">
        <v>29</v>
      </c>
    </row>
    <row r="292" customFormat="false" ht="15" hidden="false" customHeight="false" outlineLevel="0" collapsed="false">
      <c r="A292" s="2" t="s">
        <v>164</v>
      </c>
      <c r="B292" s="2" t="n">
        <v>6</v>
      </c>
      <c r="C292" s="2" t="n">
        <v>2021</v>
      </c>
      <c r="D292" s="2" t="n">
        <v>2026</v>
      </c>
      <c r="E292" s="2" t="n">
        <f aca="false">SUMIFS(Player_Season!$E$2:$E$1869,Player_Season!$B$2:$B$1869,A292)</f>
        <v>61</v>
      </c>
      <c r="F292" s="2" t="n">
        <f aca="false">SUMIFS(Player_Season!$F$2:$F$1869,Player_Season!$B$2:$B$1869,A292)</f>
        <v>10</v>
      </c>
      <c r="G292" s="2" t="n">
        <f aca="false">IF(E292&gt;0,F292/E292,"")</f>
        <v>0.163934426229508</v>
      </c>
      <c r="H292" s="2" t="s">
        <v>83</v>
      </c>
    </row>
    <row r="293" customFormat="false" ht="15" hidden="false" customHeight="false" outlineLevel="0" collapsed="false">
      <c r="A293" s="2" t="s">
        <v>288</v>
      </c>
      <c r="B293" s="2" t="n">
        <v>2</v>
      </c>
      <c r="C293" s="2" t="n">
        <v>2022</v>
      </c>
      <c r="D293" s="2" t="n">
        <v>2023</v>
      </c>
      <c r="E293" s="2" t="n">
        <f aca="false">SUMIFS(Player_Season!$E$2:$E$1869,Player_Season!$B$2:$B$1869,A293)</f>
        <v>4</v>
      </c>
      <c r="F293" s="2" t="n">
        <f aca="false">SUMIFS(Player_Season!$F$2:$F$1869,Player_Season!$B$2:$B$1869,A293)</f>
        <v>10</v>
      </c>
      <c r="G293" s="2" t="n">
        <f aca="false">IF(E293&gt;0,F293/E293,"")</f>
        <v>2.5</v>
      </c>
      <c r="H293" s="2" t="s">
        <v>24</v>
      </c>
    </row>
    <row r="294" customFormat="false" ht="15" hidden="false" customHeight="false" outlineLevel="0" collapsed="false">
      <c r="A294" s="2" t="s">
        <v>248</v>
      </c>
      <c r="B294" s="2" t="n">
        <v>1</v>
      </c>
      <c r="C294" s="2" t="n">
        <v>2026</v>
      </c>
      <c r="D294" s="2" t="n">
        <v>2026</v>
      </c>
      <c r="E294" s="2" t="n">
        <f aca="false">SUMIFS(Player_Season!$E$2:$E$1869,Player_Season!$B$2:$B$1869,A294)</f>
        <v>7</v>
      </c>
      <c r="F294" s="2" t="n">
        <f aca="false">SUMIFS(Player_Season!$F$2:$F$1869,Player_Season!$B$2:$B$1869,A294)</f>
        <v>10</v>
      </c>
      <c r="G294" s="2" t="n">
        <f aca="false">IF(E294&gt;0,F294/E294,"")</f>
        <v>1.42857142857143</v>
      </c>
      <c r="H294" s="2" t="s">
        <v>29</v>
      </c>
    </row>
    <row r="295" customFormat="false" ht="15" hidden="false" customHeight="false" outlineLevel="0" collapsed="false">
      <c r="A295" s="2" t="s">
        <v>528</v>
      </c>
      <c r="B295" s="2" t="n">
        <v>2</v>
      </c>
      <c r="C295" s="2" t="n">
        <v>2020</v>
      </c>
      <c r="D295" s="2" t="n">
        <v>2021</v>
      </c>
      <c r="E295" s="2" t="n">
        <f aca="false">SUMIFS(Player_Season!$E$2:$E$1869,Player_Season!$B$2:$B$1869,A295)</f>
        <v>6</v>
      </c>
      <c r="F295" s="2" t="n">
        <f aca="false">SUMIFS(Player_Season!$F$2:$F$1869,Player_Season!$B$2:$B$1869,A295)</f>
        <v>10</v>
      </c>
      <c r="G295" s="2" t="n">
        <f aca="false">IF(E295&gt;0,F295/E295,"")</f>
        <v>1.66666666666667</v>
      </c>
      <c r="H295" s="2" t="s">
        <v>24</v>
      </c>
    </row>
    <row r="296" customFormat="false" ht="15" hidden="false" customHeight="false" outlineLevel="0" collapsed="false">
      <c r="A296" s="2" t="s">
        <v>511</v>
      </c>
      <c r="B296" s="2" t="n">
        <v>3</v>
      </c>
      <c r="C296" s="2" t="n">
        <v>2019</v>
      </c>
      <c r="D296" s="2" t="n">
        <v>2021</v>
      </c>
      <c r="E296" s="2" t="n">
        <f aca="false">SUMIFS(Player_Season!$E$2:$E$1869,Player_Season!$B$2:$B$1869,A296)</f>
        <v>21</v>
      </c>
      <c r="F296" s="2" t="n">
        <f aca="false">SUMIFS(Player_Season!$F$2:$F$1869,Player_Season!$B$2:$B$1869,A296)</f>
        <v>10</v>
      </c>
      <c r="G296" s="2" t="n">
        <f aca="false">IF(E296&gt;0,F296/E296,"")</f>
        <v>0.476190476190476</v>
      </c>
      <c r="H296" s="2" t="s">
        <v>29</v>
      </c>
    </row>
    <row r="297" customFormat="false" ht="15" hidden="false" customHeight="false" outlineLevel="0" collapsed="false">
      <c r="A297" s="2" t="s">
        <v>270</v>
      </c>
      <c r="B297" s="2" t="n">
        <v>5</v>
      </c>
      <c r="C297" s="2" t="n">
        <v>2020</v>
      </c>
      <c r="D297" s="2" t="n">
        <v>2024</v>
      </c>
      <c r="E297" s="2" t="n">
        <f aca="false">SUMIFS(Player_Season!$E$2:$E$1869,Player_Season!$B$2:$B$1869,A297)</f>
        <v>36</v>
      </c>
      <c r="F297" s="2" t="n">
        <f aca="false">SUMIFS(Player_Season!$F$2:$F$1869,Player_Season!$B$2:$B$1869,A297)</f>
        <v>10</v>
      </c>
      <c r="G297" s="2" t="n">
        <f aca="false">IF(E297&gt;0,F297/E297,"")</f>
        <v>0.277777777777778</v>
      </c>
      <c r="H297" s="2" t="s">
        <v>117</v>
      </c>
    </row>
    <row r="298" customFormat="false" ht="15" hidden="false" customHeight="false" outlineLevel="0" collapsed="false">
      <c r="A298" s="2" t="s">
        <v>275</v>
      </c>
      <c r="B298" s="2" t="n">
        <v>3</v>
      </c>
      <c r="C298" s="2" t="n">
        <v>2021</v>
      </c>
      <c r="D298" s="2" t="n">
        <v>2023</v>
      </c>
      <c r="E298" s="2" t="n">
        <f aca="false">SUMIFS(Player_Season!$E$2:$E$1869,Player_Season!$B$2:$B$1869,A298)</f>
        <v>18</v>
      </c>
      <c r="F298" s="2" t="n">
        <f aca="false">SUMIFS(Player_Season!$F$2:$F$1869,Player_Season!$B$2:$B$1869,A298)</f>
        <v>10</v>
      </c>
      <c r="G298" s="2" t="n">
        <f aca="false">IF(E298&gt;0,F298/E298,"")</f>
        <v>0.555555555555556</v>
      </c>
      <c r="H298" s="2" t="s">
        <v>83</v>
      </c>
    </row>
    <row r="299" customFormat="false" ht="15" hidden="false" customHeight="false" outlineLevel="0" collapsed="false">
      <c r="A299" s="2" t="s">
        <v>282</v>
      </c>
      <c r="B299" s="2" t="n">
        <v>6</v>
      </c>
      <c r="C299" s="2" t="n">
        <v>2021</v>
      </c>
      <c r="D299" s="2" t="n">
        <v>2026</v>
      </c>
      <c r="E299" s="2" t="n">
        <f aca="false">SUMIFS(Player_Season!$E$2:$E$1869,Player_Season!$B$2:$B$1869,A299)</f>
        <v>25</v>
      </c>
      <c r="F299" s="2" t="n">
        <f aca="false">SUMIFS(Player_Season!$F$2:$F$1869,Player_Season!$B$2:$B$1869,A299)</f>
        <v>10</v>
      </c>
      <c r="G299" s="2" t="n">
        <f aca="false">IF(E299&gt;0,F299/E299,"")</f>
        <v>0.4</v>
      </c>
      <c r="H299" s="2" t="s">
        <v>117</v>
      </c>
    </row>
    <row r="300" customFormat="false" ht="15" hidden="false" customHeight="false" outlineLevel="0" collapsed="false">
      <c r="A300" s="2" t="s">
        <v>530</v>
      </c>
      <c r="B300" s="2" t="n">
        <v>3</v>
      </c>
      <c r="C300" s="2" t="n">
        <v>2020</v>
      </c>
      <c r="D300" s="2" t="n">
        <v>2022</v>
      </c>
      <c r="E300" s="2" t="n">
        <f aca="false">SUMIFS(Player_Season!$E$2:$E$1869,Player_Season!$B$2:$B$1869,A300)</f>
        <v>5</v>
      </c>
      <c r="F300" s="2" t="n">
        <f aca="false">SUMIFS(Player_Season!$F$2:$F$1869,Player_Season!$B$2:$B$1869,A300)</f>
        <v>9</v>
      </c>
      <c r="G300" s="2" t="n">
        <f aca="false">IF(E300&gt;0,F300/E300,"")</f>
        <v>1.8</v>
      </c>
      <c r="H300" s="2" t="s">
        <v>24</v>
      </c>
    </row>
    <row r="301" customFormat="false" ht="15" hidden="false" customHeight="false" outlineLevel="0" collapsed="false">
      <c r="A301" s="2" t="s">
        <v>317</v>
      </c>
      <c r="B301" s="2" t="n">
        <v>1</v>
      </c>
      <c r="C301" s="2" t="n">
        <v>2022</v>
      </c>
      <c r="D301" s="2" t="n">
        <v>2022</v>
      </c>
      <c r="E301" s="2" t="n">
        <f aca="false">SUMIFS(Player_Season!$E$2:$E$1869,Player_Season!$B$2:$B$1869,A301)</f>
        <v>4</v>
      </c>
      <c r="F301" s="2" t="n">
        <f aca="false">SUMIFS(Player_Season!$F$2:$F$1869,Player_Season!$B$2:$B$1869,A301)</f>
        <v>9</v>
      </c>
      <c r="G301" s="2" t="n">
        <f aca="false">IF(E301&gt;0,F301/E301,"")</f>
        <v>2.25</v>
      </c>
      <c r="H301" s="2" t="s">
        <v>24</v>
      </c>
    </row>
    <row r="302" customFormat="false" ht="15" hidden="false" customHeight="false" outlineLevel="0" collapsed="false">
      <c r="A302" s="2" t="s">
        <v>161</v>
      </c>
      <c r="B302" s="2" t="n">
        <v>6</v>
      </c>
      <c r="C302" s="2" t="n">
        <v>2020</v>
      </c>
      <c r="D302" s="2" t="n">
        <v>2025</v>
      </c>
      <c r="E302" s="2" t="n">
        <f aca="false">SUMIFS(Player_Season!$E$2:$E$1869,Player_Season!$B$2:$B$1869,A302)</f>
        <v>42</v>
      </c>
      <c r="F302" s="2" t="n">
        <f aca="false">SUMIFS(Player_Season!$F$2:$F$1869,Player_Season!$B$2:$B$1869,A302)</f>
        <v>9</v>
      </c>
      <c r="G302" s="2" t="n">
        <f aca="false">IF(E302&gt;0,F302/E302,"")</f>
        <v>0.214285714285714</v>
      </c>
      <c r="H302" s="2" t="s">
        <v>117</v>
      </c>
    </row>
    <row r="303" customFormat="false" ht="15" hidden="false" customHeight="false" outlineLevel="0" collapsed="false">
      <c r="A303" s="2" t="s">
        <v>253</v>
      </c>
      <c r="B303" s="2" t="n">
        <v>5</v>
      </c>
      <c r="C303" s="2" t="n">
        <v>2022</v>
      </c>
      <c r="D303" s="2" t="n">
        <v>2026</v>
      </c>
      <c r="E303" s="2" t="n">
        <f aca="false">SUMIFS(Player_Season!$E$2:$E$1869,Player_Season!$B$2:$B$1869,A303)</f>
        <v>35</v>
      </c>
      <c r="F303" s="2" t="n">
        <f aca="false">SUMIFS(Player_Season!$F$2:$F$1869,Player_Season!$B$2:$B$1869,A303)</f>
        <v>9</v>
      </c>
      <c r="G303" s="2" t="n">
        <f aca="false">IF(E303&gt;0,F303/E303,"")</f>
        <v>0.257142857142857</v>
      </c>
      <c r="H303" s="2" t="s">
        <v>115</v>
      </c>
    </row>
    <row r="304" customFormat="false" ht="15" hidden="false" customHeight="false" outlineLevel="0" collapsed="false">
      <c r="A304" s="2" t="s">
        <v>191</v>
      </c>
      <c r="B304" s="2" t="n">
        <v>4</v>
      </c>
      <c r="C304" s="2" t="n">
        <v>2023</v>
      </c>
      <c r="D304" s="2" t="n">
        <v>2026</v>
      </c>
      <c r="E304" s="2" t="n">
        <f aca="false">SUMIFS(Player_Season!$E$2:$E$1869,Player_Season!$B$2:$B$1869,A304)</f>
        <v>29</v>
      </c>
      <c r="F304" s="2" t="n">
        <f aca="false">SUMIFS(Player_Season!$F$2:$F$1869,Player_Season!$B$2:$B$1869,A304)</f>
        <v>9</v>
      </c>
      <c r="G304" s="2" t="n">
        <f aca="false">IF(E304&gt;0,F304/E304,"")</f>
        <v>0.310344827586207</v>
      </c>
      <c r="H304" s="2" t="s">
        <v>117</v>
      </c>
    </row>
    <row r="305" customFormat="false" ht="15" hidden="false" customHeight="false" outlineLevel="0" collapsed="false">
      <c r="A305" s="2" t="s">
        <v>162</v>
      </c>
      <c r="B305" s="2" t="n">
        <v>6</v>
      </c>
      <c r="C305" s="2" t="n">
        <v>2021</v>
      </c>
      <c r="D305" s="2" t="n">
        <v>2026</v>
      </c>
      <c r="E305" s="2" t="n">
        <f aca="false">SUMIFS(Player_Season!$E$2:$E$1869,Player_Season!$B$2:$B$1869,A305)</f>
        <v>61</v>
      </c>
      <c r="F305" s="2" t="n">
        <f aca="false">SUMIFS(Player_Season!$F$2:$F$1869,Player_Season!$B$2:$B$1869,A305)</f>
        <v>9</v>
      </c>
      <c r="G305" s="2" t="n">
        <f aca="false">IF(E305&gt;0,F305/E305,"")</f>
        <v>0.147540983606557</v>
      </c>
      <c r="H305" s="2" t="s">
        <v>117</v>
      </c>
    </row>
    <row r="306" customFormat="false" ht="15" hidden="false" customHeight="false" outlineLevel="0" collapsed="false">
      <c r="A306" s="2" t="s">
        <v>497</v>
      </c>
      <c r="B306" s="2" t="n">
        <v>2</v>
      </c>
      <c r="C306" s="2" t="n">
        <v>2019</v>
      </c>
      <c r="D306" s="2" t="n">
        <v>2020</v>
      </c>
      <c r="E306" s="2" t="n">
        <f aca="false">SUMIFS(Player_Season!$E$2:$E$1869,Player_Season!$B$2:$B$1869,A306)</f>
        <v>13</v>
      </c>
      <c r="F306" s="2" t="n">
        <f aca="false">SUMIFS(Player_Season!$F$2:$F$1869,Player_Season!$B$2:$B$1869,A306)</f>
        <v>8</v>
      </c>
      <c r="G306" s="2" t="n">
        <f aca="false">IF(E306&gt;0,F306/E306,"")</f>
        <v>0.615384615384615</v>
      </c>
      <c r="H306" s="2" t="s">
        <v>115</v>
      </c>
    </row>
    <row r="307" customFormat="false" ht="15" hidden="false" customHeight="false" outlineLevel="0" collapsed="false">
      <c r="A307" s="2" t="s">
        <v>587</v>
      </c>
      <c r="B307" s="2" t="n">
        <v>5</v>
      </c>
      <c r="C307" s="2" t="n">
        <v>2022</v>
      </c>
      <c r="D307" s="2" t="n">
        <v>2026</v>
      </c>
      <c r="E307" s="2" t="n">
        <f aca="false">SUMIFS(Player_Season!$E$2:$E$1869,Player_Season!$B$2:$B$1869,A307)</f>
        <v>41</v>
      </c>
      <c r="F307" s="2" t="n">
        <f aca="false">SUMIFS(Player_Season!$F$2:$F$1869,Player_Season!$B$2:$B$1869,A307)</f>
        <v>8</v>
      </c>
      <c r="G307" s="2" t="n">
        <f aca="false">IF(E307&gt;0,F307/E307,"")</f>
        <v>0.195121951219512</v>
      </c>
      <c r="H307" s="2" t="s">
        <v>409</v>
      </c>
    </row>
    <row r="308" customFormat="false" ht="15" hidden="false" customHeight="false" outlineLevel="0" collapsed="false">
      <c r="A308" s="2" t="s">
        <v>471</v>
      </c>
      <c r="B308" s="2" t="n">
        <v>3</v>
      </c>
      <c r="C308" s="2" t="n">
        <v>2019</v>
      </c>
      <c r="D308" s="2" t="n">
        <v>2021</v>
      </c>
      <c r="E308" s="2" t="n">
        <f aca="false">SUMIFS(Player_Season!$E$2:$E$1869,Player_Season!$B$2:$B$1869,A308)</f>
        <v>10</v>
      </c>
      <c r="F308" s="2" t="n">
        <f aca="false">SUMIFS(Player_Season!$F$2:$F$1869,Player_Season!$B$2:$B$1869,A308)</f>
        <v>8</v>
      </c>
      <c r="G308" s="2" t="n">
        <f aca="false">IF(E308&gt;0,F308/E308,"")</f>
        <v>0.8</v>
      </c>
      <c r="H308" s="2" t="s">
        <v>29</v>
      </c>
    </row>
    <row r="309" customFormat="false" ht="15" hidden="false" customHeight="false" outlineLevel="0" collapsed="false">
      <c r="A309" s="2" t="s">
        <v>316</v>
      </c>
      <c r="B309" s="2" t="n">
        <v>1</v>
      </c>
      <c r="C309" s="2" t="n">
        <v>2026</v>
      </c>
      <c r="D309" s="2" t="n">
        <v>2026</v>
      </c>
      <c r="E309" s="2" t="n">
        <f aca="false">SUMIFS(Player_Season!$E$2:$E$1869,Player_Season!$B$2:$B$1869,A309)</f>
        <v>2</v>
      </c>
      <c r="F309" s="2" t="n">
        <f aca="false">SUMIFS(Player_Season!$F$2:$F$1869,Player_Season!$B$2:$B$1869,A309)</f>
        <v>8</v>
      </c>
      <c r="G309" s="2" t="n">
        <f aca="false">IF(E309&gt;0,F309/E309,"")</f>
        <v>4</v>
      </c>
      <c r="H309" s="2" t="s">
        <v>29</v>
      </c>
    </row>
    <row r="310" customFormat="false" ht="15" hidden="false" customHeight="false" outlineLevel="0" collapsed="false">
      <c r="A310" s="2" t="s">
        <v>303</v>
      </c>
      <c r="B310" s="2" t="n">
        <v>2</v>
      </c>
      <c r="C310" s="2" t="n">
        <v>2025</v>
      </c>
      <c r="D310" s="2" t="n">
        <v>2026</v>
      </c>
      <c r="E310" s="2" t="n">
        <f aca="false">SUMIFS(Player_Season!$E$2:$E$1869,Player_Season!$B$2:$B$1869,A310)</f>
        <v>4</v>
      </c>
      <c r="F310" s="2" t="n">
        <f aca="false">SUMIFS(Player_Season!$F$2:$F$1869,Player_Season!$B$2:$B$1869,A310)</f>
        <v>7</v>
      </c>
      <c r="G310" s="2" t="n">
        <f aca="false">IF(E310&gt;0,F310/E310,"")</f>
        <v>1.75</v>
      </c>
      <c r="H310" s="2" t="s">
        <v>29</v>
      </c>
    </row>
    <row r="311" customFormat="false" ht="15" hidden="false" customHeight="false" outlineLevel="0" collapsed="false">
      <c r="A311" s="2" t="s">
        <v>474</v>
      </c>
      <c r="B311" s="2" t="n">
        <v>2</v>
      </c>
      <c r="C311" s="2" t="n">
        <v>2019</v>
      </c>
      <c r="D311" s="2" t="n">
        <v>2020</v>
      </c>
      <c r="E311" s="2" t="n">
        <f aca="false">SUMIFS(Player_Season!$E$2:$E$1869,Player_Season!$B$2:$B$1869,A311)</f>
        <v>14</v>
      </c>
      <c r="F311" s="2" t="n">
        <f aca="false">SUMIFS(Player_Season!$F$2:$F$1869,Player_Season!$B$2:$B$1869,A311)</f>
        <v>7</v>
      </c>
      <c r="G311" s="2" t="n">
        <f aca="false">IF(E311&gt;0,F311/E311,"")</f>
        <v>0.5</v>
      </c>
      <c r="H311" s="2" t="s">
        <v>29</v>
      </c>
    </row>
    <row r="312" customFormat="false" ht="15" hidden="false" customHeight="false" outlineLevel="0" collapsed="false">
      <c r="A312" s="2" t="s">
        <v>641</v>
      </c>
      <c r="B312" s="2" t="n">
        <v>2</v>
      </c>
      <c r="C312" s="2" t="n">
        <v>2025</v>
      </c>
      <c r="D312" s="2" t="n">
        <v>2026</v>
      </c>
      <c r="E312" s="2" t="n">
        <f aca="false">SUMIFS(Player_Season!$E$2:$E$1869,Player_Season!$B$2:$B$1869,A312)</f>
        <v>4</v>
      </c>
      <c r="F312" s="2" t="n">
        <f aca="false">SUMIFS(Player_Season!$F$2:$F$1869,Player_Season!$B$2:$B$1869,A312)</f>
        <v>7</v>
      </c>
      <c r="G312" s="2" t="n">
        <f aca="false">IF(E312&gt;0,F312/E312,"")</f>
        <v>1.75</v>
      </c>
      <c r="H312" s="2" t="s">
        <v>413</v>
      </c>
    </row>
    <row r="313" customFormat="false" ht="15" hidden="false" customHeight="false" outlineLevel="0" collapsed="false">
      <c r="A313" s="2" t="s">
        <v>457</v>
      </c>
      <c r="B313" s="2" t="n">
        <v>3</v>
      </c>
      <c r="C313" s="2" t="n">
        <v>2019</v>
      </c>
      <c r="D313" s="2" t="n">
        <v>2021</v>
      </c>
      <c r="E313" s="2" t="n">
        <f aca="false">SUMIFS(Player_Season!$E$2:$E$1869,Player_Season!$B$2:$B$1869,A313)</f>
        <v>3</v>
      </c>
      <c r="F313" s="2" t="n">
        <f aca="false">SUMIFS(Player_Season!$F$2:$F$1869,Player_Season!$B$2:$B$1869,A313)</f>
        <v>7</v>
      </c>
      <c r="G313" s="2" t="n">
        <f aca="false">IF(E313&gt;0,F313/E313,"")</f>
        <v>2.33333333333333</v>
      </c>
      <c r="H313" s="2" t="s">
        <v>24</v>
      </c>
    </row>
    <row r="314" customFormat="false" ht="15" hidden="false" customHeight="false" outlineLevel="0" collapsed="false">
      <c r="A314" s="2" t="s">
        <v>296</v>
      </c>
      <c r="B314" s="2" t="n">
        <v>1</v>
      </c>
      <c r="C314" s="2" t="n">
        <v>2026</v>
      </c>
      <c r="D314" s="2" t="n">
        <v>2026</v>
      </c>
      <c r="E314" s="2" t="n">
        <f aca="false">SUMIFS(Player_Season!$E$2:$E$1869,Player_Season!$B$2:$B$1869,A314)</f>
        <v>2</v>
      </c>
      <c r="F314" s="2" t="n">
        <f aca="false">SUMIFS(Player_Season!$F$2:$F$1869,Player_Season!$B$2:$B$1869,A314)</f>
        <v>7</v>
      </c>
      <c r="G314" s="2" t="n">
        <f aca="false">IF(E314&gt;0,F314/E314,"")</f>
        <v>3.5</v>
      </c>
      <c r="H314" s="2" t="s">
        <v>29</v>
      </c>
    </row>
    <row r="315" customFormat="false" ht="15" hidden="false" customHeight="false" outlineLevel="0" collapsed="false">
      <c r="A315" s="2" t="s">
        <v>266</v>
      </c>
      <c r="B315" s="2" t="n">
        <v>3</v>
      </c>
      <c r="C315" s="2" t="n">
        <v>2024</v>
      </c>
      <c r="D315" s="2" t="n">
        <v>2026</v>
      </c>
      <c r="E315" s="2" t="n">
        <f aca="false">SUMIFS(Player_Season!$E$2:$E$1869,Player_Season!$B$2:$B$1869,A315)</f>
        <v>11</v>
      </c>
      <c r="F315" s="2" t="n">
        <f aca="false">SUMIFS(Player_Season!$F$2:$F$1869,Player_Season!$B$2:$B$1869,A315)</f>
        <v>7</v>
      </c>
      <c r="G315" s="2" t="n">
        <f aca="false">IF(E315&gt;0,F315/E315,"")</f>
        <v>0.636363636363636</v>
      </c>
      <c r="H315" s="2" t="s">
        <v>83</v>
      </c>
    </row>
    <row r="316" customFormat="false" ht="15" hidden="false" customHeight="false" outlineLevel="0" collapsed="false">
      <c r="A316" s="2" t="s">
        <v>486</v>
      </c>
      <c r="B316" s="2" t="n">
        <v>3</v>
      </c>
      <c r="C316" s="2" t="n">
        <v>2019</v>
      </c>
      <c r="D316" s="2" t="n">
        <v>2021</v>
      </c>
      <c r="E316" s="2" t="n">
        <f aca="false">SUMIFS(Player_Season!$E$2:$E$1869,Player_Season!$B$2:$B$1869,A316)</f>
        <v>14</v>
      </c>
      <c r="F316" s="2" t="n">
        <f aca="false">SUMIFS(Player_Season!$F$2:$F$1869,Player_Season!$B$2:$B$1869,A316)</f>
        <v>7</v>
      </c>
      <c r="G316" s="2" t="n">
        <f aca="false">IF(E316&gt;0,F316/E316,"")</f>
        <v>0.5</v>
      </c>
      <c r="H316" s="2" t="s">
        <v>115</v>
      </c>
    </row>
    <row r="317" customFormat="false" ht="15" hidden="false" customHeight="false" outlineLevel="0" collapsed="false">
      <c r="A317" s="2" t="s">
        <v>268</v>
      </c>
      <c r="B317" s="2" t="n">
        <v>7</v>
      </c>
      <c r="C317" s="2" t="n">
        <v>2020</v>
      </c>
      <c r="D317" s="2" t="n">
        <v>2026</v>
      </c>
      <c r="E317" s="2" t="n">
        <f aca="false">SUMIFS(Player_Season!$E$2:$E$1869,Player_Season!$B$2:$B$1869,A317)</f>
        <v>36</v>
      </c>
      <c r="F317" s="2" t="n">
        <f aca="false">SUMIFS(Player_Season!$F$2:$F$1869,Player_Season!$B$2:$B$1869,A317)</f>
        <v>7</v>
      </c>
      <c r="G317" s="2" t="n">
        <f aca="false">IF(E317&gt;0,F317/E317,"")</f>
        <v>0.194444444444444</v>
      </c>
      <c r="H317" s="2" t="s">
        <v>115</v>
      </c>
    </row>
    <row r="318" customFormat="false" ht="15" hidden="false" customHeight="false" outlineLevel="0" collapsed="false">
      <c r="A318" s="2" t="s">
        <v>508</v>
      </c>
      <c r="B318" s="2" t="n">
        <v>7</v>
      </c>
      <c r="C318" s="2" t="n">
        <v>2019</v>
      </c>
      <c r="D318" s="2" t="n">
        <v>2026</v>
      </c>
      <c r="E318" s="2" t="n">
        <f aca="false">SUMIFS(Player_Season!$E$2:$E$1869,Player_Season!$B$2:$B$1869,A318)</f>
        <v>37</v>
      </c>
      <c r="F318" s="2" t="n">
        <f aca="false">SUMIFS(Player_Season!$F$2:$F$1869,Player_Season!$B$2:$B$1869,A318)</f>
        <v>7</v>
      </c>
      <c r="G318" s="2" t="n">
        <f aca="false">IF(E318&gt;0,F318/E318,"")</f>
        <v>0.189189189189189</v>
      </c>
      <c r="H318" s="2" t="s">
        <v>409</v>
      </c>
    </row>
    <row r="319" customFormat="false" ht="15" hidden="false" customHeight="false" outlineLevel="0" collapsed="false">
      <c r="A319" s="2" t="s">
        <v>524</v>
      </c>
      <c r="B319" s="2" t="n">
        <v>2</v>
      </c>
      <c r="C319" s="2" t="n">
        <v>2020</v>
      </c>
      <c r="D319" s="2" t="n">
        <v>2021</v>
      </c>
      <c r="E319" s="2" t="n">
        <f aca="false">SUMIFS(Player_Season!$E$2:$E$1869,Player_Season!$B$2:$B$1869,A319)</f>
        <v>10</v>
      </c>
      <c r="F319" s="2" t="n">
        <f aca="false">SUMIFS(Player_Season!$F$2:$F$1869,Player_Season!$B$2:$B$1869,A319)</f>
        <v>6</v>
      </c>
      <c r="G319" s="2" t="n">
        <f aca="false">IF(E319&gt;0,F319/E319,"")</f>
        <v>0.6</v>
      </c>
      <c r="H319" s="2" t="s">
        <v>29</v>
      </c>
    </row>
    <row r="320" customFormat="false" ht="15" hidden="false" customHeight="false" outlineLevel="0" collapsed="false">
      <c r="A320" s="2" t="s">
        <v>274</v>
      </c>
      <c r="B320" s="2" t="n">
        <v>2</v>
      </c>
      <c r="C320" s="2" t="n">
        <v>2025</v>
      </c>
      <c r="D320" s="2" t="n">
        <v>2026</v>
      </c>
      <c r="E320" s="2" t="n">
        <f aca="false">SUMIFS(Player_Season!$E$2:$E$1869,Player_Season!$B$2:$B$1869,A320)</f>
        <v>11</v>
      </c>
      <c r="F320" s="2" t="n">
        <f aca="false">SUMIFS(Player_Season!$F$2:$F$1869,Player_Season!$B$2:$B$1869,A320)</f>
        <v>6</v>
      </c>
      <c r="G320" s="2" t="n">
        <f aca="false">IF(E320&gt;0,F320/E320,"")</f>
        <v>0.545454545454545</v>
      </c>
      <c r="H320" s="2" t="s">
        <v>83</v>
      </c>
    </row>
    <row r="321" customFormat="false" ht="15" hidden="false" customHeight="false" outlineLevel="0" collapsed="false">
      <c r="A321" s="2" t="s">
        <v>498</v>
      </c>
      <c r="B321" s="2" t="n">
        <v>3</v>
      </c>
      <c r="C321" s="2" t="n">
        <v>2019</v>
      </c>
      <c r="D321" s="2" t="n">
        <v>2021</v>
      </c>
      <c r="E321" s="2" t="n">
        <f aca="false">SUMIFS(Player_Season!$E$2:$E$1869,Player_Season!$B$2:$B$1869,A321)</f>
        <v>14</v>
      </c>
      <c r="F321" s="2" t="n">
        <f aca="false">SUMIFS(Player_Season!$F$2:$F$1869,Player_Season!$B$2:$B$1869,A321)</f>
        <v>6</v>
      </c>
      <c r="G321" s="2" t="n">
        <f aca="false">IF(E321&gt;0,F321/E321,"")</f>
        <v>0.428571428571429</v>
      </c>
      <c r="H321" s="2" t="s">
        <v>413</v>
      </c>
    </row>
    <row r="322" customFormat="false" ht="15" hidden="false" customHeight="false" outlineLevel="0" collapsed="false">
      <c r="A322" s="2" t="s">
        <v>541</v>
      </c>
      <c r="B322" s="2" t="n">
        <v>3</v>
      </c>
      <c r="C322" s="2" t="n">
        <v>2021</v>
      </c>
      <c r="D322" s="2" t="n">
        <v>2023</v>
      </c>
      <c r="E322" s="2" t="n">
        <f aca="false">SUMIFS(Player_Season!$E$2:$E$1869,Player_Season!$B$2:$B$1869,A322)</f>
        <v>12</v>
      </c>
      <c r="F322" s="2" t="n">
        <f aca="false">SUMIFS(Player_Season!$F$2:$F$1869,Player_Season!$B$2:$B$1869,A322)</f>
        <v>6</v>
      </c>
      <c r="G322" s="2" t="n">
        <f aca="false">IF(E322&gt;0,F322/E322,"")</f>
        <v>0.5</v>
      </c>
      <c r="H322" s="2" t="s">
        <v>413</v>
      </c>
    </row>
    <row r="323" customFormat="false" ht="15" hidden="false" customHeight="false" outlineLevel="0" collapsed="false">
      <c r="A323" s="2" t="s">
        <v>286</v>
      </c>
      <c r="B323" s="2" t="n">
        <v>2</v>
      </c>
      <c r="C323" s="2" t="n">
        <v>2025</v>
      </c>
      <c r="D323" s="2" t="n">
        <v>2026</v>
      </c>
      <c r="E323" s="2" t="n">
        <f aca="false">SUMIFS(Player_Season!$E$2:$E$1869,Player_Season!$B$2:$B$1869,A323)</f>
        <v>8</v>
      </c>
      <c r="F323" s="2" t="n">
        <f aca="false">SUMIFS(Player_Season!$F$2:$F$1869,Player_Season!$B$2:$B$1869,A323)</f>
        <v>6</v>
      </c>
      <c r="G323" s="2" t="n">
        <f aca="false">IF(E323&gt;0,F323/E323,"")</f>
        <v>0.75</v>
      </c>
      <c r="H323" s="2" t="s">
        <v>115</v>
      </c>
    </row>
    <row r="324" customFormat="false" ht="15" hidden="false" customHeight="false" outlineLevel="0" collapsed="false">
      <c r="A324" s="2" t="s">
        <v>305</v>
      </c>
      <c r="B324" s="2" t="n">
        <v>1</v>
      </c>
      <c r="C324" s="2" t="n">
        <v>2026</v>
      </c>
      <c r="D324" s="2" t="n">
        <v>2026</v>
      </c>
      <c r="E324" s="2" t="n">
        <f aca="false">SUMIFS(Player_Season!$E$2:$E$1869,Player_Season!$B$2:$B$1869,A324)</f>
        <v>2</v>
      </c>
      <c r="F324" s="2" t="n">
        <f aca="false">SUMIFS(Player_Season!$F$2:$F$1869,Player_Season!$B$2:$B$1869,A324)</f>
        <v>6</v>
      </c>
      <c r="G324" s="2" t="n">
        <f aca="false">IF(E324&gt;0,F324/E324,"")</f>
        <v>3</v>
      </c>
      <c r="H324" s="2" t="s">
        <v>24</v>
      </c>
    </row>
    <row r="325" customFormat="false" ht="15" hidden="false" customHeight="false" outlineLevel="0" collapsed="false">
      <c r="A325" s="2" t="s">
        <v>290</v>
      </c>
      <c r="B325" s="2" t="n">
        <v>2</v>
      </c>
      <c r="C325" s="2" t="n">
        <v>2021</v>
      </c>
      <c r="D325" s="2" t="n">
        <v>2022</v>
      </c>
      <c r="E325" s="2" t="n">
        <f aca="false">SUMIFS(Player_Season!$E$2:$E$1869,Player_Season!$B$2:$B$1869,A325)</f>
        <v>6</v>
      </c>
      <c r="F325" s="2" t="n">
        <f aca="false">SUMIFS(Player_Season!$F$2:$F$1869,Player_Season!$B$2:$B$1869,A325)</f>
        <v>6</v>
      </c>
      <c r="G325" s="2" t="n">
        <f aca="false">IF(E325&gt;0,F325/E325,"")</f>
        <v>1</v>
      </c>
      <c r="H325" s="2" t="s">
        <v>24</v>
      </c>
    </row>
    <row r="326" customFormat="false" ht="15" hidden="false" customHeight="false" outlineLevel="0" collapsed="false">
      <c r="A326" s="2" t="s">
        <v>326</v>
      </c>
      <c r="B326" s="2" t="n">
        <v>1</v>
      </c>
      <c r="C326" s="2" t="n">
        <v>2023</v>
      </c>
      <c r="D326" s="2" t="n">
        <v>2023</v>
      </c>
      <c r="E326" s="2" t="n">
        <f aca="false">SUMIFS(Player_Season!$E$2:$E$1869,Player_Season!$B$2:$B$1869,A326)</f>
        <v>4</v>
      </c>
      <c r="F326" s="2" t="n">
        <f aca="false">SUMIFS(Player_Season!$F$2:$F$1869,Player_Season!$B$2:$B$1869,A326)</f>
        <v>6</v>
      </c>
      <c r="G326" s="2" t="n">
        <f aca="false">IF(E326&gt;0,F326/E326,"")</f>
        <v>1.5</v>
      </c>
      <c r="H326" s="2" t="s">
        <v>29</v>
      </c>
    </row>
    <row r="327" customFormat="false" ht="15" hidden="false" customHeight="false" outlineLevel="0" collapsed="false">
      <c r="A327" s="2" t="s">
        <v>343</v>
      </c>
      <c r="B327" s="2" t="n">
        <v>1</v>
      </c>
      <c r="C327" s="2" t="n">
        <v>2023</v>
      </c>
      <c r="D327" s="2" t="n">
        <v>2023</v>
      </c>
      <c r="E327" s="2" t="n">
        <f aca="false">SUMIFS(Player_Season!$E$2:$E$1869,Player_Season!$B$2:$B$1869,A327)</f>
        <v>2</v>
      </c>
      <c r="F327" s="2" t="n">
        <f aca="false">SUMIFS(Player_Season!$F$2:$F$1869,Player_Season!$B$2:$B$1869,A327)</f>
        <v>6</v>
      </c>
      <c r="G327" s="2" t="n">
        <f aca="false">IF(E327&gt;0,F327/E327,"")</f>
        <v>3</v>
      </c>
      <c r="H327" s="2" t="s">
        <v>24</v>
      </c>
    </row>
    <row r="328" customFormat="false" ht="15" hidden="false" customHeight="false" outlineLevel="0" collapsed="false">
      <c r="A328" s="2" t="s">
        <v>292</v>
      </c>
      <c r="B328" s="2" t="n">
        <v>4</v>
      </c>
      <c r="C328" s="2" t="n">
        <v>2019</v>
      </c>
      <c r="D328" s="2" t="n">
        <v>2022</v>
      </c>
      <c r="E328" s="2" t="n">
        <f aca="false">SUMIFS(Player_Season!$E$2:$E$1869,Player_Season!$B$2:$B$1869,A328)</f>
        <v>34</v>
      </c>
      <c r="F328" s="2" t="n">
        <f aca="false">SUMIFS(Player_Season!$F$2:$F$1869,Player_Season!$B$2:$B$1869,A328)</f>
        <v>6</v>
      </c>
      <c r="G328" s="2" t="n">
        <f aca="false">IF(E328&gt;0,F328/E328,"")</f>
        <v>0.176470588235294</v>
      </c>
      <c r="H328" s="2" t="s">
        <v>29</v>
      </c>
    </row>
    <row r="329" customFormat="false" ht="15" hidden="false" customHeight="false" outlineLevel="0" collapsed="false">
      <c r="A329" s="2" t="s">
        <v>327</v>
      </c>
      <c r="B329" s="2" t="n">
        <v>1</v>
      </c>
      <c r="C329" s="2" t="n">
        <v>2026</v>
      </c>
      <c r="D329" s="2" t="n">
        <v>2026</v>
      </c>
      <c r="E329" s="2" t="n">
        <f aca="false">SUMIFS(Player_Season!$E$2:$E$1869,Player_Season!$B$2:$B$1869,A329)</f>
        <v>1</v>
      </c>
      <c r="F329" s="2" t="n">
        <f aca="false">SUMIFS(Player_Season!$F$2:$F$1869,Player_Season!$B$2:$B$1869,A329)</f>
        <v>6</v>
      </c>
      <c r="G329" s="2" t="n">
        <f aca="false">IF(E329&gt;0,F329/E329,"")</f>
        <v>6</v>
      </c>
      <c r="H329" s="2" t="s">
        <v>29</v>
      </c>
    </row>
    <row r="330" customFormat="false" ht="15" hidden="false" customHeight="false" outlineLevel="0" collapsed="false">
      <c r="A330" s="2" t="s">
        <v>297</v>
      </c>
      <c r="B330" s="2" t="n">
        <v>4</v>
      </c>
      <c r="C330" s="2" t="n">
        <v>2023</v>
      </c>
      <c r="D330" s="2" t="n">
        <v>2026</v>
      </c>
      <c r="E330" s="2" t="n">
        <f aca="false">SUMIFS(Player_Season!$E$2:$E$1869,Player_Season!$B$2:$B$1869,A330)</f>
        <v>13</v>
      </c>
      <c r="F330" s="2" t="n">
        <f aca="false">SUMIFS(Player_Season!$F$2:$F$1869,Player_Season!$B$2:$B$1869,A330)</f>
        <v>6</v>
      </c>
      <c r="G330" s="2" t="n">
        <f aca="false">IF(E330&gt;0,F330/E330,"")</f>
        <v>0.461538461538462</v>
      </c>
      <c r="H330" s="2" t="s">
        <v>83</v>
      </c>
    </row>
    <row r="331" customFormat="false" ht="15" hidden="false" customHeight="false" outlineLevel="0" collapsed="false">
      <c r="A331" s="2" t="s">
        <v>283</v>
      </c>
      <c r="B331" s="2" t="n">
        <v>3</v>
      </c>
      <c r="C331" s="2" t="n">
        <v>2021</v>
      </c>
      <c r="D331" s="2" t="n">
        <v>2024</v>
      </c>
      <c r="E331" s="2" t="n">
        <f aca="false">SUMIFS(Player_Season!$E$2:$E$1869,Player_Season!$B$2:$B$1869,A331)</f>
        <v>26</v>
      </c>
      <c r="F331" s="2" t="n">
        <f aca="false">SUMIFS(Player_Season!$F$2:$F$1869,Player_Season!$B$2:$B$1869,A331)</f>
        <v>6</v>
      </c>
      <c r="G331" s="2" t="n">
        <f aca="false">IF(E331&gt;0,F331/E331,"")</f>
        <v>0.230769230769231</v>
      </c>
      <c r="H331" s="2" t="s">
        <v>117</v>
      </c>
    </row>
    <row r="332" customFormat="false" ht="15" hidden="false" customHeight="false" outlineLevel="0" collapsed="false">
      <c r="A332" s="2" t="s">
        <v>301</v>
      </c>
      <c r="B332" s="2" t="n">
        <v>1</v>
      </c>
      <c r="C332" s="2" t="n">
        <v>2026</v>
      </c>
      <c r="D332" s="2" t="n">
        <v>2026</v>
      </c>
      <c r="E332" s="2" t="n">
        <f aca="false">SUMIFS(Player_Season!$E$2:$E$1869,Player_Season!$B$2:$B$1869,A332)</f>
        <v>4</v>
      </c>
      <c r="F332" s="2" t="n">
        <f aca="false">SUMIFS(Player_Season!$F$2:$F$1869,Player_Season!$B$2:$B$1869,A332)</f>
        <v>6</v>
      </c>
      <c r="G332" s="2" t="n">
        <f aca="false">IF(E332&gt;0,F332/E332,"")</f>
        <v>1.5</v>
      </c>
      <c r="H332" s="2" t="s">
        <v>29</v>
      </c>
    </row>
    <row r="333" customFormat="false" ht="15" hidden="false" customHeight="false" outlineLevel="0" collapsed="false">
      <c r="A333" s="2" t="s">
        <v>574</v>
      </c>
      <c r="B333" s="2" t="n">
        <v>1</v>
      </c>
      <c r="C333" s="2" t="n">
        <v>2021</v>
      </c>
      <c r="D333" s="2" t="n">
        <v>2021</v>
      </c>
      <c r="E333" s="2" t="n">
        <f aca="false">SUMIFS(Player_Season!$E$2:$E$1869,Player_Season!$B$2:$B$1869,A333)</f>
        <v>5</v>
      </c>
      <c r="F333" s="2" t="n">
        <f aca="false">SUMIFS(Player_Season!$F$2:$F$1869,Player_Season!$B$2:$B$1869,A333)</f>
        <v>5</v>
      </c>
      <c r="G333" s="2" t="n">
        <f aca="false">IF(E333&gt;0,F333/E333,"")</f>
        <v>1</v>
      </c>
      <c r="H333" s="2" t="s">
        <v>413</v>
      </c>
    </row>
    <row r="334" customFormat="false" ht="15" hidden="false" customHeight="false" outlineLevel="0" collapsed="false">
      <c r="A334" s="2" t="s">
        <v>287</v>
      </c>
      <c r="B334" s="2" t="n">
        <v>2</v>
      </c>
      <c r="C334" s="2" t="n">
        <v>2025</v>
      </c>
      <c r="D334" s="2" t="n">
        <v>2026</v>
      </c>
      <c r="E334" s="2" t="n">
        <f aca="false">SUMIFS(Player_Season!$E$2:$E$1869,Player_Season!$B$2:$B$1869,A334)</f>
        <v>11</v>
      </c>
      <c r="F334" s="2" t="n">
        <f aca="false">SUMIFS(Player_Season!$F$2:$F$1869,Player_Season!$B$2:$B$1869,A334)</f>
        <v>5</v>
      </c>
      <c r="G334" s="2" t="n">
        <f aca="false">IF(E334&gt;0,F334/E334,"")</f>
        <v>0.454545454545455</v>
      </c>
      <c r="H334" s="2" t="s">
        <v>83</v>
      </c>
    </row>
    <row r="335" customFormat="false" ht="15" hidden="false" customHeight="false" outlineLevel="0" collapsed="false">
      <c r="A335" s="2" t="s">
        <v>337</v>
      </c>
      <c r="B335" s="2" t="n">
        <v>5</v>
      </c>
      <c r="C335" s="2" t="n">
        <v>2019</v>
      </c>
      <c r="D335" s="2" t="n">
        <v>2023</v>
      </c>
      <c r="E335" s="2" t="n">
        <f aca="false">SUMIFS(Player_Season!$E$2:$E$1869,Player_Season!$B$2:$B$1869,A335)</f>
        <v>33</v>
      </c>
      <c r="F335" s="2" t="n">
        <f aca="false">SUMIFS(Player_Season!$F$2:$F$1869,Player_Season!$B$2:$B$1869,A335)</f>
        <v>5</v>
      </c>
      <c r="G335" s="2" t="n">
        <f aca="false">IF(E335&gt;0,F335/E335,"")</f>
        <v>0.151515151515152</v>
      </c>
      <c r="H335" s="2" t="s">
        <v>29</v>
      </c>
    </row>
    <row r="336" customFormat="false" ht="15" hidden="false" customHeight="false" outlineLevel="0" collapsed="false">
      <c r="A336" s="2" t="s">
        <v>580</v>
      </c>
      <c r="B336" s="2" t="n">
        <v>1</v>
      </c>
      <c r="C336" s="2" t="n">
        <v>2021</v>
      </c>
      <c r="D336" s="2" t="n">
        <v>2021</v>
      </c>
      <c r="E336" s="2" t="n">
        <f aca="false">SUMIFS(Player_Season!$E$2:$E$1869,Player_Season!$B$2:$B$1869,A336)</f>
        <v>3</v>
      </c>
      <c r="F336" s="2" t="n">
        <f aca="false">SUMIFS(Player_Season!$F$2:$F$1869,Player_Season!$B$2:$B$1869,A336)</f>
        <v>5</v>
      </c>
      <c r="G336" s="2" t="n">
        <f aca="false">IF(E336&gt;0,F336/E336,"")</f>
        <v>1.66666666666667</v>
      </c>
      <c r="H336" s="2" t="s">
        <v>24</v>
      </c>
    </row>
    <row r="337" customFormat="false" ht="15" hidden="false" customHeight="false" outlineLevel="0" collapsed="false">
      <c r="A337" s="2" t="s">
        <v>143</v>
      </c>
      <c r="B337" s="2" t="n">
        <v>8</v>
      </c>
      <c r="C337" s="2" t="n">
        <v>2019</v>
      </c>
      <c r="D337" s="2" t="n">
        <v>2026</v>
      </c>
      <c r="E337" s="2" t="n">
        <f aca="false">SUMIFS(Player_Season!$E$2:$E$1869,Player_Season!$B$2:$B$1869,A337)</f>
        <v>77</v>
      </c>
      <c r="F337" s="2" t="n">
        <f aca="false">SUMIFS(Player_Season!$F$2:$F$1869,Player_Season!$B$2:$B$1869,A337)</f>
        <v>5</v>
      </c>
      <c r="G337" s="2" t="n">
        <f aca="false">IF(E337&gt;0,F337/E337,"")</f>
        <v>0.0649350649350649</v>
      </c>
      <c r="H337" s="2" t="s">
        <v>117</v>
      </c>
    </row>
    <row r="338" customFormat="false" ht="15" hidden="false" customHeight="false" outlineLevel="0" collapsed="false">
      <c r="A338" s="2" t="s">
        <v>267</v>
      </c>
      <c r="B338" s="2" t="n">
        <v>1</v>
      </c>
      <c r="C338" s="2" t="n">
        <v>2026</v>
      </c>
      <c r="D338" s="2" t="n">
        <v>2026</v>
      </c>
      <c r="E338" s="2" t="n">
        <f aca="false">SUMIFS(Player_Season!$E$2:$E$1869,Player_Season!$B$2:$B$1869,A338)</f>
        <v>12</v>
      </c>
      <c r="F338" s="2" t="n">
        <f aca="false">SUMIFS(Player_Season!$F$2:$F$1869,Player_Season!$B$2:$B$1869,A338)</f>
        <v>5</v>
      </c>
      <c r="G338" s="2" t="n">
        <f aca="false">IF(E338&gt;0,F338/E338,"")</f>
        <v>0.416666666666667</v>
      </c>
      <c r="H338" s="2" t="s">
        <v>83</v>
      </c>
    </row>
    <row r="339" customFormat="false" ht="15" hidden="false" customHeight="false" outlineLevel="0" collapsed="false">
      <c r="A339" s="2" t="s">
        <v>504</v>
      </c>
      <c r="B339" s="2" t="n">
        <v>2</v>
      </c>
      <c r="C339" s="2" t="n">
        <v>2019</v>
      </c>
      <c r="D339" s="2" t="n">
        <v>2020</v>
      </c>
      <c r="E339" s="2" t="n">
        <f aca="false">SUMIFS(Player_Season!$E$2:$E$1869,Player_Season!$B$2:$B$1869,A339)</f>
        <v>4</v>
      </c>
      <c r="F339" s="2" t="n">
        <f aca="false">SUMIFS(Player_Season!$F$2:$F$1869,Player_Season!$B$2:$B$1869,A339)</f>
        <v>5</v>
      </c>
      <c r="G339" s="2" t="n">
        <f aca="false">IF(E339&gt;0,F339/E339,"")</f>
        <v>1.25</v>
      </c>
      <c r="H339" s="2" t="s">
        <v>24</v>
      </c>
    </row>
    <row r="340" customFormat="false" ht="15" hidden="false" customHeight="false" outlineLevel="0" collapsed="false">
      <c r="A340" s="2" t="s">
        <v>440</v>
      </c>
      <c r="B340" s="2" t="n">
        <v>3</v>
      </c>
      <c r="C340" s="2" t="n">
        <v>2019</v>
      </c>
      <c r="D340" s="2" t="n">
        <v>2021</v>
      </c>
      <c r="E340" s="2" t="n">
        <f aca="false">SUMIFS(Player_Season!$E$2:$E$1869,Player_Season!$B$2:$B$1869,A340)</f>
        <v>11</v>
      </c>
      <c r="F340" s="2" t="n">
        <f aca="false">SUMIFS(Player_Season!$F$2:$F$1869,Player_Season!$B$2:$B$1869,A340)</f>
        <v>5</v>
      </c>
      <c r="G340" s="2" t="n">
        <f aca="false">IF(E340&gt;0,F340/E340,"")</f>
        <v>0.454545454545455</v>
      </c>
      <c r="H340" s="2" t="s">
        <v>413</v>
      </c>
    </row>
    <row r="341" customFormat="false" ht="15" hidden="false" customHeight="false" outlineLevel="0" collapsed="false">
      <c r="A341" s="2" t="s">
        <v>281</v>
      </c>
      <c r="B341" s="2" t="n">
        <v>3</v>
      </c>
      <c r="C341" s="2" t="n">
        <v>2023</v>
      </c>
      <c r="D341" s="2" t="n">
        <v>2025</v>
      </c>
      <c r="E341" s="2" t="n">
        <f aca="false">SUMIFS(Player_Season!$E$2:$E$1869,Player_Season!$B$2:$B$1869,A341)</f>
        <v>17</v>
      </c>
      <c r="F341" s="2" t="n">
        <f aca="false">SUMIFS(Player_Season!$F$2:$F$1869,Player_Season!$B$2:$B$1869,A341)</f>
        <v>5</v>
      </c>
      <c r="G341" s="2" t="n">
        <f aca="false">IF(E341&gt;0,F341/E341,"")</f>
        <v>0.294117647058824</v>
      </c>
      <c r="H341" s="2" t="s">
        <v>115</v>
      </c>
    </row>
    <row r="342" customFormat="false" ht="15" hidden="false" customHeight="false" outlineLevel="0" collapsed="false">
      <c r="A342" s="2" t="s">
        <v>502</v>
      </c>
      <c r="B342" s="2" t="n">
        <v>3</v>
      </c>
      <c r="C342" s="2" t="n">
        <v>2019</v>
      </c>
      <c r="D342" s="2" t="n">
        <v>2021</v>
      </c>
      <c r="E342" s="2" t="n">
        <f aca="false">SUMIFS(Player_Season!$E$2:$E$1869,Player_Season!$B$2:$B$1869,A342)</f>
        <v>9</v>
      </c>
      <c r="F342" s="2" t="n">
        <f aca="false">SUMIFS(Player_Season!$F$2:$F$1869,Player_Season!$B$2:$B$1869,A342)</f>
        <v>5</v>
      </c>
      <c r="G342" s="2" t="n">
        <f aca="false">IF(E342&gt;0,F342/E342,"")</f>
        <v>0.555555555555556</v>
      </c>
      <c r="H342" s="2" t="s">
        <v>29</v>
      </c>
    </row>
    <row r="343" customFormat="false" ht="15" hidden="false" customHeight="false" outlineLevel="0" collapsed="false">
      <c r="A343" s="2" t="s">
        <v>251</v>
      </c>
      <c r="B343" s="2" t="n">
        <v>2</v>
      </c>
      <c r="C343" s="2" t="n">
        <v>2025</v>
      </c>
      <c r="D343" s="2" t="n">
        <v>2026</v>
      </c>
      <c r="E343" s="2" t="n">
        <f aca="false">SUMIFS(Player_Season!$E$2:$E$1869,Player_Season!$B$2:$B$1869,A343)</f>
        <v>20</v>
      </c>
      <c r="F343" s="2" t="n">
        <f aca="false">SUMIFS(Player_Season!$F$2:$F$1869,Player_Season!$B$2:$B$1869,A343)</f>
        <v>5</v>
      </c>
      <c r="G343" s="2" t="n">
        <f aca="false">IF(E343&gt;0,F343/E343,"")</f>
        <v>0.25</v>
      </c>
      <c r="H343" s="2" t="s">
        <v>83</v>
      </c>
    </row>
    <row r="344" customFormat="false" ht="15" hidden="false" customHeight="false" outlineLevel="0" collapsed="false">
      <c r="A344" s="2" t="s">
        <v>309</v>
      </c>
      <c r="B344" s="2" t="n">
        <v>5</v>
      </c>
      <c r="C344" s="2" t="n">
        <v>2019</v>
      </c>
      <c r="D344" s="2" t="n">
        <v>2023</v>
      </c>
      <c r="E344" s="2" t="n">
        <f aca="false">SUMIFS(Player_Season!$E$2:$E$1869,Player_Season!$B$2:$B$1869,A344)</f>
        <v>45</v>
      </c>
      <c r="F344" s="2" t="n">
        <f aca="false">SUMIFS(Player_Season!$F$2:$F$1869,Player_Season!$B$2:$B$1869,A344)</f>
        <v>5</v>
      </c>
      <c r="G344" s="2" t="n">
        <f aca="false">IF(E344&gt;0,F344/E344,"")</f>
        <v>0.111111111111111</v>
      </c>
      <c r="H344" s="2" t="s">
        <v>117</v>
      </c>
    </row>
    <row r="345" customFormat="false" ht="15" hidden="false" customHeight="false" outlineLevel="0" collapsed="false">
      <c r="A345" s="2" t="s">
        <v>636</v>
      </c>
      <c r="B345" s="2" t="n">
        <v>2</v>
      </c>
      <c r="C345" s="2" t="n">
        <v>2025</v>
      </c>
      <c r="D345" s="2" t="n">
        <v>2026</v>
      </c>
      <c r="E345" s="2" t="n">
        <f aca="false">SUMIFS(Player_Season!$E$2:$E$1869,Player_Season!$B$2:$B$1869,A345)</f>
        <v>19</v>
      </c>
      <c r="F345" s="2" t="n">
        <f aca="false">SUMIFS(Player_Season!$F$2:$F$1869,Player_Season!$B$2:$B$1869,A345)</f>
        <v>5</v>
      </c>
      <c r="G345" s="2" t="n">
        <f aca="false">IF(E345&gt;0,F345/E345,"")</f>
        <v>0.263157894736842</v>
      </c>
      <c r="H345" s="2" t="s">
        <v>409</v>
      </c>
    </row>
    <row r="346" customFormat="false" ht="15" hidden="false" customHeight="false" outlineLevel="0" collapsed="false">
      <c r="A346" s="2" t="s">
        <v>625</v>
      </c>
      <c r="B346" s="2" t="n">
        <v>3</v>
      </c>
      <c r="C346" s="2" t="n">
        <v>2024</v>
      </c>
      <c r="D346" s="2" t="n">
        <v>2026</v>
      </c>
      <c r="E346" s="2" t="n">
        <f aca="false">SUMIFS(Player_Season!$E$2:$E$1869,Player_Season!$B$2:$B$1869,A346)</f>
        <v>28</v>
      </c>
      <c r="F346" s="2" t="n">
        <f aca="false">SUMIFS(Player_Season!$F$2:$F$1869,Player_Season!$B$2:$B$1869,A346)</f>
        <v>5</v>
      </c>
      <c r="G346" s="2" t="n">
        <f aca="false">IF(E346&gt;0,F346/E346,"")</f>
        <v>0.178571428571429</v>
      </c>
      <c r="H346" s="2" t="s">
        <v>409</v>
      </c>
    </row>
    <row r="347" customFormat="false" ht="15" hidden="false" customHeight="false" outlineLevel="0" collapsed="false">
      <c r="A347" s="2" t="s">
        <v>263</v>
      </c>
      <c r="B347" s="2" t="n">
        <v>3</v>
      </c>
      <c r="C347" s="2" t="n">
        <v>2022</v>
      </c>
      <c r="D347" s="2" t="n">
        <v>2024</v>
      </c>
      <c r="E347" s="2" t="n">
        <f aca="false">SUMIFS(Player_Season!$E$2:$E$1869,Player_Season!$B$2:$B$1869,A347)</f>
        <v>17</v>
      </c>
      <c r="F347" s="2" t="n">
        <f aca="false">SUMIFS(Player_Season!$F$2:$F$1869,Player_Season!$B$2:$B$1869,A347)</f>
        <v>5</v>
      </c>
      <c r="G347" s="2" t="n">
        <f aca="false">IF(E347&gt;0,F347/E347,"")</f>
        <v>0.294117647058824</v>
      </c>
      <c r="H347" s="2" t="s">
        <v>83</v>
      </c>
    </row>
    <row r="348" customFormat="false" ht="15" hidden="false" customHeight="false" outlineLevel="0" collapsed="false">
      <c r="A348" s="2" t="s">
        <v>291</v>
      </c>
      <c r="B348" s="2" t="n">
        <v>3</v>
      </c>
      <c r="C348" s="2" t="n">
        <v>2022</v>
      </c>
      <c r="D348" s="2" t="n">
        <v>2024</v>
      </c>
      <c r="E348" s="2" t="n">
        <f aca="false">SUMIFS(Player_Season!$E$2:$E$1869,Player_Season!$B$2:$B$1869,A348)</f>
        <v>14</v>
      </c>
      <c r="F348" s="2" t="n">
        <f aca="false">SUMIFS(Player_Season!$F$2:$F$1869,Player_Season!$B$2:$B$1869,A348)</f>
        <v>5</v>
      </c>
      <c r="G348" s="2" t="n">
        <f aca="false">IF(E348&gt;0,F348/E348,"")</f>
        <v>0.357142857142857</v>
      </c>
      <c r="H348" s="2" t="s">
        <v>83</v>
      </c>
    </row>
    <row r="349" customFormat="false" ht="15" hidden="false" customHeight="false" outlineLevel="0" collapsed="false">
      <c r="A349" s="2" t="s">
        <v>338</v>
      </c>
      <c r="B349" s="2" t="n">
        <v>2</v>
      </c>
      <c r="C349" s="2" t="n">
        <v>2022</v>
      </c>
      <c r="D349" s="2" t="n">
        <v>2023</v>
      </c>
      <c r="E349" s="2" t="n">
        <f aca="false">SUMIFS(Player_Season!$E$2:$E$1869,Player_Season!$B$2:$B$1869,A349)</f>
        <v>2</v>
      </c>
      <c r="F349" s="2" t="n">
        <f aca="false">SUMIFS(Player_Season!$F$2:$F$1869,Player_Season!$B$2:$B$1869,A349)</f>
        <v>4</v>
      </c>
      <c r="G349" s="2" t="n">
        <f aca="false">IF(E349&gt;0,F349/E349,"")</f>
        <v>2</v>
      </c>
      <c r="H349" s="2" t="s">
        <v>24</v>
      </c>
    </row>
    <row r="350" customFormat="false" ht="15" hidden="false" customHeight="false" outlineLevel="0" collapsed="false">
      <c r="A350" s="2" t="s">
        <v>169</v>
      </c>
      <c r="B350" s="2" t="n">
        <v>6</v>
      </c>
      <c r="C350" s="2" t="n">
        <v>2021</v>
      </c>
      <c r="D350" s="2" t="n">
        <v>2026</v>
      </c>
      <c r="E350" s="2" t="n">
        <f aca="false">SUMIFS(Player_Season!$E$2:$E$1869,Player_Season!$B$2:$B$1869,A350)</f>
        <v>51</v>
      </c>
      <c r="F350" s="2" t="n">
        <f aca="false">SUMIFS(Player_Season!$F$2:$F$1869,Player_Season!$B$2:$B$1869,A350)</f>
        <v>4</v>
      </c>
      <c r="G350" s="2" t="n">
        <f aca="false">IF(E350&gt;0,F350/E350,"")</f>
        <v>0.0784313725490196</v>
      </c>
      <c r="H350" s="2" t="s">
        <v>117</v>
      </c>
    </row>
    <row r="351" customFormat="false" ht="15" hidden="false" customHeight="false" outlineLevel="0" collapsed="false">
      <c r="A351" s="2" t="s">
        <v>308</v>
      </c>
      <c r="B351" s="2" t="n">
        <v>2</v>
      </c>
      <c r="C351" s="2" t="n">
        <v>2025</v>
      </c>
      <c r="D351" s="2" t="n">
        <v>2026</v>
      </c>
      <c r="E351" s="2" t="n">
        <f aca="false">SUMIFS(Player_Season!$E$2:$E$1869,Player_Season!$B$2:$B$1869,A351)</f>
        <v>13</v>
      </c>
      <c r="F351" s="2" t="n">
        <f aca="false">SUMIFS(Player_Season!$F$2:$F$1869,Player_Season!$B$2:$B$1869,A351)</f>
        <v>4</v>
      </c>
      <c r="G351" s="2" t="n">
        <f aca="false">IF(E351&gt;0,F351/E351,"")</f>
        <v>0.307692307692308</v>
      </c>
      <c r="H351" s="2" t="s">
        <v>115</v>
      </c>
    </row>
    <row r="352" customFormat="false" ht="15" hidden="false" customHeight="false" outlineLevel="0" collapsed="false">
      <c r="A352" s="2" t="s">
        <v>313</v>
      </c>
      <c r="B352" s="2" t="n">
        <v>3</v>
      </c>
      <c r="C352" s="2" t="n">
        <v>2021</v>
      </c>
      <c r="D352" s="2" t="n">
        <v>2023</v>
      </c>
      <c r="E352" s="2" t="n">
        <f aca="false">SUMIFS(Player_Season!$E$2:$E$1869,Player_Season!$B$2:$B$1869,A352)</f>
        <v>2</v>
      </c>
      <c r="F352" s="2" t="n">
        <f aca="false">SUMIFS(Player_Season!$F$2:$F$1869,Player_Season!$B$2:$B$1869,A352)</f>
        <v>4</v>
      </c>
      <c r="G352" s="2" t="n">
        <f aca="false">IF(E352&gt;0,F352/E352,"")</f>
        <v>2</v>
      </c>
      <c r="H352" s="2" t="s">
        <v>29</v>
      </c>
    </row>
    <row r="353" customFormat="false" ht="15" hidden="false" customHeight="false" outlineLevel="0" collapsed="false">
      <c r="A353" s="2" t="s">
        <v>225</v>
      </c>
      <c r="B353" s="2" t="n">
        <v>5</v>
      </c>
      <c r="C353" s="2" t="n">
        <v>2021</v>
      </c>
      <c r="D353" s="2" t="n">
        <v>2025</v>
      </c>
      <c r="E353" s="2" t="n">
        <f aca="false">SUMIFS(Player_Season!$E$2:$E$1869,Player_Season!$B$2:$B$1869,A353)</f>
        <v>34</v>
      </c>
      <c r="F353" s="2" t="n">
        <f aca="false">SUMIFS(Player_Season!$F$2:$F$1869,Player_Season!$B$2:$B$1869,A353)</f>
        <v>4</v>
      </c>
      <c r="G353" s="2" t="n">
        <f aca="false">IF(E353&gt;0,F353/E353,"")</f>
        <v>0.117647058823529</v>
      </c>
      <c r="H353" s="2" t="s">
        <v>83</v>
      </c>
    </row>
    <row r="354" customFormat="false" ht="15" hidden="false" customHeight="false" outlineLevel="0" collapsed="false">
      <c r="A354" s="2" t="s">
        <v>419</v>
      </c>
      <c r="B354" s="2" t="n">
        <v>1</v>
      </c>
      <c r="C354" s="2" t="n">
        <v>2019</v>
      </c>
      <c r="D354" s="2" t="n">
        <v>2019</v>
      </c>
      <c r="E354" s="2" t="n">
        <f aca="false">SUMIFS(Player_Season!$E$2:$E$1869,Player_Season!$B$2:$B$1869,A354)</f>
        <v>2</v>
      </c>
      <c r="F354" s="2" t="n">
        <f aca="false">SUMIFS(Player_Season!$F$2:$F$1869,Player_Season!$B$2:$B$1869,A354)</f>
        <v>4</v>
      </c>
      <c r="G354" s="2" t="n">
        <f aca="false">IF(E354&gt;0,F354/E354,"")</f>
        <v>2</v>
      </c>
      <c r="H354" s="2" t="s">
        <v>24</v>
      </c>
    </row>
    <row r="355" customFormat="false" ht="15" hidden="false" customHeight="false" outlineLevel="0" collapsed="false">
      <c r="A355" s="2" t="s">
        <v>329</v>
      </c>
      <c r="B355" s="2" t="n">
        <v>1</v>
      </c>
      <c r="C355" s="2" t="n">
        <v>2023</v>
      </c>
      <c r="D355" s="2" t="n">
        <v>2023</v>
      </c>
      <c r="E355" s="2" t="n">
        <f aca="false">SUMIFS(Player_Season!$E$2:$E$1869,Player_Season!$B$2:$B$1869,A355)</f>
        <v>2</v>
      </c>
      <c r="F355" s="2" t="n">
        <f aca="false">SUMIFS(Player_Season!$F$2:$F$1869,Player_Season!$B$2:$B$1869,A355)</f>
        <v>4</v>
      </c>
      <c r="G355" s="2" t="n">
        <f aca="false">IF(E355&gt;0,F355/E355,"")</f>
        <v>2</v>
      </c>
      <c r="H355" s="2" t="s">
        <v>83</v>
      </c>
    </row>
    <row r="356" customFormat="false" ht="15" hidden="false" customHeight="false" outlineLevel="0" collapsed="false">
      <c r="A356" s="2" t="s">
        <v>461</v>
      </c>
      <c r="B356" s="2" t="n">
        <v>3</v>
      </c>
      <c r="C356" s="2" t="n">
        <v>2019</v>
      </c>
      <c r="D356" s="2" t="n">
        <v>2021</v>
      </c>
      <c r="E356" s="2" t="n">
        <f aca="false">SUMIFS(Player_Season!$E$2:$E$1869,Player_Season!$B$2:$B$1869,A356)</f>
        <v>15</v>
      </c>
      <c r="F356" s="2" t="n">
        <f aca="false">SUMIFS(Player_Season!$F$2:$F$1869,Player_Season!$B$2:$B$1869,A356)</f>
        <v>4</v>
      </c>
      <c r="G356" s="2" t="n">
        <f aca="false">IF(E356&gt;0,F356/E356,"")</f>
        <v>0.266666666666667</v>
      </c>
      <c r="H356" s="2" t="s">
        <v>29</v>
      </c>
    </row>
    <row r="357" customFormat="false" ht="15" hidden="false" customHeight="false" outlineLevel="0" collapsed="false">
      <c r="A357" s="2" t="s">
        <v>583</v>
      </c>
      <c r="B357" s="2" t="n">
        <v>1</v>
      </c>
      <c r="C357" s="2" t="n">
        <v>2021</v>
      </c>
      <c r="D357" s="2" t="n">
        <v>2021</v>
      </c>
      <c r="E357" s="2" t="n">
        <f aca="false">SUMIFS(Player_Season!$E$2:$E$1869,Player_Season!$B$2:$B$1869,A357)</f>
        <v>2</v>
      </c>
      <c r="F357" s="2" t="n">
        <f aca="false">SUMIFS(Player_Season!$F$2:$F$1869,Player_Season!$B$2:$B$1869,A357)</f>
        <v>4</v>
      </c>
      <c r="G357" s="2" t="n">
        <f aca="false">IF(E357&gt;0,F357/E357,"")</f>
        <v>2</v>
      </c>
      <c r="H357" s="2"/>
    </row>
    <row r="358" customFormat="false" ht="15" hidden="false" customHeight="false" outlineLevel="0" collapsed="false">
      <c r="A358" s="2" t="s">
        <v>415</v>
      </c>
      <c r="B358" s="2" t="n">
        <v>1</v>
      </c>
      <c r="C358" s="2" t="n">
        <v>2019</v>
      </c>
      <c r="D358" s="2" t="n">
        <v>2019</v>
      </c>
      <c r="E358" s="2" t="n">
        <f aca="false">SUMIFS(Player_Season!$E$2:$E$1869,Player_Season!$B$2:$B$1869,A358)</f>
        <v>2</v>
      </c>
      <c r="F358" s="2" t="n">
        <f aca="false">SUMIFS(Player_Season!$F$2:$F$1869,Player_Season!$B$2:$B$1869,A358)</f>
        <v>4</v>
      </c>
      <c r="G358" s="2" t="n">
        <f aca="false">IF(E358&gt;0,F358/E358,"")</f>
        <v>2</v>
      </c>
      <c r="H358" s="2" t="s">
        <v>24</v>
      </c>
    </row>
    <row r="359" customFormat="false" ht="15" hidden="false" customHeight="false" outlineLevel="0" collapsed="false">
      <c r="A359" s="2" t="s">
        <v>470</v>
      </c>
      <c r="B359" s="2" t="n">
        <v>1</v>
      </c>
      <c r="C359" s="2" t="n">
        <v>2019</v>
      </c>
      <c r="D359" s="2" t="n">
        <v>2019</v>
      </c>
      <c r="E359" s="2" t="n">
        <f aca="false">SUMIFS(Player_Season!$E$2:$E$1869,Player_Season!$B$2:$B$1869,A359)</f>
        <v>7</v>
      </c>
      <c r="F359" s="2" t="n">
        <f aca="false">SUMIFS(Player_Season!$F$2:$F$1869,Player_Season!$B$2:$B$1869,A359)</f>
        <v>4</v>
      </c>
      <c r="G359" s="2" t="n">
        <f aca="false">IF(E359&gt;0,F359/E359,"")</f>
        <v>0.571428571428571</v>
      </c>
      <c r="H359" s="2" t="s">
        <v>29</v>
      </c>
    </row>
    <row r="360" customFormat="false" ht="15" hidden="false" customHeight="false" outlineLevel="0" collapsed="false">
      <c r="A360" s="2" t="s">
        <v>450</v>
      </c>
      <c r="B360" s="2" t="n">
        <v>3</v>
      </c>
      <c r="C360" s="2" t="n">
        <v>2019</v>
      </c>
      <c r="D360" s="2" t="n">
        <v>2021</v>
      </c>
      <c r="E360" s="2" t="n">
        <f aca="false">SUMIFS(Player_Season!$E$2:$E$1869,Player_Season!$B$2:$B$1869,A360)</f>
        <v>10</v>
      </c>
      <c r="F360" s="2" t="n">
        <f aca="false">SUMIFS(Player_Season!$F$2:$F$1869,Player_Season!$B$2:$B$1869,A360)</f>
        <v>4</v>
      </c>
      <c r="G360" s="2" t="n">
        <f aca="false">IF(E360&gt;0,F360/E360,"")</f>
        <v>0.4</v>
      </c>
      <c r="H360" s="2" t="s">
        <v>115</v>
      </c>
    </row>
    <row r="361" customFormat="false" ht="15" hidden="false" customHeight="false" outlineLevel="0" collapsed="false">
      <c r="A361" s="2" t="s">
        <v>321</v>
      </c>
      <c r="B361" s="2" t="n">
        <v>1</v>
      </c>
      <c r="C361" s="2" t="n">
        <v>2023</v>
      </c>
      <c r="D361" s="2" t="n">
        <v>2023</v>
      </c>
      <c r="E361" s="2" t="n">
        <f aca="false">SUMIFS(Player_Season!$E$2:$E$1869,Player_Season!$B$2:$B$1869,A361)</f>
        <v>5</v>
      </c>
      <c r="F361" s="2" t="n">
        <f aca="false">SUMIFS(Player_Season!$F$2:$F$1869,Player_Season!$B$2:$B$1869,A361)</f>
        <v>4</v>
      </c>
      <c r="G361" s="2" t="n">
        <f aca="false">IF(E361&gt;0,F361/E361,"")</f>
        <v>0.8</v>
      </c>
      <c r="H361" s="2" t="s">
        <v>29</v>
      </c>
    </row>
    <row r="362" customFormat="false" ht="15" hidden="false" customHeight="false" outlineLevel="0" collapsed="false">
      <c r="A362" s="2" t="s">
        <v>645</v>
      </c>
      <c r="B362" s="2" t="n">
        <v>1</v>
      </c>
      <c r="C362" s="2" t="n">
        <v>2025</v>
      </c>
      <c r="D362" s="2" t="n">
        <v>2025</v>
      </c>
      <c r="E362" s="2" t="n">
        <f aca="false">SUMIFS(Player_Season!$E$2:$E$1869,Player_Season!$B$2:$B$1869,A362)</f>
        <v>4</v>
      </c>
      <c r="F362" s="2" t="n">
        <f aca="false">SUMIFS(Player_Season!$F$2:$F$1869,Player_Season!$B$2:$B$1869,A362)</f>
        <v>4</v>
      </c>
      <c r="G362" s="2" t="n">
        <f aca="false">IF(E362&gt;0,F362/E362,"")</f>
        <v>1</v>
      </c>
      <c r="H362" s="2" t="s">
        <v>413</v>
      </c>
    </row>
    <row r="363" customFormat="false" ht="15" hidden="false" customHeight="false" outlineLevel="0" collapsed="false">
      <c r="A363" s="2" t="s">
        <v>289</v>
      </c>
      <c r="B363" s="2" t="n">
        <v>1</v>
      </c>
      <c r="C363" s="2" t="n">
        <v>2026</v>
      </c>
      <c r="D363" s="2" t="n">
        <v>2026</v>
      </c>
      <c r="E363" s="2" t="n">
        <f aca="false">SUMIFS(Player_Season!$E$2:$E$1869,Player_Season!$B$2:$B$1869,A363)</f>
        <v>10</v>
      </c>
      <c r="F363" s="2" t="n">
        <f aca="false">SUMIFS(Player_Season!$F$2:$F$1869,Player_Season!$B$2:$B$1869,A363)</f>
        <v>4</v>
      </c>
      <c r="G363" s="2" t="n">
        <f aca="false">IF(E363&gt;0,F363/E363,"")</f>
        <v>0.4</v>
      </c>
      <c r="H363" s="2" t="s">
        <v>117</v>
      </c>
    </row>
    <row r="364" customFormat="false" ht="15" hidden="false" customHeight="false" outlineLevel="0" collapsed="false">
      <c r="A364" s="2" t="s">
        <v>331</v>
      </c>
      <c r="B364" s="2" t="n">
        <v>1</v>
      </c>
      <c r="C364" s="2" t="n">
        <v>2026</v>
      </c>
      <c r="D364" s="2" t="n">
        <v>2026</v>
      </c>
      <c r="E364" s="2" t="n">
        <f aca="false">SUMIFS(Player_Season!$E$2:$E$1869,Player_Season!$B$2:$B$1869,A364)</f>
        <v>2</v>
      </c>
      <c r="F364" s="2" t="n">
        <f aca="false">SUMIFS(Player_Season!$F$2:$F$1869,Player_Season!$B$2:$B$1869,A364)</f>
        <v>4</v>
      </c>
      <c r="G364" s="2" t="n">
        <f aca="false">IF(E364&gt;0,F364/E364,"")</f>
        <v>2</v>
      </c>
      <c r="H364" s="2" t="s">
        <v>24</v>
      </c>
    </row>
    <row r="365" customFormat="false" ht="15" hidden="false" customHeight="false" outlineLevel="0" collapsed="false">
      <c r="A365" s="2" t="s">
        <v>472</v>
      </c>
      <c r="B365" s="2" t="n">
        <v>3</v>
      </c>
      <c r="C365" s="2" t="n">
        <v>2019</v>
      </c>
      <c r="D365" s="2" t="n">
        <v>2021</v>
      </c>
      <c r="E365" s="2" t="n">
        <f aca="false">SUMIFS(Player_Season!$E$2:$E$1869,Player_Season!$B$2:$B$1869,A365)</f>
        <v>2</v>
      </c>
      <c r="F365" s="2" t="n">
        <f aca="false">SUMIFS(Player_Season!$F$2:$F$1869,Player_Season!$B$2:$B$1869,A365)</f>
        <v>4</v>
      </c>
      <c r="G365" s="2" t="n">
        <f aca="false">IF(E365&gt;0,F365/E365,"")</f>
        <v>2</v>
      </c>
      <c r="H365" s="2" t="s">
        <v>24</v>
      </c>
    </row>
    <row r="366" customFormat="false" ht="15" hidden="false" customHeight="false" outlineLevel="0" collapsed="false">
      <c r="A366" s="2" t="s">
        <v>339</v>
      </c>
      <c r="B366" s="2" t="n">
        <v>1</v>
      </c>
      <c r="C366" s="2" t="n">
        <v>2025</v>
      </c>
      <c r="D366" s="2" t="n">
        <v>2025</v>
      </c>
      <c r="E366" s="2" t="n">
        <f aca="false">SUMIFS(Player_Season!$E$2:$E$1869,Player_Season!$B$2:$B$1869,A366)</f>
        <v>2</v>
      </c>
      <c r="F366" s="2" t="n">
        <f aca="false">SUMIFS(Player_Season!$F$2:$F$1869,Player_Season!$B$2:$B$1869,A366)</f>
        <v>4</v>
      </c>
      <c r="G366" s="2" t="n">
        <f aca="false">IF(E366&gt;0,F366/E366,"")</f>
        <v>2</v>
      </c>
      <c r="H366" s="2" t="s">
        <v>24</v>
      </c>
    </row>
    <row r="367" customFormat="false" ht="15" hidden="false" customHeight="false" outlineLevel="0" collapsed="false">
      <c r="A367" s="2" t="s">
        <v>333</v>
      </c>
      <c r="B367" s="2" t="n">
        <v>1</v>
      </c>
      <c r="C367" s="2" t="n">
        <v>2026</v>
      </c>
      <c r="D367" s="2" t="n">
        <v>2026</v>
      </c>
      <c r="E367" s="2" t="n">
        <f aca="false">SUMIFS(Player_Season!$E$2:$E$1869,Player_Season!$B$2:$B$1869,A367)</f>
        <v>8</v>
      </c>
      <c r="F367" s="2" t="n">
        <f aca="false">SUMIFS(Player_Season!$F$2:$F$1869,Player_Season!$B$2:$B$1869,A367)</f>
        <v>4</v>
      </c>
      <c r="G367" s="2" t="n">
        <f aca="false">IF(E367&gt;0,F367/E367,"")</f>
        <v>0.5</v>
      </c>
      <c r="H367" s="2" t="s">
        <v>117</v>
      </c>
    </row>
    <row r="368" customFormat="false" ht="15" hidden="false" customHeight="false" outlineLevel="0" collapsed="false">
      <c r="A368" s="2" t="s">
        <v>336</v>
      </c>
      <c r="B368" s="2" t="n">
        <v>2</v>
      </c>
      <c r="C368" s="2" t="n">
        <v>2025</v>
      </c>
      <c r="D368" s="2" t="n">
        <v>2026</v>
      </c>
      <c r="E368" s="2" t="n">
        <f aca="false">SUMIFS(Player_Season!$E$2:$E$1869,Player_Season!$B$2:$B$1869,A368)</f>
        <v>4</v>
      </c>
      <c r="F368" s="2" t="n">
        <f aca="false">SUMIFS(Player_Season!$F$2:$F$1869,Player_Season!$B$2:$B$1869,A368)</f>
        <v>4</v>
      </c>
      <c r="G368" s="2" t="n">
        <f aca="false">IF(E368&gt;0,F368/E368,"")</f>
        <v>1</v>
      </c>
      <c r="H368" s="2" t="s">
        <v>24</v>
      </c>
    </row>
    <row r="369" customFormat="false" ht="15" hidden="false" customHeight="false" outlineLevel="0" collapsed="false">
      <c r="A369" s="2" t="s">
        <v>358</v>
      </c>
      <c r="B369" s="2" t="n">
        <v>2</v>
      </c>
      <c r="C369" s="2" t="n">
        <v>2021</v>
      </c>
      <c r="D369" s="2" t="n">
        <v>2022</v>
      </c>
      <c r="E369" s="2" t="n">
        <f aca="false">SUMIFS(Player_Season!$E$2:$E$1869,Player_Season!$B$2:$B$1869,A369)</f>
        <v>8</v>
      </c>
      <c r="F369" s="2" t="n">
        <f aca="false">SUMIFS(Player_Season!$F$2:$F$1869,Player_Season!$B$2:$B$1869,A369)</f>
        <v>4</v>
      </c>
      <c r="G369" s="2" t="n">
        <f aca="false">IF(E369&gt;0,F369/E369,"")</f>
        <v>0.5</v>
      </c>
      <c r="H369" s="2" t="s">
        <v>117</v>
      </c>
    </row>
    <row r="370" customFormat="false" ht="15" hidden="false" customHeight="false" outlineLevel="0" collapsed="false">
      <c r="A370" s="2" t="s">
        <v>328</v>
      </c>
      <c r="B370" s="2" t="n">
        <v>2</v>
      </c>
      <c r="C370" s="2" t="n">
        <v>2025</v>
      </c>
      <c r="D370" s="2" t="n">
        <v>2026</v>
      </c>
      <c r="E370" s="2" t="n">
        <f aca="false">SUMIFS(Player_Season!$E$2:$E$1869,Player_Season!$B$2:$B$1869,A370)</f>
        <v>14</v>
      </c>
      <c r="F370" s="2" t="n">
        <f aca="false">SUMIFS(Player_Season!$F$2:$F$1869,Player_Season!$B$2:$B$1869,A370)</f>
        <v>3</v>
      </c>
      <c r="G370" s="2" t="n">
        <f aca="false">IF(E370&gt;0,F370/E370,"")</f>
        <v>0.214285714285714</v>
      </c>
      <c r="H370" s="2" t="s">
        <v>83</v>
      </c>
    </row>
    <row r="371" customFormat="false" ht="15" hidden="false" customHeight="false" outlineLevel="0" collapsed="false">
      <c r="A371" s="2" t="s">
        <v>522</v>
      </c>
      <c r="B371" s="2" t="n">
        <v>7</v>
      </c>
      <c r="C371" s="2" t="n">
        <v>2020</v>
      </c>
      <c r="D371" s="2" t="n">
        <v>2026</v>
      </c>
      <c r="E371" s="2" t="n">
        <f aca="false">SUMIFS(Player_Season!$E$2:$E$1869,Player_Season!$B$2:$B$1869,A371)</f>
        <v>45</v>
      </c>
      <c r="F371" s="2" t="n">
        <f aca="false">SUMIFS(Player_Season!$F$2:$F$1869,Player_Season!$B$2:$B$1869,A371)</f>
        <v>3</v>
      </c>
      <c r="G371" s="2" t="n">
        <f aca="false">IF(E371&gt;0,F371/E371,"")</f>
        <v>0.0666666666666667</v>
      </c>
      <c r="H371" s="2" t="s">
        <v>409</v>
      </c>
    </row>
    <row r="372" customFormat="false" ht="15" hidden="false" customHeight="false" outlineLevel="0" collapsed="false">
      <c r="A372" s="2" t="s">
        <v>594</v>
      </c>
      <c r="B372" s="2" t="n">
        <v>1</v>
      </c>
      <c r="C372" s="2" t="n">
        <v>2022</v>
      </c>
      <c r="D372" s="2" t="n">
        <v>2022</v>
      </c>
      <c r="E372" s="2" t="n">
        <f aca="false">SUMIFS(Player_Season!$E$2:$E$1869,Player_Season!$B$2:$B$1869,A372)</f>
        <v>2</v>
      </c>
      <c r="F372" s="2" t="n">
        <f aca="false">SUMIFS(Player_Season!$F$2:$F$1869,Player_Season!$B$2:$B$1869,A372)</f>
        <v>3</v>
      </c>
      <c r="G372" s="2" t="n">
        <f aca="false">IF(E372&gt;0,F372/E372,"")</f>
        <v>1.5</v>
      </c>
      <c r="H372" s="2" t="s">
        <v>413</v>
      </c>
    </row>
    <row r="373" customFormat="false" ht="15" hidden="false" customHeight="false" outlineLevel="0" collapsed="false">
      <c r="A373" s="2" t="s">
        <v>144</v>
      </c>
      <c r="B373" s="2" t="n">
        <v>6</v>
      </c>
      <c r="C373" s="2" t="n">
        <v>2021</v>
      </c>
      <c r="D373" s="2" t="n">
        <v>2026</v>
      </c>
      <c r="E373" s="2" t="n">
        <f aca="false">SUMIFS(Player_Season!$E$2:$E$1869,Player_Season!$B$2:$B$1869,A373)</f>
        <v>50</v>
      </c>
      <c r="F373" s="2" t="n">
        <f aca="false">SUMIFS(Player_Season!$F$2:$F$1869,Player_Season!$B$2:$B$1869,A373)</f>
        <v>3</v>
      </c>
      <c r="G373" s="2" t="n">
        <f aca="false">IF(E373&gt;0,F373/E373,"")</f>
        <v>0.06</v>
      </c>
      <c r="H373" s="2" t="s">
        <v>117</v>
      </c>
    </row>
    <row r="374" customFormat="false" ht="15" hidden="false" customHeight="false" outlineLevel="0" collapsed="false">
      <c r="A374" s="2" t="s">
        <v>449</v>
      </c>
      <c r="B374" s="2" t="n">
        <v>2</v>
      </c>
      <c r="C374" s="2" t="n">
        <v>2019</v>
      </c>
      <c r="D374" s="2" t="n">
        <v>2020</v>
      </c>
      <c r="E374" s="2" t="n">
        <f aca="false">SUMIFS(Player_Season!$E$2:$E$1869,Player_Season!$B$2:$B$1869,A374)</f>
        <v>1</v>
      </c>
      <c r="F374" s="2" t="n">
        <f aca="false">SUMIFS(Player_Season!$F$2:$F$1869,Player_Season!$B$2:$B$1869,A374)</f>
        <v>3</v>
      </c>
      <c r="G374" s="2" t="n">
        <f aca="false">IF(E374&gt;0,F374/E374,"")</f>
        <v>3</v>
      </c>
      <c r="H374" s="2" t="s">
        <v>29</v>
      </c>
    </row>
    <row r="375" customFormat="false" ht="15" hidden="false" customHeight="false" outlineLevel="0" collapsed="false">
      <c r="A375" s="2" t="s">
        <v>319</v>
      </c>
      <c r="B375" s="2" t="n">
        <v>3</v>
      </c>
      <c r="C375" s="2" t="n">
        <v>2022</v>
      </c>
      <c r="D375" s="2" t="n">
        <v>2024</v>
      </c>
      <c r="E375" s="2" t="n">
        <f aca="false">SUMIFS(Player_Season!$E$2:$E$1869,Player_Season!$B$2:$B$1869,A375)</f>
        <v>13</v>
      </c>
      <c r="F375" s="2" t="n">
        <f aca="false">SUMIFS(Player_Season!$F$2:$F$1869,Player_Season!$B$2:$B$1869,A375)</f>
        <v>3</v>
      </c>
      <c r="G375" s="2" t="n">
        <f aca="false">IF(E375&gt;0,F375/E375,"")</f>
        <v>0.230769230769231</v>
      </c>
      <c r="H375" s="2" t="s">
        <v>117</v>
      </c>
    </row>
    <row r="376" customFormat="false" ht="15" hidden="false" customHeight="false" outlineLevel="0" collapsed="false">
      <c r="A376" s="2" t="s">
        <v>451</v>
      </c>
      <c r="B376" s="2" t="n">
        <v>6</v>
      </c>
      <c r="C376" s="2" t="n">
        <v>2019</v>
      </c>
      <c r="D376" s="2" t="n">
        <v>2025</v>
      </c>
      <c r="E376" s="2" t="n">
        <f aca="false">SUMIFS(Player_Season!$E$2:$E$1869,Player_Season!$B$2:$B$1869,A376)</f>
        <v>36</v>
      </c>
      <c r="F376" s="2" t="n">
        <f aca="false">SUMIFS(Player_Season!$F$2:$F$1869,Player_Season!$B$2:$B$1869,A376)</f>
        <v>3</v>
      </c>
      <c r="G376" s="2" t="n">
        <f aca="false">IF(E376&gt;0,F376/E376,"")</f>
        <v>0.0833333333333333</v>
      </c>
      <c r="H376" s="2" t="s">
        <v>409</v>
      </c>
    </row>
    <row r="377" customFormat="false" ht="15" hidden="false" customHeight="false" outlineLevel="0" collapsed="false">
      <c r="A377" s="2" t="s">
        <v>539</v>
      </c>
      <c r="B377" s="2" t="n">
        <v>7</v>
      </c>
      <c r="C377" s="2" t="n">
        <v>2020</v>
      </c>
      <c r="D377" s="2" t="n">
        <v>2026</v>
      </c>
      <c r="E377" s="2" t="n">
        <f aca="false">SUMIFS(Player_Season!$E$2:$E$1869,Player_Season!$B$2:$B$1869,A377)</f>
        <v>53</v>
      </c>
      <c r="F377" s="2" t="n">
        <f aca="false">SUMIFS(Player_Season!$F$2:$F$1869,Player_Season!$B$2:$B$1869,A377)</f>
        <v>3</v>
      </c>
      <c r="G377" s="2" t="n">
        <f aca="false">IF(E377&gt;0,F377/E377,"")</f>
        <v>0.0566037735849057</v>
      </c>
      <c r="H377" s="2" t="s">
        <v>409</v>
      </c>
    </row>
    <row r="378" customFormat="false" ht="15" hidden="false" customHeight="false" outlineLevel="0" collapsed="false">
      <c r="A378" s="2" t="s">
        <v>433</v>
      </c>
      <c r="B378" s="2" t="n">
        <v>3</v>
      </c>
      <c r="C378" s="2" t="n">
        <v>2019</v>
      </c>
      <c r="D378" s="2" t="n">
        <v>2021</v>
      </c>
      <c r="E378" s="2" t="n">
        <f aca="false">SUMIFS(Player_Season!$E$2:$E$1869,Player_Season!$B$2:$B$1869,A378)</f>
        <v>10</v>
      </c>
      <c r="F378" s="2" t="n">
        <f aca="false">SUMIFS(Player_Season!$F$2:$F$1869,Player_Season!$B$2:$B$1869,A378)</f>
        <v>3</v>
      </c>
      <c r="G378" s="2" t="n">
        <f aca="false">IF(E378&gt;0,F378/E378,"")</f>
        <v>0.3</v>
      </c>
      <c r="H378" s="2" t="s">
        <v>29</v>
      </c>
    </row>
    <row r="379" customFormat="false" ht="15" hidden="false" customHeight="false" outlineLevel="0" collapsed="false">
      <c r="A379" s="2" t="s">
        <v>315</v>
      </c>
      <c r="B379" s="2" t="n">
        <v>1</v>
      </c>
      <c r="C379" s="2" t="n">
        <v>2026</v>
      </c>
      <c r="D379" s="2" t="n">
        <v>2026</v>
      </c>
      <c r="E379" s="2" t="n">
        <f aca="false">SUMIFS(Player_Season!$E$2:$E$1869,Player_Season!$B$2:$B$1869,A379)</f>
        <v>9</v>
      </c>
      <c r="F379" s="2" t="n">
        <f aca="false">SUMIFS(Player_Season!$F$2:$F$1869,Player_Season!$B$2:$B$1869,A379)</f>
        <v>3</v>
      </c>
      <c r="G379" s="2" t="n">
        <f aca="false">IF(E379&gt;0,F379/E379,"")</f>
        <v>0.333333333333333</v>
      </c>
      <c r="H379" s="2" t="s">
        <v>83</v>
      </c>
    </row>
    <row r="380" customFormat="false" ht="15" hidden="false" customHeight="false" outlineLevel="0" collapsed="false">
      <c r="A380" s="2" t="s">
        <v>238</v>
      </c>
      <c r="B380" s="2" t="n">
        <v>3</v>
      </c>
      <c r="C380" s="2" t="n">
        <v>2023</v>
      </c>
      <c r="D380" s="2" t="n">
        <v>2025</v>
      </c>
      <c r="E380" s="2" t="n">
        <f aca="false">SUMIFS(Player_Season!$E$2:$E$1869,Player_Season!$B$2:$B$1869,A380)</f>
        <v>19</v>
      </c>
      <c r="F380" s="2" t="n">
        <f aca="false">SUMIFS(Player_Season!$F$2:$F$1869,Player_Season!$B$2:$B$1869,A380)</f>
        <v>3</v>
      </c>
      <c r="G380" s="2" t="n">
        <f aca="false">IF(E380&gt;0,F380/E380,"")</f>
        <v>0.157894736842105</v>
      </c>
      <c r="H380" s="2" t="s">
        <v>117</v>
      </c>
    </row>
    <row r="381" customFormat="false" ht="15" hidden="false" customHeight="false" outlineLevel="0" collapsed="false">
      <c r="A381" s="2" t="s">
        <v>360</v>
      </c>
      <c r="B381" s="2" t="n">
        <v>1</v>
      </c>
      <c r="C381" s="2" t="n">
        <v>2026</v>
      </c>
      <c r="D381" s="2" t="n">
        <v>2026</v>
      </c>
      <c r="E381" s="2" t="n">
        <f aca="false">SUMIFS(Player_Season!$E$2:$E$1869,Player_Season!$B$2:$B$1869,A381)</f>
        <v>1</v>
      </c>
      <c r="F381" s="2" t="n">
        <f aca="false">SUMIFS(Player_Season!$F$2:$F$1869,Player_Season!$B$2:$B$1869,A381)</f>
        <v>3</v>
      </c>
      <c r="G381" s="2" t="n">
        <f aca="false">IF(E381&gt;0,F381/E381,"")</f>
        <v>3</v>
      </c>
      <c r="H381" s="2" t="s">
        <v>29</v>
      </c>
    </row>
    <row r="382" customFormat="false" ht="15" hidden="false" customHeight="false" outlineLevel="0" collapsed="false">
      <c r="A382" s="2" t="s">
        <v>307</v>
      </c>
      <c r="B382" s="2" t="n">
        <v>1</v>
      </c>
      <c r="C382" s="2" t="n">
        <v>2025</v>
      </c>
      <c r="D382" s="2" t="n">
        <v>2025</v>
      </c>
      <c r="E382" s="2" t="n">
        <f aca="false">SUMIFS(Player_Season!$E$2:$E$1869,Player_Season!$B$2:$B$1869,A382)</f>
        <v>10</v>
      </c>
      <c r="F382" s="2" t="n">
        <f aca="false">SUMIFS(Player_Season!$F$2:$F$1869,Player_Season!$B$2:$B$1869,A382)</f>
        <v>3</v>
      </c>
      <c r="G382" s="2" t="n">
        <f aca="false">IF(E382&gt;0,F382/E382,"")</f>
        <v>0.3</v>
      </c>
      <c r="H382" s="2" t="s">
        <v>115</v>
      </c>
    </row>
    <row r="383" customFormat="false" ht="15" hidden="false" customHeight="false" outlineLevel="0" collapsed="false">
      <c r="A383" s="2" t="s">
        <v>644</v>
      </c>
      <c r="B383" s="2" t="n">
        <v>2</v>
      </c>
      <c r="C383" s="2" t="n">
        <v>2025</v>
      </c>
      <c r="D383" s="2" t="n">
        <v>2026</v>
      </c>
      <c r="E383" s="2" t="n">
        <f aca="false">SUMIFS(Player_Season!$E$2:$E$1869,Player_Season!$B$2:$B$1869,A383)</f>
        <v>19</v>
      </c>
      <c r="F383" s="2" t="n">
        <f aca="false">SUMIFS(Player_Season!$F$2:$F$1869,Player_Season!$B$2:$B$1869,A383)</f>
        <v>3</v>
      </c>
      <c r="G383" s="2" t="n">
        <f aca="false">IF(E383&gt;0,F383/E383,"")</f>
        <v>0.157894736842105</v>
      </c>
      <c r="H383" s="2" t="s">
        <v>409</v>
      </c>
    </row>
    <row r="384" customFormat="false" ht="15" hidden="false" customHeight="false" outlineLevel="0" collapsed="false">
      <c r="A384" s="2" t="s">
        <v>416</v>
      </c>
      <c r="B384" s="2" t="n">
        <v>7</v>
      </c>
      <c r="C384" s="2" t="n">
        <v>2019</v>
      </c>
      <c r="D384" s="2" t="n">
        <v>2025</v>
      </c>
      <c r="E384" s="2" t="n">
        <f aca="false">SUMIFS(Player_Season!$E$2:$E$1869,Player_Season!$B$2:$B$1869,A384)</f>
        <v>44</v>
      </c>
      <c r="F384" s="2" t="n">
        <f aca="false">SUMIFS(Player_Season!$F$2:$F$1869,Player_Season!$B$2:$B$1869,A384)</f>
        <v>3</v>
      </c>
      <c r="G384" s="2" t="n">
        <f aca="false">IF(E384&gt;0,F384/E384,"")</f>
        <v>0.0681818181818182</v>
      </c>
      <c r="H384" s="2" t="s">
        <v>409</v>
      </c>
    </row>
    <row r="385" customFormat="false" ht="15" hidden="false" customHeight="false" outlineLevel="0" collapsed="false">
      <c r="A385" s="2" t="s">
        <v>387</v>
      </c>
      <c r="B385" s="2" t="n">
        <v>5</v>
      </c>
      <c r="C385" s="2" t="n">
        <v>2020</v>
      </c>
      <c r="D385" s="2" t="n">
        <v>2024</v>
      </c>
      <c r="E385" s="2" t="n">
        <f aca="false">SUMIFS(Player_Season!$E$2:$E$1869,Player_Season!$B$2:$B$1869,A385)</f>
        <v>16</v>
      </c>
      <c r="F385" s="2" t="n">
        <f aca="false">SUMIFS(Player_Season!$F$2:$F$1869,Player_Season!$B$2:$B$1869,A385)</f>
        <v>3</v>
      </c>
      <c r="G385" s="2" t="n">
        <f aca="false">IF(E385&gt;0,F385/E385,"")</f>
        <v>0.1875</v>
      </c>
      <c r="H385" s="2" t="s">
        <v>115</v>
      </c>
    </row>
    <row r="386" customFormat="false" ht="15" hidden="false" customHeight="false" outlineLevel="0" collapsed="false">
      <c r="A386" s="2" t="s">
        <v>359</v>
      </c>
      <c r="B386" s="2" t="n">
        <v>2</v>
      </c>
      <c r="C386" s="2" t="n">
        <v>2022</v>
      </c>
      <c r="D386" s="2" t="n">
        <v>2023</v>
      </c>
      <c r="E386" s="2" t="n">
        <f aca="false">SUMIFS(Player_Season!$E$2:$E$1869,Player_Season!$B$2:$B$1869,A386)</f>
        <v>1</v>
      </c>
      <c r="F386" s="2" t="n">
        <f aca="false">SUMIFS(Player_Season!$F$2:$F$1869,Player_Season!$B$2:$B$1869,A386)</f>
        <v>3</v>
      </c>
      <c r="G386" s="2" t="n">
        <f aca="false">IF(E386&gt;0,F386/E386,"")</f>
        <v>3</v>
      </c>
      <c r="H386" s="2" t="s">
        <v>24</v>
      </c>
    </row>
    <row r="387" customFormat="false" ht="15" hidden="false" customHeight="false" outlineLevel="0" collapsed="false">
      <c r="A387" s="2" t="s">
        <v>458</v>
      </c>
      <c r="B387" s="2" t="n">
        <v>1</v>
      </c>
      <c r="C387" s="2" t="n">
        <v>2019</v>
      </c>
      <c r="D387" s="2" t="n">
        <v>2019</v>
      </c>
      <c r="E387" s="2" t="n">
        <f aca="false">SUMIFS(Player_Season!$E$2:$E$1869,Player_Season!$B$2:$B$1869,A387)</f>
        <v>3</v>
      </c>
      <c r="F387" s="2" t="n">
        <f aca="false">SUMIFS(Player_Season!$F$2:$F$1869,Player_Season!$B$2:$B$1869,A387)</f>
        <v>3</v>
      </c>
      <c r="G387" s="2" t="n">
        <f aca="false">IF(E387&gt;0,F387/E387,"")</f>
        <v>1</v>
      </c>
      <c r="H387" s="2" t="s">
        <v>29</v>
      </c>
    </row>
    <row r="388" customFormat="false" ht="15" hidden="false" customHeight="false" outlineLevel="0" collapsed="false">
      <c r="A388" s="2" t="s">
        <v>441</v>
      </c>
      <c r="B388" s="2" t="n">
        <v>3</v>
      </c>
      <c r="C388" s="2" t="n">
        <v>2019</v>
      </c>
      <c r="D388" s="2" t="n">
        <v>2021</v>
      </c>
      <c r="E388" s="2" t="n">
        <f aca="false">SUMIFS(Player_Season!$E$2:$E$1869,Player_Season!$B$2:$B$1869,A388)</f>
        <v>24</v>
      </c>
      <c r="F388" s="2" t="n">
        <f aca="false">SUMIFS(Player_Season!$F$2:$F$1869,Player_Season!$B$2:$B$1869,A388)</f>
        <v>3</v>
      </c>
      <c r="G388" s="2" t="n">
        <f aca="false">IF(E388&gt;0,F388/E388,"")</f>
        <v>0.125</v>
      </c>
      <c r="H388" s="2" t="s">
        <v>409</v>
      </c>
    </row>
    <row r="389" customFormat="false" ht="15" hidden="false" customHeight="false" outlineLevel="0" collapsed="false">
      <c r="A389" s="2" t="s">
        <v>256</v>
      </c>
      <c r="B389" s="2" t="n">
        <v>3</v>
      </c>
      <c r="C389" s="2" t="n">
        <v>2024</v>
      </c>
      <c r="D389" s="2" t="n">
        <v>2026</v>
      </c>
      <c r="E389" s="2" t="n">
        <f aca="false">SUMIFS(Player_Season!$E$2:$E$1869,Player_Season!$B$2:$B$1869,A389)</f>
        <v>20</v>
      </c>
      <c r="F389" s="2" t="n">
        <f aca="false">SUMIFS(Player_Season!$F$2:$F$1869,Player_Season!$B$2:$B$1869,A389)</f>
        <v>3</v>
      </c>
      <c r="G389" s="2" t="n">
        <f aca="false">IF(E389&gt;0,F389/E389,"")</f>
        <v>0.15</v>
      </c>
      <c r="H389" s="2" t="s">
        <v>117</v>
      </c>
    </row>
    <row r="390" customFormat="false" ht="15" hidden="false" customHeight="false" outlineLevel="0" collapsed="false">
      <c r="A390" s="2" t="s">
        <v>593</v>
      </c>
      <c r="B390" s="2" t="n">
        <v>5</v>
      </c>
      <c r="C390" s="2" t="n">
        <v>2022</v>
      </c>
      <c r="D390" s="2" t="n">
        <v>2026</v>
      </c>
      <c r="E390" s="2" t="n">
        <f aca="false">SUMIFS(Player_Season!$E$2:$E$1869,Player_Season!$B$2:$B$1869,A390)</f>
        <v>41</v>
      </c>
      <c r="F390" s="2" t="n">
        <f aca="false">SUMIFS(Player_Season!$F$2:$F$1869,Player_Season!$B$2:$B$1869,A390)</f>
        <v>3</v>
      </c>
      <c r="G390" s="2" t="n">
        <f aca="false">IF(E390&gt;0,F390/E390,"")</f>
        <v>0.0731707317073171</v>
      </c>
      <c r="H390" s="2" t="s">
        <v>409</v>
      </c>
    </row>
    <row r="391" customFormat="false" ht="15" hidden="false" customHeight="false" outlineLevel="0" collapsed="false">
      <c r="A391" s="2" t="s">
        <v>348</v>
      </c>
      <c r="B391" s="2" t="n">
        <v>1</v>
      </c>
      <c r="C391" s="2" t="n">
        <v>2022</v>
      </c>
      <c r="D391" s="2" t="n">
        <v>2022</v>
      </c>
      <c r="E391" s="2" t="n">
        <f aca="false">SUMIFS(Player_Season!$E$2:$E$1869,Player_Season!$B$2:$B$1869,A391)</f>
        <v>4</v>
      </c>
      <c r="F391" s="2" t="n">
        <f aca="false">SUMIFS(Player_Season!$F$2:$F$1869,Player_Season!$B$2:$B$1869,A391)</f>
        <v>2</v>
      </c>
      <c r="G391" s="2" t="n">
        <f aca="false">IF(E391&gt;0,F391/E391,"")</f>
        <v>0.5</v>
      </c>
      <c r="H391" s="2" t="s">
        <v>83</v>
      </c>
    </row>
    <row r="392" customFormat="false" ht="15" hidden="false" customHeight="false" outlineLevel="0" collapsed="false">
      <c r="A392" s="2" t="s">
        <v>304</v>
      </c>
      <c r="B392" s="2" t="n">
        <v>5</v>
      </c>
      <c r="C392" s="2" t="n">
        <v>2019</v>
      </c>
      <c r="D392" s="2" t="n">
        <v>2023</v>
      </c>
      <c r="E392" s="2" t="n">
        <f aca="false">SUMIFS(Player_Season!$E$2:$E$1869,Player_Season!$B$2:$B$1869,A392)</f>
        <v>42</v>
      </c>
      <c r="F392" s="2" t="n">
        <f aca="false">SUMIFS(Player_Season!$F$2:$F$1869,Player_Season!$B$2:$B$1869,A392)</f>
        <v>2</v>
      </c>
      <c r="G392" s="2" t="n">
        <f aca="false">IF(E392&gt;0,F392/E392,"")</f>
        <v>0.0476190476190476</v>
      </c>
      <c r="H392" s="2" t="s">
        <v>117</v>
      </c>
    </row>
    <row r="393" customFormat="false" ht="15" hidden="false" customHeight="false" outlineLevel="0" collapsed="false">
      <c r="A393" s="2" t="s">
        <v>241</v>
      </c>
      <c r="B393" s="2" t="n">
        <v>5</v>
      </c>
      <c r="C393" s="2" t="n">
        <v>2022</v>
      </c>
      <c r="D393" s="2" t="n">
        <v>2026</v>
      </c>
      <c r="E393" s="2" t="n">
        <f aca="false">SUMIFS(Player_Season!$E$2:$E$1869,Player_Season!$B$2:$B$1869,A393)</f>
        <v>29</v>
      </c>
      <c r="F393" s="2" t="n">
        <f aca="false">SUMIFS(Player_Season!$F$2:$F$1869,Player_Season!$B$2:$B$1869,A393)</f>
        <v>2</v>
      </c>
      <c r="G393" s="2" t="n">
        <f aca="false">IF(E393&gt;0,F393/E393,"")</f>
        <v>0.0689655172413793</v>
      </c>
      <c r="H393" s="2" t="s">
        <v>83</v>
      </c>
    </row>
    <row r="394" customFormat="false" ht="15" hidden="false" customHeight="false" outlineLevel="0" collapsed="false">
      <c r="A394" s="2" t="s">
        <v>356</v>
      </c>
      <c r="B394" s="2" t="n">
        <v>4</v>
      </c>
      <c r="C394" s="2" t="n">
        <v>2020</v>
      </c>
      <c r="D394" s="2" t="n">
        <v>2025</v>
      </c>
      <c r="E394" s="2" t="n">
        <f aca="false">SUMIFS(Player_Season!$E$2:$E$1869,Player_Season!$B$2:$B$1869,A394)</f>
        <v>9</v>
      </c>
      <c r="F394" s="2" t="n">
        <f aca="false">SUMIFS(Player_Season!$F$2:$F$1869,Player_Season!$B$2:$B$1869,A394)</f>
        <v>2</v>
      </c>
      <c r="G394" s="2" t="n">
        <f aca="false">IF(E394&gt;0,F394/E394,"")</f>
        <v>0.222222222222222</v>
      </c>
      <c r="H394" s="2" t="s">
        <v>29</v>
      </c>
    </row>
    <row r="395" customFormat="false" ht="15" hidden="false" customHeight="false" outlineLevel="0" collapsed="false">
      <c r="A395" s="2" t="s">
        <v>490</v>
      </c>
      <c r="B395" s="2" t="n">
        <v>1</v>
      </c>
      <c r="C395" s="2" t="n">
        <v>2019</v>
      </c>
      <c r="D395" s="2" t="n">
        <v>2019</v>
      </c>
      <c r="E395" s="2" t="n">
        <f aca="false">SUMIFS(Player_Season!$E$2:$E$1869,Player_Season!$B$2:$B$1869,A395)</f>
        <v>4</v>
      </c>
      <c r="F395" s="2" t="n">
        <f aca="false">SUMIFS(Player_Season!$F$2:$F$1869,Player_Season!$B$2:$B$1869,A395)</f>
        <v>2</v>
      </c>
      <c r="G395" s="2" t="n">
        <f aca="false">IF(E395&gt;0,F395/E395,"")</f>
        <v>0.5</v>
      </c>
      <c r="H395" s="2" t="s">
        <v>29</v>
      </c>
    </row>
    <row r="396" customFormat="false" ht="15" hidden="false" customHeight="false" outlineLevel="0" collapsed="false">
      <c r="A396" s="2" t="s">
        <v>220</v>
      </c>
      <c r="B396" s="2" t="n">
        <v>5</v>
      </c>
      <c r="C396" s="2" t="n">
        <v>2022</v>
      </c>
      <c r="D396" s="2" t="n">
        <v>2026</v>
      </c>
      <c r="E396" s="2" t="n">
        <f aca="false">SUMIFS(Player_Season!$E$2:$E$1869,Player_Season!$B$2:$B$1869,A396)</f>
        <v>39</v>
      </c>
      <c r="F396" s="2" t="n">
        <f aca="false">SUMIFS(Player_Season!$F$2:$F$1869,Player_Season!$B$2:$B$1869,A396)</f>
        <v>2</v>
      </c>
      <c r="G396" s="2" t="n">
        <f aca="false">IF(E396&gt;0,F396/E396,"")</f>
        <v>0.0512820512820513</v>
      </c>
      <c r="H396" s="2" t="s">
        <v>117</v>
      </c>
    </row>
    <row r="397" customFormat="false" ht="15" hidden="false" customHeight="false" outlineLevel="0" collapsed="false">
      <c r="A397" s="2" t="s">
        <v>627</v>
      </c>
      <c r="B397" s="2" t="n">
        <v>2</v>
      </c>
      <c r="C397" s="2" t="n">
        <v>2024</v>
      </c>
      <c r="D397" s="2" t="n">
        <v>2025</v>
      </c>
      <c r="E397" s="2" t="n">
        <f aca="false">SUMIFS(Player_Season!$E$2:$E$1869,Player_Season!$B$2:$B$1869,A397)</f>
        <v>12</v>
      </c>
      <c r="F397" s="2" t="n">
        <f aca="false">SUMIFS(Player_Season!$F$2:$F$1869,Player_Season!$B$2:$B$1869,A397)</f>
        <v>2</v>
      </c>
      <c r="G397" s="2" t="n">
        <f aca="false">IF(E397&gt;0,F397/E397,"")</f>
        <v>0.166666666666667</v>
      </c>
      <c r="H397" s="2" t="s">
        <v>409</v>
      </c>
    </row>
    <row r="398" customFormat="false" ht="15" hidden="false" customHeight="false" outlineLevel="0" collapsed="false">
      <c r="A398" s="2" t="s">
        <v>567</v>
      </c>
      <c r="B398" s="2" t="n">
        <v>2</v>
      </c>
      <c r="C398" s="2" t="n">
        <v>2021</v>
      </c>
      <c r="D398" s="2" t="n">
        <v>2022</v>
      </c>
      <c r="E398" s="2" t="n">
        <f aca="false">SUMIFS(Player_Season!$E$2:$E$1869,Player_Season!$B$2:$B$1869,A398)</f>
        <v>18</v>
      </c>
      <c r="F398" s="2" t="n">
        <f aca="false">SUMIFS(Player_Season!$F$2:$F$1869,Player_Season!$B$2:$B$1869,A398)</f>
        <v>2</v>
      </c>
      <c r="G398" s="2" t="n">
        <f aca="false">IF(E398&gt;0,F398/E398,"")</f>
        <v>0.111111111111111</v>
      </c>
      <c r="H398" s="2" t="s">
        <v>409</v>
      </c>
    </row>
    <row r="399" customFormat="false" ht="15" hidden="false" customHeight="false" outlineLevel="0" collapsed="false">
      <c r="A399" s="2" t="s">
        <v>364</v>
      </c>
      <c r="B399" s="2" t="n">
        <v>1</v>
      </c>
      <c r="C399" s="2" t="n">
        <v>2024</v>
      </c>
      <c r="D399" s="2" t="n">
        <v>2024</v>
      </c>
      <c r="E399" s="2" t="n">
        <f aca="false">SUMIFS(Player_Season!$E$2:$E$1869,Player_Season!$B$2:$B$1869,A399)</f>
        <v>4</v>
      </c>
      <c r="F399" s="2" t="n">
        <f aca="false">SUMIFS(Player_Season!$F$2:$F$1869,Player_Season!$B$2:$B$1869,A399)</f>
        <v>2</v>
      </c>
      <c r="G399" s="2" t="n">
        <f aca="false">IF(E399&gt;0,F399/E399,"")</f>
        <v>0.5</v>
      </c>
      <c r="H399" s="2" t="s">
        <v>83</v>
      </c>
    </row>
    <row r="400" customFormat="false" ht="15" hidden="false" customHeight="false" outlineLevel="0" collapsed="false">
      <c r="A400" s="2" t="s">
        <v>507</v>
      </c>
      <c r="B400" s="2" t="n">
        <v>1</v>
      </c>
      <c r="C400" s="2" t="n">
        <v>2019</v>
      </c>
      <c r="D400" s="2" t="n">
        <v>2019</v>
      </c>
      <c r="E400" s="2" t="n">
        <f aca="false">SUMIFS(Player_Season!$E$2:$E$1869,Player_Season!$B$2:$B$1869,A400)</f>
        <v>5</v>
      </c>
      <c r="F400" s="2" t="n">
        <f aca="false">SUMIFS(Player_Season!$F$2:$F$1869,Player_Season!$B$2:$B$1869,A400)</f>
        <v>2</v>
      </c>
      <c r="G400" s="2" t="n">
        <f aca="false">IF(E400&gt;0,F400/E400,"")</f>
        <v>0.4</v>
      </c>
      <c r="H400" s="2" t="s">
        <v>29</v>
      </c>
    </row>
    <row r="401" customFormat="false" ht="15" hidden="false" customHeight="false" outlineLevel="0" collapsed="false">
      <c r="A401" s="2" t="s">
        <v>342</v>
      </c>
      <c r="B401" s="2" t="n">
        <v>1</v>
      </c>
      <c r="C401" s="2" t="n">
        <v>2026</v>
      </c>
      <c r="D401" s="2" t="n">
        <v>2026</v>
      </c>
      <c r="E401" s="2" t="n">
        <f aca="false">SUMIFS(Player_Season!$E$2:$E$1869,Player_Season!$B$2:$B$1869,A401)</f>
        <v>4</v>
      </c>
      <c r="F401" s="2" t="n">
        <f aca="false">SUMIFS(Player_Season!$F$2:$F$1869,Player_Season!$B$2:$B$1869,A401)</f>
        <v>2</v>
      </c>
      <c r="G401" s="2" t="n">
        <f aca="false">IF(E401&gt;0,F401/E401,"")</f>
        <v>0.5</v>
      </c>
      <c r="H401" s="2" t="s">
        <v>29</v>
      </c>
    </row>
    <row r="402" customFormat="false" ht="15" hidden="false" customHeight="false" outlineLevel="0" collapsed="false">
      <c r="A402" s="2" t="s">
        <v>463</v>
      </c>
      <c r="B402" s="2" t="n">
        <v>2</v>
      </c>
      <c r="C402" s="2" t="n">
        <v>2019</v>
      </c>
      <c r="D402" s="2" t="n">
        <v>2021</v>
      </c>
      <c r="E402" s="2" t="n">
        <f aca="false">SUMIFS(Player_Season!$E$2:$E$1869,Player_Season!$B$2:$B$1869,A402)</f>
        <v>15</v>
      </c>
      <c r="F402" s="2" t="n">
        <f aca="false">SUMIFS(Player_Season!$F$2:$F$1869,Player_Season!$B$2:$B$1869,A402)</f>
        <v>2</v>
      </c>
      <c r="G402" s="2" t="n">
        <f aca="false">IF(E402&gt;0,F402/E402,"")</f>
        <v>0.133333333333333</v>
      </c>
      <c r="H402" s="2" t="s">
        <v>117</v>
      </c>
    </row>
    <row r="403" customFormat="false" ht="15" hidden="false" customHeight="false" outlineLevel="0" collapsed="false">
      <c r="A403" s="2" t="s">
        <v>477</v>
      </c>
      <c r="B403" s="2" t="n">
        <v>1</v>
      </c>
      <c r="C403" s="2" t="n">
        <v>2019</v>
      </c>
      <c r="D403" s="2" t="n">
        <v>2019</v>
      </c>
      <c r="E403" s="2" t="n">
        <f aca="false">SUMIFS(Player_Season!$E$2:$E$1869,Player_Season!$B$2:$B$1869,A403)</f>
        <v>5</v>
      </c>
      <c r="F403" s="2" t="n">
        <f aca="false">SUMIFS(Player_Season!$F$2:$F$1869,Player_Season!$B$2:$B$1869,A403)</f>
        <v>2</v>
      </c>
      <c r="G403" s="2" t="n">
        <f aca="false">IF(E403&gt;0,F403/E403,"")</f>
        <v>0.4</v>
      </c>
      <c r="H403" s="2" t="s">
        <v>29</v>
      </c>
    </row>
    <row r="404" customFormat="false" ht="15" hidden="false" customHeight="false" outlineLevel="0" collapsed="false">
      <c r="A404" s="2" t="s">
        <v>460</v>
      </c>
      <c r="B404" s="2" t="n">
        <v>2</v>
      </c>
      <c r="C404" s="2" t="n">
        <v>2019</v>
      </c>
      <c r="D404" s="2" t="n">
        <v>2020</v>
      </c>
      <c r="E404" s="2" t="n">
        <f aca="false">SUMIFS(Player_Season!$E$2:$E$1869,Player_Season!$B$2:$B$1869,A404)</f>
        <v>9</v>
      </c>
      <c r="F404" s="2" t="n">
        <f aca="false">SUMIFS(Player_Season!$F$2:$F$1869,Player_Season!$B$2:$B$1869,A404)</f>
        <v>2</v>
      </c>
      <c r="G404" s="2" t="n">
        <f aca="false">IF(E404&gt;0,F404/E404,"")</f>
        <v>0.222222222222222</v>
      </c>
      <c r="H404" s="2" t="s">
        <v>29</v>
      </c>
    </row>
    <row r="405" customFormat="false" ht="15" hidden="false" customHeight="false" outlineLevel="0" collapsed="false">
      <c r="A405" s="2" t="s">
        <v>560</v>
      </c>
      <c r="B405" s="2" t="n">
        <v>6</v>
      </c>
      <c r="C405" s="2" t="n">
        <v>2021</v>
      </c>
      <c r="D405" s="2" t="n">
        <v>2026</v>
      </c>
      <c r="E405" s="2" t="n">
        <f aca="false">SUMIFS(Player_Season!$E$2:$E$1869,Player_Season!$B$2:$B$1869,A405)</f>
        <v>22</v>
      </c>
      <c r="F405" s="2" t="n">
        <f aca="false">SUMIFS(Player_Season!$F$2:$F$1869,Player_Season!$B$2:$B$1869,A405)</f>
        <v>2</v>
      </c>
      <c r="G405" s="2" t="n">
        <f aca="false">IF(E405&gt;0,F405/E405,"")</f>
        <v>0.0909090909090909</v>
      </c>
      <c r="H405" s="2" t="s">
        <v>409</v>
      </c>
    </row>
    <row r="406" customFormat="false" ht="15" hidden="false" customHeight="false" outlineLevel="0" collapsed="false">
      <c r="A406" s="2" t="s">
        <v>509</v>
      </c>
      <c r="B406" s="2" t="n">
        <v>1</v>
      </c>
      <c r="C406" s="2" t="n">
        <v>2019</v>
      </c>
      <c r="D406" s="2" t="n">
        <v>2019</v>
      </c>
      <c r="E406" s="2" t="n">
        <f aca="false">SUMIFS(Player_Season!$E$2:$E$1869,Player_Season!$B$2:$B$1869,A406)</f>
        <v>10</v>
      </c>
      <c r="F406" s="2" t="n">
        <f aca="false">SUMIFS(Player_Season!$F$2:$F$1869,Player_Season!$B$2:$B$1869,A406)</f>
        <v>2</v>
      </c>
      <c r="G406" s="2" t="n">
        <f aca="false">IF(E406&gt;0,F406/E406,"")</f>
        <v>0.2</v>
      </c>
      <c r="H406" s="2"/>
    </row>
    <row r="407" customFormat="false" ht="15" hidden="false" customHeight="false" outlineLevel="0" collapsed="false">
      <c r="A407" s="2" t="s">
        <v>475</v>
      </c>
      <c r="B407" s="2" t="n">
        <v>5</v>
      </c>
      <c r="C407" s="2" t="n">
        <v>2019</v>
      </c>
      <c r="D407" s="2" t="n">
        <v>2023</v>
      </c>
      <c r="E407" s="2" t="n">
        <f aca="false">SUMIFS(Player_Season!$E$2:$E$1869,Player_Season!$B$2:$B$1869,A407)</f>
        <v>15</v>
      </c>
      <c r="F407" s="2" t="n">
        <f aca="false">SUMIFS(Player_Season!$F$2:$F$1869,Player_Season!$B$2:$B$1869,A407)</f>
        <v>2</v>
      </c>
      <c r="G407" s="2" t="n">
        <f aca="false">IF(E407&gt;0,F407/E407,"")</f>
        <v>0.133333333333333</v>
      </c>
      <c r="H407" s="2" t="s">
        <v>117</v>
      </c>
    </row>
    <row r="408" customFormat="false" ht="15" hidden="false" customHeight="false" outlineLevel="0" collapsed="false">
      <c r="A408" s="2" t="s">
        <v>197</v>
      </c>
      <c r="B408" s="2" t="n">
        <v>4</v>
      </c>
      <c r="C408" s="2" t="n">
        <v>2023</v>
      </c>
      <c r="D408" s="2" t="n">
        <v>2026</v>
      </c>
      <c r="E408" s="2" t="n">
        <f aca="false">SUMIFS(Player_Season!$E$2:$E$1869,Player_Season!$B$2:$B$1869,A408)</f>
        <v>38</v>
      </c>
      <c r="F408" s="2" t="n">
        <f aca="false">SUMIFS(Player_Season!$F$2:$F$1869,Player_Season!$B$2:$B$1869,A408)</f>
        <v>2</v>
      </c>
      <c r="G408" s="2" t="n">
        <f aca="false">IF(E408&gt;0,F408/E408,"")</f>
        <v>0.0526315789473684</v>
      </c>
      <c r="H408" s="2" t="s">
        <v>117</v>
      </c>
    </row>
    <row r="409" customFormat="false" ht="15" hidden="false" customHeight="false" outlineLevel="0" collapsed="false">
      <c r="A409" s="2" t="s">
        <v>249</v>
      </c>
      <c r="B409" s="2" t="n">
        <v>3</v>
      </c>
      <c r="C409" s="2" t="n">
        <v>2024</v>
      </c>
      <c r="D409" s="2" t="n">
        <v>2026</v>
      </c>
      <c r="E409" s="2" t="n">
        <f aca="false">SUMIFS(Player_Season!$E$2:$E$1869,Player_Season!$B$2:$B$1869,A409)</f>
        <v>26</v>
      </c>
      <c r="F409" s="2" t="n">
        <f aca="false">SUMIFS(Player_Season!$F$2:$F$1869,Player_Season!$B$2:$B$1869,A409)</f>
        <v>2</v>
      </c>
      <c r="G409" s="2" t="n">
        <f aca="false">IF(E409&gt;0,F409/E409,"")</f>
        <v>0.0769230769230769</v>
      </c>
      <c r="H409" s="2" t="s">
        <v>117</v>
      </c>
    </row>
    <row r="410" customFormat="false" ht="15" hidden="false" customHeight="false" outlineLevel="0" collapsed="false">
      <c r="A410" s="2" t="s">
        <v>310</v>
      </c>
      <c r="B410" s="2" t="n">
        <v>3</v>
      </c>
      <c r="C410" s="2" t="n">
        <v>2024</v>
      </c>
      <c r="D410" s="2" t="n">
        <v>2026</v>
      </c>
      <c r="E410" s="2" t="n">
        <f aca="false">SUMIFS(Player_Season!$E$2:$E$1869,Player_Season!$B$2:$B$1869,A410)</f>
        <v>15</v>
      </c>
      <c r="F410" s="2" t="n">
        <f aca="false">SUMIFS(Player_Season!$F$2:$F$1869,Player_Season!$B$2:$B$1869,A410)</f>
        <v>2</v>
      </c>
      <c r="G410" s="2" t="n">
        <f aca="false">IF(E410&gt;0,F410/E410,"")</f>
        <v>0.133333333333333</v>
      </c>
      <c r="H410" s="2" t="s">
        <v>117</v>
      </c>
    </row>
    <row r="411" customFormat="false" ht="15" hidden="false" customHeight="false" outlineLevel="0" collapsed="false">
      <c r="A411" s="2" t="s">
        <v>549</v>
      </c>
      <c r="B411" s="2" t="n">
        <v>2</v>
      </c>
      <c r="C411" s="2" t="n">
        <v>2021</v>
      </c>
      <c r="D411" s="2" t="n">
        <v>2022</v>
      </c>
      <c r="E411" s="2" t="n">
        <f aca="false">SUMIFS(Player_Season!$E$2:$E$1869,Player_Season!$B$2:$B$1869,A411)</f>
        <v>11</v>
      </c>
      <c r="F411" s="2" t="n">
        <f aca="false">SUMIFS(Player_Season!$F$2:$F$1869,Player_Season!$B$2:$B$1869,A411)</f>
        <v>2</v>
      </c>
      <c r="G411" s="2" t="n">
        <f aca="false">IF(E411&gt;0,F411/E411,"")</f>
        <v>0.181818181818182</v>
      </c>
      <c r="H411" s="2" t="s">
        <v>409</v>
      </c>
    </row>
    <row r="412" customFormat="false" ht="15" hidden="false" customHeight="false" outlineLevel="0" collapsed="false">
      <c r="A412" s="2" t="s">
        <v>228</v>
      </c>
      <c r="B412" s="2" t="n">
        <v>2</v>
      </c>
      <c r="C412" s="2" t="n">
        <v>2025</v>
      </c>
      <c r="D412" s="2" t="n">
        <v>2026</v>
      </c>
      <c r="E412" s="2" t="n">
        <f aca="false">SUMIFS(Player_Season!$E$2:$E$1869,Player_Season!$B$2:$B$1869,A412)</f>
        <v>22</v>
      </c>
      <c r="F412" s="2" t="n">
        <f aca="false">SUMIFS(Player_Season!$F$2:$F$1869,Player_Season!$B$2:$B$1869,A412)</f>
        <v>2</v>
      </c>
      <c r="G412" s="2" t="n">
        <f aca="false">IF(E412&gt;0,F412/E412,"")</f>
        <v>0.0909090909090909</v>
      </c>
      <c r="H412" s="2" t="s">
        <v>117</v>
      </c>
    </row>
    <row r="413" customFormat="false" ht="15" hidden="false" customHeight="false" outlineLevel="0" collapsed="false">
      <c r="A413" s="2" t="s">
        <v>272</v>
      </c>
      <c r="B413" s="2" t="n">
        <v>3</v>
      </c>
      <c r="C413" s="2" t="n">
        <v>2024</v>
      </c>
      <c r="D413" s="2" t="n">
        <v>2026</v>
      </c>
      <c r="E413" s="2" t="n">
        <f aca="false">SUMIFS(Player_Season!$E$2:$E$1869,Player_Season!$B$2:$B$1869,A413)</f>
        <v>23</v>
      </c>
      <c r="F413" s="2" t="n">
        <f aca="false">SUMIFS(Player_Season!$F$2:$F$1869,Player_Season!$B$2:$B$1869,A413)</f>
        <v>2</v>
      </c>
      <c r="G413" s="2" t="n">
        <f aca="false">IF(E413&gt;0,F413/E413,"")</f>
        <v>0.0869565217391304</v>
      </c>
      <c r="H413" s="2" t="s">
        <v>115</v>
      </c>
    </row>
    <row r="414" customFormat="false" ht="15" hidden="false" customHeight="false" outlineLevel="0" collapsed="false">
      <c r="A414" s="2" t="s">
        <v>407</v>
      </c>
      <c r="B414" s="2" t="n">
        <v>4</v>
      </c>
      <c r="C414" s="2" t="n">
        <v>2019</v>
      </c>
      <c r="D414" s="2" t="n">
        <v>2022</v>
      </c>
      <c r="E414" s="2" t="n">
        <f aca="false">SUMIFS(Player_Season!$E$2:$E$1869,Player_Season!$B$2:$B$1869,A414)</f>
        <v>21</v>
      </c>
      <c r="F414" s="2" t="n">
        <f aca="false">SUMIFS(Player_Season!$F$2:$F$1869,Player_Season!$B$2:$B$1869,A414)</f>
        <v>2</v>
      </c>
      <c r="G414" s="2" t="n">
        <f aca="false">IF(E414&gt;0,F414/E414,"")</f>
        <v>0.0952380952380952</v>
      </c>
      <c r="H414" s="2" t="s">
        <v>409</v>
      </c>
    </row>
    <row r="415" customFormat="false" ht="15" hidden="false" customHeight="false" outlineLevel="0" collapsed="false">
      <c r="A415" s="2" t="s">
        <v>299</v>
      </c>
      <c r="B415" s="2" t="n">
        <v>2</v>
      </c>
      <c r="C415" s="2" t="n">
        <v>2022</v>
      </c>
      <c r="D415" s="2" t="n">
        <v>2023</v>
      </c>
      <c r="E415" s="2" t="n">
        <f aca="false">SUMIFS(Player_Season!$E$2:$E$1869,Player_Season!$B$2:$B$1869,A415)</f>
        <v>12</v>
      </c>
      <c r="F415" s="2" t="n">
        <f aca="false">SUMIFS(Player_Season!$F$2:$F$1869,Player_Season!$B$2:$B$1869,A415)</f>
        <v>2</v>
      </c>
      <c r="G415" s="2" t="n">
        <f aca="false">IF(E415&gt;0,F415/E415,"")</f>
        <v>0.166666666666667</v>
      </c>
      <c r="H415" s="2" t="s">
        <v>117</v>
      </c>
    </row>
    <row r="416" customFormat="false" ht="15" hidden="false" customHeight="false" outlineLevel="0" collapsed="false">
      <c r="A416" s="2" t="s">
        <v>377</v>
      </c>
      <c r="B416" s="2" t="n">
        <v>6</v>
      </c>
      <c r="C416" s="2" t="n">
        <v>2019</v>
      </c>
      <c r="D416" s="2" t="n">
        <v>2024</v>
      </c>
      <c r="E416" s="2" t="n">
        <f aca="false">SUMIFS(Player_Season!$E$2:$E$1869,Player_Season!$B$2:$B$1869,A416)</f>
        <v>19</v>
      </c>
      <c r="F416" s="2" t="n">
        <f aca="false">SUMIFS(Player_Season!$F$2:$F$1869,Player_Season!$B$2:$B$1869,A416)</f>
        <v>2</v>
      </c>
      <c r="G416" s="2" t="n">
        <f aca="false">IF(E416&gt;0,F416/E416,"")</f>
        <v>0.105263157894737</v>
      </c>
      <c r="H416" s="2" t="s">
        <v>117</v>
      </c>
    </row>
    <row r="417" customFormat="false" ht="15" hidden="false" customHeight="false" outlineLevel="0" collapsed="false">
      <c r="A417" s="2" t="s">
        <v>318</v>
      </c>
      <c r="B417" s="2" t="n">
        <v>1</v>
      </c>
      <c r="C417" s="2" t="n">
        <v>2026</v>
      </c>
      <c r="D417" s="2" t="n">
        <v>2026</v>
      </c>
      <c r="E417" s="2" t="n">
        <f aca="false">SUMIFS(Player_Season!$E$2:$E$1869,Player_Season!$B$2:$B$1869,A417)</f>
        <v>7</v>
      </c>
      <c r="F417" s="2" t="n">
        <f aca="false">SUMIFS(Player_Season!$F$2:$F$1869,Player_Season!$B$2:$B$1869,A417)</f>
        <v>2</v>
      </c>
      <c r="G417" s="2" t="n">
        <f aca="false">IF(E417&gt;0,F417/E417,"")</f>
        <v>0.285714285714286</v>
      </c>
      <c r="H417" s="2" t="s">
        <v>83</v>
      </c>
    </row>
    <row r="418" customFormat="false" ht="15" hidden="false" customHeight="false" outlineLevel="0" collapsed="false">
      <c r="A418" s="2" t="s">
        <v>351</v>
      </c>
      <c r="B418" s="2" t="n">
        <v>2</v>
      </c>
      <c r="C418" s="2" t="n">
        <v>2025</v>
      </c>
      <c r="D418" s="2" t="n">
        <v>2026</v>
      </c>
      <c r="E418" s="2" t="n">
        <f aca="false">SUMIFS(Player_Season!$E$2:$E$1869,Player_Season!$B$2:$B$1869,A418)</f>
        <v>2</v>
      </c>
      <c r="F418" s="2" t="n">
        <f aca="false">SUMIFS(Player_Season!$F$2:$F$1869,Player_Season!$B$2:$B$1869,A418)</f>
        <v>2</v>
      </c>
      <c r="G418" s="2" t="n">
        <f aca="false">IF(E418&gt;0,F418/E418,"")</f>
        <v>1</v>
      </c>
      <c r="H418" s="2" t="s">
        <v>24</v>
      </c>
    </row>
    <row r="419" customFormat="false" ht="15" hidden="false" customHeight="false" outlineLevel="0" collapsed="false">
      <c r="A419" s="2" t="s">
        <v>531</v>
      </c>
      <c r="B419" s="2" t="n">
        <v>2</v>
      </c>
      <c r="C419" s="2" t="n">
        <v>2020</v>
      </c>
      <c r="D419" s="2" t="n">
        <v>2021</v>
      </c>
      <c r="E419" s="2" t="n">
        <f aca="false">SUMIFS(Player_Season!$E$2:$E$1869,Player_Season!$B$2:$B$1869,A419)</f>
        <v>7</v>
      </c>
      <c r="F419" s="2" t="n">
        <f aca="false">SUMIFS(Player_Season!$F$2:$F$1869,Player_Season!$B$2:$B$1869,A419)</f>
        <v>2</v>
      </c>
      <c r="G419" s="2" t="n">
        <f aca="false">IF(E419&gt;0,F419/E419,"")</f>
        <v>0.285714285714286</v>
      </c>
      <c r="H419" s="2" t="s">
        <v>117</v>
      </c>
    </row>
    <row r="420" customFormat="false" ht="15" hidden="false" customHeight="false" outlineLevel="0" collapsed="false">
      <c r="A420" s="2" t="s">
        <v>538</v>
      </c>
      <c r="B420" s="2" t="n">
        <v>1</v>
      </c>
      <c r="C420" s="2" t="n">
        <v>2020</v>
      </c>
      <c r="D420" s="2" t="n">
        <v>2020</v>
      </c>
      <c r="E420" s="2" t="n">
        <f aca="false">SUMIFS(Player_Season!$E$2:$E$1869,Player_Season!$B$2:$B$1869,A420)</f>
        <v>5</v>
      </c>
      <c r="F420" s="2" t="n">
        <f aca="false">SUMIFS(Player_Season!$F$2:$F$1869,Player_Season!$B$2:$B$1869,A420)</f>
        <v>2</v>
      </c>
      <c r="G420" s="2" t="n">
        <f aca="false">IF(E420&gt;0,F420/E420,"")</f>
        <v>0.4</v>
      </c>
      <c r="H420" s="2" t="s">
        <v>29</v>
      </c>
    </row>
    <row r="421" customFormat="false" ht="15" hidden="false" customHeight="false" outlineLevel="0" collapsed="false">
      <c r="A421" s="2" t="s">
        <v>352</v>
      </c>
      <c r="B421" s="2" t="n">
        <v>2</v>
      </c>
      <c r="C421" s="2" t="n">
        <v>2023</v>
      </c>
      <c r="D421" s="2" t="n">
        <v>2024</v>
      </c>
      <c r="E421" s="2" t="n">
        <f aca="false">SUMIFS(Player_Season!$E$2:$E$1869,Player_Season!$B$2:$B$1869,A421)</f>
        <v>8</v>
      </c>
      <c r="F421" s="2" t="n">
        <f aca="false">SUMIFS(Player_Season!$F$2:$F$1869,Player_Season!$B$2:$B$1869,A421)</f>
        <v>1</v>
      </c>
      <c r="G421" s="2" t="n">
        <f aca="false">IF(E421&gt;0,F421/E421,"")</f>
        <v>0.125</v>
      </c>
      <c r="H421" s="2" t="s">
        <v>115</v>
      </c>
    </row>
    <row r="422" customFormat="false" ht="15" hidden="false" customHeight="false" outlineLevel="0" collapsed="false">
      <c r="A422" s="2" t="s">
        <v>332</v>
      </c>
      <c r="B422" s="2" t="n">
        <v>2</v>
      </c>
      <c r="C422" s="2" t="n">
        <v>2025</v>
      </c>
      <c r="D422" s="2" t="n">
        <v>2026</v>
      </c>
      <c r="E422" s="2" t="n">
        <f aca="false">SUMIFS(Player_Season!$E$2:$E$1869,Player_Season!$B$2:$B$1869,A422)</f>
        <v>4</v>
      </c>
      <c r="F422" s="2" t="n">
        <f aca="false">SUMIFS(Player_Season!$F$2:$F$1869,Player_Season!$B$2:$B$1869,A422)</f>
        <v>1</v>
      </c>
      <c r="G422" s="2" t="n">
        <f aca="false">IF(E422&gt;0,F422/E422,"")</f>
        <v>0.25</v>
      </c>
      <c r="H422" s="2" t="s">
        <v>117</v>
      </c>
    </row>
    <row r="423" customFormat="false" ht="15" hidden="false" customHeight="false" outlineLevel="0" collapsed="false">
      <c r="A423" s="2" t="s">
        <v>417</v>
      </c>
      <c r="B423" s="2" t="n">
        <v>1</v>
      </c>
      <c r="C423" s="2" t="n">
        <v>2019</v>
      </c>
      <c r="D423" s="2" t="n">
        <v>2019</v>
      </c>
      <c r="E423" s="2" t="n">
        <f aca="false">SUMIFS(Player_Season!$E$2:$E$1869,Player_Season!$B$2:$B$1869,A423)</f>
        <v>2</v>
      </c>
      <c r="F423" s="2" t="n">
        <f aca="false">SUMIFS(Player_Season!$F$2:$F$1869,Player_Season!$B$2:$B$1869,A423)</f>
        <v>1</v>
      </c>
      <c r="G423" s="2" t="n">
        <f aca="false">IF(E423&gt;0,F423/E423,"")</f>
        <v>0.5</v>
      </c>
      <c r="H423" s="2" t="s">
        <v>24</v>
      </c>
    </row>
    <row r="424" customFormat="false" ht="15" hidden="false" customHeight="false" outlineLevel="0" collapsed="false">
      <c r="A424" s="2" t="s">
        <v>563</v>
      </c>
      <c r="B424" s="2" t="n">
        <v>1</v>
      </c>
      <c r="C424" s="2" t="n">
        <v>2021</v>
      </c>
      <c r="D424" s="2" t="n">
        <v>2021</v>
      </c>
      <c r="E424" s="2" t="n">
        <f aca="false">SUMIFS(Player_Season!$E$2:$E$1869,Player_Season!$B$2:$B$1869,A424)</f>
        <v>1</v>
      </c>
      <c r="F424" s="2" t="n">
        <f aca="false">SUMIFS(Player_Season!$F$2:$F$1869,Player_Season!$B$2:$B$1869,A424)</f>
        <v>1</v>
      </c>
      <c r="G424" s="2" t="n">
        <f aca="false">IF(E424&gt;0,F424/E424,"")</f>
        <v>1</v>
      </c>
      <c r="H424" s="2" t="s">
        <v>413</v>
      </c>
    </row>
    <row r="425" customFormat="false" ht="15" hidden="false" customHeight="false" outlineLevel="0" collapsed="false">
      <c r="A425" s="2" t="s">
        <v>438</v>
      </c>
      <c r="B425" s="2" t="n">
        <v>1</v>
      </c>
      <c r="C425" s="2" t="n">
        <v>2019</v>
      </c>
      <c r="D425" s="2" t="n">
        <v>2019</v>
      </c>
      <c r="E425" s="2" t="n">
        <f aca="false">SUMIFS(Player_Season!$E$2:$E$1869,Player_Season!$B$2:$B$1869,A425)</f>
        <v>6</v>
      </c>
      <c r="F425" s="2" t="n">
        <f aca="false">SUMIFS(Player_Season!$F$2:$F$1869,Player_Season!$B$2:$B$1869,A425)</f>
        <v>1</v>
      </c>
      <c r="G425" s="2" t="n">
        <f aca="false">IF(E425&gt;0,F425/E425,"")</f>
        <v>0.166666666666667</v>
      </c>
      <c r="H425" s="2" t="s">
        <v>117</v>
      </c>
    </row>
    <row r="426" customFormat="false" ht="15" hidden="false" customHeight="false" outlineLevel="0" collapsed="false">
      <c r="A426" s="2" t="s">
        <v>335</v>
      </c>
      <c r="B426" s="2" t="n">
        <v>1</v>
      </c>
      <c r="C426" s="2" t="n">
        <v>2022</v>
      </c>
      <c r="D426" s="2" t="n">
        <v>2022</v>
      </c>
      <c r="E426" s="2" t="n">
        <f aca="false">SUMIFS(Player_Season!$E$2:$E$1869,Player_Season!$B$2:$B$1869,A426)</f>
        <v>5</v>
      </c>
      <c r="F426" s="2" t="n">
        <f aca="false">SUMIFS(Player_Season!$F$2:$F$1869,Player_Season!$B$2:$B$1869,A426)</f>
        <v>1</v>
      </c>
      <c r="G426" s="2" t="n">
        <f aca="false">IF(E426&gt;0,F426/E426,"")</f>
        <v>0.2</v>
      </c>
      <c r="H426" s="2" t="s">
        <v>83</v>
      </c>
    </row>
    <row r="427" customFormat="false" ht="15" hidden="false" customHeight="false" outlineLevel="0" collapsed="false">
      <c r="A427" s="2" t="s">
        <v>375</v>
      </c>
      <c r="B427" s="2" t="n">
        <v>2</v>
      </c>
      <c r="C427" s="2" t="n">
        <v>2025</v>
      </c>
      <c r="D427" s="2" t="n">
        <v>2026</v>
      </c>
      <c r="E427" s="2" t="n">
        <f aca="false">SUMIFS(Player_Season!$E$2:$E$1869,Player_Season!$B$2:$B$1869,A427)</f>
        <v>3</v>
      </c>
      <c r="F427" s="2" t="n">
        <f aca="false">SUMIFS(Player_Season!$F$2:$F$1869,Player_Season!$B$2:$B$1869,A427)</f>
        <v>1</v>
      </c>
      <c r="G427" s="2" t="n">
        <f aca="false">IF(E427&gt;0,F427/E427,"")</f>
        <v>0.333333333333333</v>
      </c>
      <c r="H427" s="2" t="s">
        <v>117</v>
      </c>
    </row>
    <row r="428" customFormat="false" ht="15" hidden="false" customHeight="false" outlineLevel="0" collapsed="false">
      <c r="A428" s="2" t="s">
        <v>311</v>
      </c>
      <c r="B428" s="2" t="n">
        <v>1</v>
      </c>
      <c r="C428" s="2" t="n">
        <v>2026</v>
      </c>
      <c r="D428" s="2" t="n">
        <v>2026</v>
      </c>
      <c r="E428" s="2" t="n">
        <f aca="false">SUMIFS(Player_Season!$E$2:$E$1869,Player_Season!$B$2:$B$1869,A428)</f>
        <v>8</v>
      </c>
      <c r="F428" s="2" t="n">
        <f aca="false">SUMIFS(Player_Season!$F$2:$F$1869,Player_Season!$B$2:$B$1869,A428)</f>
        <v>1</v>
      </c>
      <c r="G428" s="2" t="n">
        <f aca="false">IF(E428&gt;0,F428/E428,"")</f>
        <v>0.125</v>
      </c>
      <c r="H428" s="2" t="s">
        <v>83</v>
      </c>
    </row>
    <row r="429" customFormat="false" ht="15" hidden="false" customHeight="false" outlineLevel="0" collapsed="false">
      <c r="A429" s="2" t="s">
        <v>341</v>
      </c>
      <c r="B429" s="2" t="n">
        <v>1</v>
      </c>
      <c r="C429" s="2" t="n">
        <v>2026</v>
      </c>
      <c r="D429" s="2" t="n">
        <v>2026</v>
      </c>
      <c r="E429" s="2" t="n">
        <f aca="false">SUMIFS(Player_Season!$E$2:$E$1869,Player_Season!$B$2:$B$1869,A429)</f>
        <v>5</v>
      </c>
      <c r="F429" s="2" t="n">
        <f aca="false">SUMIFS(Player_Season!$F$2:$F$1869,Player_Season!$B$2:$B$1869,A429)</f>
        <v>1</v>
      </c>
      <c r="G429" s="2" t="n">
        <f aca="false">IF(E429&gt;0,F429/E429,"")</f>
        <v>0.2</v>
      </c>
      <c r="H429" s="2" t="s">
        <v>117</v>
      </c>
    </row>
    <row r="430" customFormat="false" ht="15" hidden="false" customHeight="false" outlineLevel="0" collapsed="false">
      <c r="A430" s="2" t="s">
        <v>306</v>
      </c>
      <c r="B430" s="2" t="n">
        <v>2</v>
      </c>
      <c r="C430" s="2" t="n">
        <v>2025</v>
      </c>
      <c r="D430" s="2" t="n">
        <v>2026</v>
      </c>
      <c r="E430" s="2" t="n">
        <f aca="false">SUMIFS(Player_Season!$E$2:$E$1869,Player_Season!$B$2:$B$1869,A430)</f>
        <v>12</v>
      </c>
      <c r="F430" s="2" t="n">
        <f aca="false">SUMIFS(Player_Season!$F$2:$F$1869,Player_Season!$B$2:$B$1869,A430)</f>
        <v>1</v>
      </c>
      <c r="G430" s="2" t="n">
        <f aca="false">IF(E430&gt;0,F430/E430,"")</f>
        <v>0.0833333333333333</v>
      </c>
      <c r="H430" s="2" t="s">
        <v>117</v>
      </c>
    </row>
    <row r="431" customFormat="false" ht="15" hidden="false" customHeight="false" outlineLevel="0" collapsed="false">
      <c r="A431" s="2" t="s">
        <v>517</v>
      </c>
      <c r="B431" s="2" t="n">
        <v>1</v>
      </c>
      <c r="C431" s="2" t="n">
        <v>2019</v>
      </c>
      <c r="D431" s="2" t="n">
        <v>2019</v>
      </c>
      <c r="E431" s="2" t="n">
        <f aca="false">SUMIFS(Player_Season!$E$2:$E$1869,Player_Season!$B$2:$B$1869,A431)</f>
        <v>1</v>
      </c>
      <c r="F431" s="2" t="n">
        <f aca="false">SUMIFS(Player_Season!$F$2:$F$1869,Player_Season!$B$2:$B$1869,A431)</f>
        <v>1</v>
      </c>
      <c r="G431" s="2" t="n">
        <f aca="false">IF(E431&gt;0,F431/E431,"")</f>
        <v>1</v>
      </c>
      <c r="H431" s="2" t="s">
        <v>29</v>
      </c>
    </row>
    <row r="432" customFormat="false" ht="15" hidden="false" customHeight="false" outlineLevel="0" collapsed="false">
      <c r="A432" s="2" t="s">
        <v>595</v>
      </c>
      <c r="B432" s="2" t="n">
        <v>5</v>
      </c>
      <c r="C432" s="2" t="n">
        <v>2022</v>
      </c>
      <c r="D432" s="2" t="n">
        <v>2026</v>
      </c>
      <c r="E432" s="2" t="n">
        <f aca="false">SUMIFS(Player_Season!$E$2:$E$1869,Player_Season!$B$2:$B$1869,A432)</f>
        <v>19</v>
      </c>
      <c r="F432" s="2" t="n">
        <f aca="false">SUMIFS(Player_Season!$F$2:$F$1869,Player_Season!$B$2:$B$1869,A432)</f>
        <v>1</v>
      </c>
      <c r="G432" s="2" t="n">
        <f aca="false">IF(E432&gt;0,F432/E432,"")</f>
        <v>0.0526315789473684</v>
      </c>
      <c r="H432" s="2" t="s">
        <v>409</v>
      </c>
    </row>
    <row r="433" customFormat="false" ht="15" hidden="false" customHeight="false" outlineLevel="0" collapsed="false">
      <c r="A433" s="2" t="s">
        <v>355</v>
      </c>
      <c r="B433" s="2" t="n">
        <v>1</v>
      </c>
      <c r="C433" s="2" t="n">
        <v>2026</v>
      </c>
      <c r="D433" s="2" t="n">
        <v>2026</v>
      </c>
      <c r="E433" s="2" t="n">
        <f aca="false">SUMIFS(Player_Season!$E$2:$E$1869,Player_Season!$B$2:$B$1869,A433)</f>
        <v>2</v>
      </c>
      <c r="F433" s="2" t="n">
        <f aca="false">SUMIFS(Player_Season!$F$2:$F$1869,Player_Season!$B$2:$B$1869,A433)</f>
        <v>1</v>
      </c>
      <c r="G433" s="2" t="n">
        <f aca="false">IF(E433&gt;0,F433/E433,"")</f>
        <v>0.5</v>
      </c>
      <c r="H433" s="2" t="s">
        <v>117</v>
      </c>
    </row>
    <row r="434" customFormat="false" ht="15" hidden="false" customHeight="false" outlineLevel="0" collapsed="false">
      <c r="A434" s="2" t="s">
        <v>255</v>
      </c>
      <c r="B434" s="2" t="n">
        <v>6</v>
      </c>
      <c r="C434" s="2" t="n">
        <v>2021</v>
      </c>
      <c r="D434" s="2" t="n">
        <v>2026</v>
      </c>
      <c r="E434" s="2" t="n">
        <f aca="false">SUMIFS(Player_Season!$E$2:$E$1869,Player_Season!$B$2:$B$1869,A434)</f>
        <v>37</v>
      </c>
      <c r="F434" s="2" t="n">
        <f aca="false">SUMIFS(Player_Season!$F$2:$F$1869,Player_Season!$B$2:$B$1869,A434)</f>
        <v>1</v>
      </c>
      <c r="G434" s="2" t="n">
        <f aca="false">IF(E434&gt;0,F434/E434,"")</f>
        <v>0.027027027027027</v>
      </c>
      <c r="H434" s="2" t="s">
        <v>117</v>
      </c>
    </row>
    <row r="435" customFormat="false" ht="15" hidden="false" customHeight="false" outlineLevel="0" collapsed="false">
      <c r="A435" s="2" t="s">
        <v>345</v>
      </c>
      <c r="B435" s="2" t="n">
        <v>1</v>
      </c>
      <c r="C435" s="2" t="n">
        <v>2026</v>
      </c>
      <c r="D435" s="2" t="n">
        <v>2026</v>
      </c>
      <c r="E435" s="2" t="n">
        <f aca="false">SUMIFS(Player_Season!$E$2:$E$1869,Player_Season!$B$2:$B$1869,A435)</f>
        <v>6</v>
      </c>
      <c r="F435" s="2" t="n">
        <f aca="false">SUMIFS(Player_Season!$F$2:$F$1869,Player_Season!$B$2:$B$1869,A435)</f>
        <v>1</v>
      </c>
      <c r="G435" s="2" t="n">
        <f aca="false">IF(E435&gt;0,F435/E435,"")</f>
        <v>0.166666666666667</v>
      </c>
      <c r="H435" s="2" t="s">
        <v>83</v>
      </c>
    </row>
    <row r="436" customFormat="false" ht="15" hidden="false" customHeight="false" outlineLevel="0" collapsed="false">
      <c r="A436" s="2" t="s">
        <v>501</v>
      </c>
      <c r="B436" s="2" t="n">
        <v>4</v>
      </c>
      <c r="C436" s="2" t="n">
        <v>2019</v>
      </c>
      <c r="D436" s="2" t="n">
        <v>2022</v>
      </c>
      <c r="E436" s="2" t="n">
        <f aca="false">SUMIFS(Player_Season!$E$2:$E$1869,Player_Season!$B$2:$B$1869,A436)</f>
        <v>19</v>
      </c>
      <c r="F436" s="2" t="n">
        <f aca="false">SUMIFS(Player_Season!$F$2:$F$1869,Player_Season!$B$2:$B$1869,A436)</f>
        <v>1</v>
      </c>
      <c r="G436" s="2" t="n">
        <f aca="false">IF(E436&gt;0,F436/E436,"")</f>
        <v>0.0526315789473684</v>
      </c>
      <c r="H436" s="2" t="s">
        <v>409</v>
      </c>
    </row>
    <row r="437" customFormat="false" ht="15" hidden="false" customHeight="false" outlineLevel="0" collapsed="false">
      <c r="A437" s="2" t="s">
        <v>571</v>
      </c>
      <c r="B437" s="2" t="n">
        <v>3</v>
      </c>
      <c r="C437" s="2" t="n">
        <v>2021</v>
      </c>
      <c r="D437" s="2" t="n">
        <v>2023</v>
      </c>
      <c r="E437" s="2" t="n">
        <f aca="false">SUMIFS(Player_Season!$E$2:$E$1869,Player_Season!$B$2:$B$1869,A437)</f>
        <v>6</v>
      </c>
      <c r="F437" s="2" t="n">
        <f aca="false">SUMIFS(Player_Season!$F$2:$F$1869,Player_Season!$B$2:$B$1869,A437)</f>
        <v>1</v>
      </c>
      <c r="G437" s="2" t="n">
        <f aca="false">IF(E437&gt;0,F437/E437,"")</f>
        <v>0.166666666666667</v>
      </c>
      <c r="H437" s="2" t="s">
        <v>115</v>
      </c>
    </row>
    <row r="438" customFormat="false" ht="15" hidden="false" customHeight="false" outlineLevel="0" collapsed="false">
      <c r="A438" s="2" t="s">
        <v>554</v>
      </c>
      <c r="B438" s="2" t="n">
        <v>4</v>
      </c>
      <c r="C438" s="2" t="n">
        <v>2021</v>
      </c>
      <c r="D438" s="2" t="n">
        <v>2024</v>
      </c>
      <c r="E438" s="2" t="n">
        <f aca="false">SUMIFS(Player_Season!$E$2:$E$1869,Player_Season!$B$2:$B$1869,A438)</f>
        <v>2</v>
      </c>
      <c r="F438" s="2" t="n">
        <f aca="false">SUMIFS(Player_Season!$F$2:$F$1869,Player_Season!$B$2:$B$1869,A438)</f>
        <v>1</v>
      </c>
      <c r="G438" s="2" t="n">
        <f aca="false">IF(E438&gt;0,F438/E438,"")</f>
        <v>0.5</v>
      </c>
      <c r="H438" s="2" t="s">
        <v>413</v>
      </c>
    </row>
    <row r="439" customFormat="false" ht="15" hidden="false" customHeight="false" outlineLevel="0" collapsed="false">
      <c r="A439" s="2" t="s">
        <v>454</v>
      </c>
      <c r="B439" s="2" t="n">
        <v>3</v>
      </c>
      <c r="C439" s="2" t="n">
        <v>2019</v>
      </c>
      <c r="D439" s="2" t="n">
        <v>2021</v>
      </c>
      <c r="E439" s="2" t="n">
        <f aca="false">SUMIFS(Player_Season!$E$2:$E$1869,Player_Season!$B$2:$B$1869,A439)</f>
        <v>6</v>
      </c>
      <c r="F439" s="2" t="n">
        <f aca="false">SUMIFS(Player_Season!$F$2:$F$1869,Player_Season!$B$2:$B$1869,A439)</f>
        <v>1</v>
      </c>
      <c r="G439" s="2" t="n">
        <f aca="false">IF(E439&gt;0,F439/E439,"")</f>
        <v>0.166666666666667</v>
      </c>
      <c r="H439" s="2" t="s">
        <v>115</v>
      </c>
    </row>
    <row r="440" customFormat="false" ht="15" hidden="false" customHeight="false" outlineLevel="0" collapsed="false">
      <c r="A440" s="2" t="s">
        <v>366</v>
      </c>
      <c r="B440" s="2" t="n">
        <v>4</v>
      </c>
      <c r="C440" s="2" t="n">
        <v>2023</v>
      </c>
      <c r="D440" s="2" t="n">
        <v>2026</v>
      </c>
      <c r="E440" s="2" t="n">
        <f aca="false">SUMIFS(Player_Season!$E$2:$E$1869,Player_Season!$B$2:$B$1869,A440)</f>
        <v>3</v>
      </c>
      <c r="F440" s="2" t="n">
        <f aca="false">SUMIFS(Player_Season!$F$2:$F$1869,Player_Season!$B$2:$B$1869,A440)</f>
        <v>1</v>
      </c>
      <c r="G440" s="2" t="n">
        <f aca="false">IF(E440&gt;0,F440/E440,"")</f>
        <v>0.333333333333333</v>
      </c>
      <c r="H440" s="2" t="s">
        <v>115</v>
      </c>
    </row>
    <row r="441" customFormat="false" ht="15" hidden="false" customHeight="false" outlineLevel="0" collapsed="false">
      <c r="A441" s="2" t="s">
        <v>480</v>
      </c>
      <c r="B441" s="2" t="n">
        <v>2</v>
      </c>
      <c r="C441" s="2" t="n">
        <v>2019</v>
      </c>
      <c r="D441" s="2" t="n">
        <v>2022</v>
      </c>
      <c r="E441" s="2" t="n">
        <f aca="false">SUMIFS(Player_Season!$E$2:$E$1869,Player_Season!$B$2:$B$1869,A441)</f>
        <v>3</v>
      </c>
      <c r="F441" s="2" t="n">
        <f aca="false">SUMIFS(Player_Season!$F$2:$F$1869,Player_Season!$B$2:$B$1869,A441)</f>
        <v>1</v>
      </c>
      <c r="G441" s="2" t="n">
        <f aca="false">IF(E441&gt;0,F441/E441,"")</f>
        <v>0.333333333333333</v>
      </c>
      <c r="H441" s="2" t="s">
        <v>413</v>
      </c>
    </row>
    <row r="442" customFormat="false" ht="15" hidden="false" customHeight="false" outlineLevel="0" collapsed="false">
      <c r="A442" s="2" t="s">
        <v>353</v>
      </c>
      <c r="B442" s="2" t="n">
        <v>1</v>
      </c>
      <c r="C442" s="2" t="n">
        <v>2026</v>
      </c>
      <c r="D442" s="2" t="n">
        <v>2026</v>
      </c>
      <c r="E442" s="2" t="n">
        <f aca="false">SUMIFS(Player_Season!$E$2:$E$1869,Player_Season!$B$2:$B$1869,A442)</f>
        <v>4</v>
      </c>
      <c r="F442" s="2" t="n">
        <f aca="false">SUMIFS(Player_Season!$F$2:$F$1869,Player_Season!$B$2:$B$1869,A442)</f>
        <v>1</v>
      </c>
      <c r="G442" s="2" t="n">
        <f aca="false">IF(E442&gt;0,F442/E442,"")</f>
        <v>0.25</v>
      </c>
      <c r="H442" s="2" t="s">
        <v>117</v>
      </c>
    </row>
    <row r="443" customFormat="false" ht="15" hidden="false" customHeight="false" outlineLevel="0" collapsed="false">
      <c r="A443" s="2" t="s">
        <v>378</v>
      </c>
      <c r="B443" s="2" t="n">
        <v>1</v>
      </c>
      <c r="C443" s="2" t="n">
        <v>2026</v>
      </c>
      <c r="D443" s="2" t="n">
        <v>2026</v>
      </c>
      <c r="E443" s="2" t="n">
        <f aca="false">SUMIFS(Player_Season!$E$2:$E$1869,Player_Season!$B$2:$B$1869,A443)</f>
        <v>1</v>
      </c>
      <c r="F443" s="2" t="n">
        <f aca="false">SUMIFS(Player_Season!$F$2:$F$1869,Player_Season!$B$2:$B$1869,A443)</f>
        <v>1</v>
      </c>
      <c r="G443" s="2" t="n">
        <f aca="false">IF(E443&gt;0,F443/E443,"")</f>
        <v>1</v>
      </c>
      <c r="H443" s="2" t="s">
        <v>83</v>
      </c>
    </row>
    <row r="444" customFormat="false" ht="15" hidden="false" customHeight="false" outlineLevel="0" collapsed="false">
      <c r="A444" s="2" t="s">
        <v>371</v>
      </c>
      <c r="B444" s="2" t="n">
        <v>1</v>
      </c>
      <c r="C444" s="2" t="n">
        <v>2026</v>
      </c>
      <c r="D444" s="2" t="n">
        <v>2026</v>
      </c>
      <c r="E444" s="2" t="n">
        <f aca="false">SUMIFS(Player_Season!$E$2:$E$1869,Player_Season!$B$2:$B$1869,A444)</f>
        <v>2</v>
      </c>
      <c r="F444" s="2" t="n">
        <f aca="false">SUMIFS(Player_Season!$F$2:$F$1869,Player_Season!$B$2:$B$1869,A444)</f>
        <v>1</v>
      </c>
      <c r="G444" s="2" t="n">
        <f aca="false">IF(E444&gt;0,F444/E444,"")</f>
        <v>0.5</v>
      </c>
      <c r="H444" s="2" t="s">
        <v>83</v>
      </c>
    </row>
    <row r="445" customFormat="false" ht="15" hidden="false" customHeight="false" outlineLevel="0" collapsed="false">
      <c r="A445" s="2" t="s">
        <v>344</v>
      </c>
      <c r="B445" s="2" t="n">
        <v>4</v>
      </c>
      <c r="C445" s="2" t="n">
        <v>2020</v>
      </c>
      <c r="D445" s="2" t="n">
        <v>2023</v>
      </c>
      <c r="E445" s="2" t="n">
        <f aca="false">SUMIFS(Player_Season!$E$2:$E$1869,Player_Season!$B$2:$B$1869,A445)</f>
        <v>23</v>
      </c>
      <c r="F445" s="2" t="n">
        <f aca="false">SUMIFS(Player_Season!$F$2:$F$1869,Player_Season!$B$2:$B$1869,A445)</f>
        <v>1</v>
      </c>
      <c r="G445" s="2" t="n">
        <f aca="false">IF(E445&gt;0,F445/E445,"")</f>
        <v>0.0434782608695652</v>
      </c>
      <c r="H445" s="2" t="s">
        <v>117</v>
      </c>
    </row>
    <row r="446" customFormat="false" ht="15" hidden="false" customHeight="false" outlineLevel="0" collapsed="false">
      <c r="A446" s="2" t="s">
        <v>373</v>
      </c>
      <c r="B446" s="2" t="n">
        <v>2</v>
      </c>
      <c r="C446" s="2" t="n">
        <v>2022</v>
      </c>
      <c r="D446" s="2" t="n">
        <v>2023</v>
      </c>
      <c r="E446" s="2" t="n">
        <f aca="false">SUMIFS(Player_Season!$E$2:$E$1869,Player_Season!$B$2:$B$1869,A446)</f>
        <v>2</v>
      </c>
      <c r="F446" s="2" t="n">
        <f aca="false">SUMIFS(Player_Season!$F$2:$F$1869,Player_Season!$B$2:$B$1869,A446)</f>
        <v>1</v>
      </c>
      <c r="G446" s="2" t="n">
        <f aca="false">IF(E446&gt;0,F446/E446,"")</f>
        <v>0.5</v>
      </c>
      <c r="H446" s="2" t="s">
        <v>115</v>
      </c>
    </row>
    <row r="447" customFormat="false" ht="15" hidden="false" customHeight="false" outlineLevel="0" collapsed="false">
      <c r="A447" s="2" t="s">
        <v>535</v>
      </c>
      <c r="B447" s="2" t="n">
        <v>2</v>
      </c>
      <c r="C447" s="2" t="n">
        <v>2020</v>
      </c>
      <c r="D447" s="2" t="n">
        <v>2021</v>
      </c>
      <c r="E447" s="2" t="n">
        <f aca="false">SUMIFS(Player_Season!$E$2:$E$1869,Player_Season!$B$2:$B$1869,A447)</f>
        <v>6</v>
      </c>
      <c r="F447" s="2" t="n">
        <f aca="false">SUMIFS(Player_Season!$F$2:$F$1869,Player_Season!$B$2:$B$1869,A447)</f>
        <v>1</v>
      </c>
      <c r="G447" s="2" t="n">
        <f aca="false">IF(E447&gt;0,F447/E447,"")</f>
        <v>0.166666666666667</v>
      </c>
      <c r="H447" s="2" t="s">
        <v>413</v>
      </c>
    </row>
    <row r="448" customFormat="false" ht="15" hidden="false" customHeight="false" outlineLevel="0" collapsed="false">
      <c r="A448" s="2" t="s">
        <v>350</v>
      </c>
      <c r="B448" s="2" t="n">
        <v>3</v>
      </c>
      <c r="C448" s="2" t="n">
        <v>2024</v>
      </c>
      <c r="D448" s="2" t="n">
        <v>2026</v>
      </c>
      <c r="E448" s="2" t="n">
        <f aca="false">SUMIFS(Player_Season!$E$2:$E$1869,Player_Season!$B$2:$B$1869,A448)</f>
        <v>1</v>
      </c>
      <c r="F448" s="2" t="n">
        <f aca="false">SUMIFS(Player_Season!$F$2:$F$1869,Player_Season!$B$2:$B$1869,A448)</f>
        <v>1</v>
      </c>
      <c r="G448" s="2" t="n">
        <f aca="false">IF(E448&gt;0,F448/E448,"")</f>
        <v>1</v>
      </c>
      <c r="H448" s="2" t="s">
        <v>24</v>
      </c>
    </row>
    <row r="449" customFormat="false" ht="15" hidden="false" customHeight="false" outlineLevel="0" collapsed="false">
      <c r="A449" s="2" t="s">
        <v>376</v>
      </c>
      <c r="B449" s="2" t="n">
        <v>1</v>
      </c>
      <c r="C449" s="2" t="n">
        <v>2026</v>
      </c>
      <c r="D449" s="2" t="n">
        <v>2026</v>
      </c>
      <c r="E449" s="2" t="n">
        <f aca="false">SUMIFS(Player_Season!$E$2:$E$1869,Player_Season!$B$2:$B$1869,A449)</f>
        <v>1</v>
      </c>
      <c r="F449" s="2" t="n">
        <f aca="false">SUMIFS(Player_Season!$F$2:$F$1869,Player_Season!$B$2:$B$1869,A449)</f>
        <v>1</v>
      </c>
      <c r="G449" s="2" t="n">
        <f aca="false">IF(E449&gt;0,F449/E449,"")</f>
        <v>1</v>
      </c>
      <c r="H449" s="2" t="s">
        <v>83</v>
      </c>
    </row>
    <row r="450" customFormat="false" ht="15" hidden="false" customHeight="false" outlineLevel="0" collapsed="false">
      <c r="A450" s="2" t="s">
        <v>640</v>
      </c>
      <c r="B450" s="2" t="n">
        <v>2</v>
      </c>
      <c r="C450" s="2" t="n">
        <v>2025</v>
      </c>
      <c r="D450" s="2" t="n">
        <v>2026</v>
      </c>
      <c r="E450" s="2" t="n">
        <f aca="false">SUMIFS(Player_Season!$E$2:$E$1869,Player_Season!$B$2:$B$1869,A450)</f>
        <v>5</v>
      </c>
      <c r="F450" s="2" t="n">
        <f aca="false">SUMIFS(Player_Season!$F$2:$F$1869,Player_Season!$B$2:$B$1869,A450)</f>
        <v>1</v>
      </c>
      <c r="G450" s="2" t="n">
        <f aca="false">IF(E450&gt;0,F450/E450,"")</f>
        <v>0.2</v>
      </c>
      <c r="H450" s="2" t="s">
        <v>409</v>
      </c>
    </row>
    <row r="451" customFormat="false" ht="15" hidden="false" customHeight="false" outlineLevel="0" collapsed="false">
      <c r="A451" s="2" t="s">
        <v>526</v>
      </c>
      <c r="B451" s="2" t="n">
        <v>1</v>
      </c>
      <c r="C451" s="2" t="n">
        <v>2020</v>
      </c>
      <c r="D451" s="2" t="n">
        <v>2020</v>
      </c>
      <c r="E451" s="2" t="n">
        <f aca="false">SUMIFS(Player_Season!$E$2:$E$1869,Player_Season!$B$2:$B$1869,A451)</f>
        <v>5</v>
      </c>
      <c r="F451" s="2" t="n">
        <f aca="false">SUMIFS(Player_Season!$F$2:$F$1869,Player_Season!$B$2:$B$1869,A451)</f>
        <v>1</v>
      </c>
      <c r="G451" s="2" t="n">
        <f aca="false">IF(E451&gt;0,F451/E451,"")</f>
        <v>0.2</v>
      </c>
      <c r="H451" s="2" t="s">
        <v>413</v>
      </c>
    </row>
    <row r="452" customFormat="false" ht="15" hidden="false" customHeight="false" outlineLevel="0" collapsed="false">
      <c r="A452" s="2" t="s">
        <v>334</v>
      </c>
      <c r="B452" s="2" t="n">
        <v>1</v>
      </c>
      <c r="C452" s="2" t="n">
        <v>2026</v>
      </c>
      <c r="D452" s="2" t="n">
        <v>2026</v>
      </c>
      <c r="E452" s="2" t="n">
        <f aca="false">SUMIFS(Player_Season!$E$2:$E$1869,Player_Season!$B$2:$B$1869,A452)</f>
        <v>9</v>
      </c>
      <c r="F452" s="2" t="n">
        <f aca="false">SUMIFS(Player_Season!$F$2:$F$1869,Player_Season!$B$2:$B$1869,A452)</f>
        <v>1</v>
      </c>
      <c r="G452" s="2" t="n">
        <f aca="false">IF(E452&gt;0,F452/E452,"")</f>
        <v>0.111111111111111</v>
      </c>
      <c r="H452" s="2" t="s">
        <v>115</v>
      </c>
    </row>
    <row r="453" customFormat="false" ht="15" hidden="false" customHeight="false" outlineLevel="0" collapsed="false">
      <c r="A453" s="2" t="s">
        <v>473</v>
      </c>
      <c r="B453" s="2" t="n">
        <v>2</v>
      </c>
      <c r="C453" s="2" t="n">
        <v>2019</v>
      </c>
      <c r="D453" s="2" t="n">
        <v>2020</v>
      </c>
      <c r="E453" s="2" t="n">
        <f aca="false">SUMIFS(Player_Season!$E$2:$E$1869,Player_Season!$B$2:$B$1869,A453)</f>
        <v>12</v>
      </c>
      <c r="F453" s="2" t="n">
        <f aca="false">SUMIFS(Player_Season!$F$2:$F$1869,Player_Season!$B$2:$B$1869,A453)</f>
        <v>1</v>
      </c>
      <c r="G453" s="2" t="n">
        <f aca="false">IF(E453&gt;0,F453/E453,"")</f>
        <v>0.0833333333333333</v>
      </c>
      <c r="H453" s="2" t="s">
        <v>115</v>
      </c>
    </row>
    <row r="454" customFormat="false" ht="15" hidden="false" customHeight="false" outlineLevel="0" collapsed="false">
      <c r="A454" s="2" t="s">
        <v>312</v>
      </c>
      <c r="B454" s="2" t="n">
        <v>1</v>
      </c>
      <c r="C454" s="2" t="n">
        <v>2026</v>
      </c>
      <c r="D454" s="2" t="n">
        <v>2026</v>
      </c>
      <c r="E454" s="2" t="n">
        <f aca="false">SUMIFS(Player_Season!$E$2:$E$1869,Player_Season!$B$2:$B$1869,A454)</f>
        <v>7</v>
      </c>
      <c r="F454" s="2" t="n">
        <f aca="false">SUMIFS(Player_Season!$F$2:$F$1869,Player_Season!$B$2:$B$1869,A454)</f>
        <v>1</v>
      </c>
      <c r="G454" s="2" t="n">
        <f aca="false">IF(E454&gt;0,F454/E454,"")</f>
        <v>0.142857142857143</v>
      </c>
      <c r="H454" s="2" t="s">
        <v>83</v>
      </c>
    </row>
    <row r="455" customFormat="false" ht="15" hidden="false" customHeight="false" outlineLevel="0" collapsed="false">
      <c r="A455" s="2" t="s">
        <v>434</v>
      </c>
      <c r="B455" s="2" t="n">
        <v>1</v>
      </c>
      <c r="C455" s="2" t="n">
        <v>2019</v>
      </c>
      <c r="D455" s="2" t="n">
        <v>2019</v>
      </c>
      <c r="E455" s="2" t="n">
        <f aca="false">SUMIFS(Player_Season!$E$2:$E$1869,Player_Season!$B$2:$B$1869,A455)</f>
        <v>2</v>
      </c>
      <c r="F455" s="2" t="n">
        <f aca="false">SUMIFS(Player_Season!$F$2:$F$1869,Player_Season!$B$2:$B$1869,A455)</f>
        <v>1</v>
      </c>
      <c r="G455" s="2" t="n">
        <f aca="false">IF(E455&gt;0,F455/E455,"")</f>
        <v>0.5</v>
      </c>
      <c r="H455" s="2" t="s">
        <v>117</v>
      </c>
    </row>
    <row r="456" customFormat="false" ht="15" hidden="false" customHeight="false" outlineLevel="0" collapsed="false">
      <c r="A456" s="2" t="s">
        <v>374</v>
      </c>
      <c r="B456" s="2" t="n">
        <v>1</v>
      </c>
      <c r="C456" s="2" t="n">
        <v>2024</v>
      </c>
      <c r="D456" s="2" t="n">
        <v>2024</v>
      </c>
      <c r="E456" s="2" t="n">
        <f aca="false">SUMIFS(Player_Season!$E$2:$E$1869,Player_Season!$B$2:$B$1869,A456)</f>
        <v>3</v>
      </c>
      <c r="F456" s="2" t="n">
        <f aca="false">SUMIFS(Player_Season!$F$2:$F$1869,Player_Season!$B$2:$B$1869,A456)</f>
        <v>1</v>
      </c>
      <c r="G456" s="2" t="n">
        <f aca="false">IF(E456&gt;0,F456/E456,"")</f>
        <v>0.333333333333333</v>
      </c>
      <c r="H456" s="2" t="s">
        <v>115</v>
      </c>
    </row>
    <row r="457" customFormat="false" ht="15" hidden="false" customHeight="false" outlineLevel="0" collapsed="false">
      <c r="A457" s="2" t="s">
        <v>610</v>
      </c>
      <c r="B457" s="2" t="n">
        <v>3</v>
      </c>
      <c r="C457" s="2" t="n">
        <v>2023</v>
      </c>
      <c r="D457" s="2" t="n">
        <v>2025</v>
      </c>
      <c r="E457" s="2" t="n">
        <f aca="false">SUMIFS(Player_Season!$E$2:$E$1869,Player_Season!$B$2:$B$1869,A457)</f>
        <v>18</v>
      </c>
      <c r="F457" s="2" t="n">
        <f aca="false">SUMIFS(Player_Season!$F$2:$F$1869,Player_Season!$B$2:$B$1869,A457)</f>
        <v>1</v>
      </c>
      <c r="G457" s="2" t="n">
        <f aca="false">IF(E457&gt;0,F457/E457,"")</f>
        <v>0.0555555555555556</v>
      </c>
      <c r="H457" s="2" t="s">
        <v>409</v>
      </c>
    </row>
    <row r="458" customFormat="false" ht="15" hidden="false" customHeight="false" outlineLevel="0" collapsed="false">
      <c r="A458" s="2" t="s">
        <v>488</v>
      </c>
      <c r="B458" s="2" t="n">
        <v>2</v>
      </c>
      <c r="C458" s="2" t="n">
        <v>2019</v>
      </c>
      <c r="D458" s="2" t="n">
        <v>2020</v>
      </c>
      <c r="E458" s="2" t="n">
        <f aca="false">SUMIFS(Player_Season!$E$2:$E$1869,Player_Season!$B$2:$B$1869,A458)</f>
        <v>15</v>
      </c>
      <c r="F458" s="2" t="n">
        <f aca="false">SUMIFS(Player_Season!$F$2:$F$1869,Player_Season!$B$2:$B$1869,A458)</f>
        <v>1</v>
      </c>
      <c r="G458" s="2" t="n">
        <f aca="false">IF(E458&gt;0,F458/E458,"")</f>
        <v>0.0666666666666667</v>
      </c>
      <c r="H458" s="2" t="s">
        <v>117</v>
      </c>
    </row>
    <row r="459" customFormat="false" ht="15" hidden="false" customHeight="false" outlineLevel="0" collapsed="false">
      <c r="A459" s="2" t="s">
        <v>340</v>
      </c>
      <c r="B459" s="2" t="n">
        <v>4</v>
      </c>
      <c r="C459" s="2" t="n">
        <v>2019</v>
      </c>
      <c r="D459" s="2" t="n">
        <v>2022</v>
      </c>
      <c r="E459" s="2" t="n">
        <f aca="false">SUMIFS(Player_Season!$E$2:$E$1869,Player_Season!$B$2:$B$1869,A459)</f>
        <v>30</v>
      </c>
      <c r="F459" s="2" t="n">
        <f aca="false">SUMIFS(Player_Season!$F$2:$F$1869,Player_Season!$B$2:$B$1869,A459)</f>
        <v>1</v>
      </c>
      <c r="G459" s="2" t="n">
        <f aca="false">IF(E459&gt;0,F459/E459,"")</f>
        <v>0.0333333333333333</v>
      </c>
      <c r="H459" s="2" t="s">
        <v>117</v>
      </c>
    </row>
    <row r="460" customFormat="false" ht="15" hidden="false" customHeight="false" outlineLevel="0" collapsed="false">
      <c r="A460" s="2" t="s">
        <v>324</v>
      </c>
      <c r="B460" s="2" t="n">
        <v>1</v>
      </c>
      <c r="C460" s="2" t="n">
        <v>2026</v>
      </c>
      <c r="D460" s="2" t="n">
        <v>2026</v>
      </c>
      <c r="E460" s="2" t="n">
        <f aca="false">SUMIFS(Player_Season!$E$2:$E$1869,Player_Season!$B$2:$B$1869,A460)</f>
        <v>9</v>
      </c>
      <c r="F460" s="2" t="n">
        <f aca="false">SUMIFS(Player_Season!$F$2:$F$1869,Player_Season!$B$2:$B$1869,A460)</f>
        <v>1</v>
      </c>
      <c r="G460" s="2" t="n">
        <f aca="false">IF(E460&gt;0,F460/E460,"")</f>
        <v>0.111111111111111</v>
      </c>
      <c r="H460" s="2" t="s">
        <v>117</v>
      </c>
    </row>
    <row r="461" customFormat="false" ht="15" hidden="false" customHeight="false" outlineLevel="0" collapsed="false">
      <c r="A461" s="2" t="s">
        <v>361</v>
      </c>
      <c r="B461" s="2" t="n">
        <v>4</v>
      </c>
      <c r="C461" s="2" t="n">
        <v>2023</v>
      </c>
      <c r="D461" s="2" t="n">
        <v>2026</v>
      </c>
      <c r="E461" s="2" t="n">
        <f aca="false">SUMIFS(Player_Season!$E$2:$E$1869,Player_Season!$B$2:$B$1869,A461)</f>
        <v>1</v>
      </c>
      <c r="F461" s="2" t="n">
        <f aca="false">SUMIFS(Player_Season!$F$2:$F$1869,Player_Season!$B$2:$B$1869,A461)</f>
        <v>1</v>
      </c>
      <c r="G461" s="2" t="n">
        <f aca="false">IF(E461&gt;0,F461/E461,"")</f>
        <v>1</v>
      </c>
      <c r="H461" s="2" t="s">
        <v>24</v>
      </c>
    </row>
    <row r="462" customFormat="false" ht="15" hidden="false" customHeight="false" outlineLevel="0" collapsed="false">
      <c r="A462" s="2" t="s">
        <v>660</v>
      </c>
      <c r="B462" s="2" t="n">
        <v>1</v>
      </c>
      <c r="C462" s="2" t="n">
        <v>2026</v>
      </c>
      <c r="D462" s="2" t="n">
        <v>2026</v>
      </c>
      <c r="E462" s="2" t="n">
        <f aca="false">SUMIFS(Player_Season!$E$2:$E$1869,Player_Season!$B$2:$B$1869,A462)</f>
        <v>0</v>
      </c>
      <c r="F462" s="2" t="n">
        <f aca="false">SUMIFS(Player_Season!$F$2:$F$1869,Player_Season!$B$2:$B$1869,A462)</f>
        <v>0</v>
      </c>
      <c r="G462" s="2" t="str">
        <f aca="false">IF(E462&gt;0,F462/E462,"")</f>
        <v/>
      </c>
      <c r="H462" s="2" t="s">
        <v>24</v>
      </c>
    </row>
    <row r="463" customFormat="false" ht="15" hidden="false" customHeight="false" outlineLevel="0" collapsed="false">
      <c r="A463" s="2" t="s">
        <v>481</v>
      </c>
      <c r="B463" s="2" t="n">
        <v>2</v>
      </c>
      <c r="C463" s="2" t="n">
        <v>2019</v>
      </c>
      <c r="D463" s="2" t="n">
        <v>2021</v>
      </c>
      <c r="E463" s="2" t="n">
        <f aca="false">SUMIFS(Player_Season!$E$2:$E$1869,Player_Season!$B$2:$B$1869,A463)</f>
        <v>0</v>
      </c>
      <c r="F463" s="2" t="n">
        <f aca="false">SUMIFS(Player_Season!$F$2:$F$1869,Player_Season!$B$2:$B$1869,A463)</f>
        <v>0</v>
      </c>
      <c r="G463" s="2" t="str">
        <f aca="false">IF(E463&gt;0,F463/E463,"")</f>
        <v/>
      </c>
      <c r="H463" s="2" t="s">
        <v>409</v>
      </c>
    </row>
    <row r="464" customFormat="false" ht="15" hidden="false" customHeight="false" outlineLevel="0" collapsed="false">
      <c r="A464" s="2" t="s">
        <v>578</v>
      </c>
      <c r="B464" s="2" t="n">
        <v>1</v>
      </c>
      <c r="C464" s="2" t="n">
        <v>2021</v>
      </c>
      <c r="D464" s="2" t="n">
        <v>2021</v>
      </c>
      <c r="E464" s="2" t="n">
        <f aca="false">SUMIFS(Player_Season!$E$2:$E$1869,Player_Season!$B$2:$B$1869,A464)</f>
        <v>0</v>
      </c>
      <c r="F464" s="2" t="n">
        <f aca="false">SUMIFS(Player_Season!$F$2:$F$1869,Player_Season!$B$2:$B$1869,A464)</f>
        <v>0</v>
      </c>
      <c r="G464" s="2" t="str">
        <f aca="false">IF(E464&gt;0,F464/E464,"")</f>
        <v/>
      </c>
      <c r="H464" s="2" t="s">
        <v>115</v>
      </c>
    </row>
    <row r="465" customFormat="false" ht="15" hidden="false" customHeight="false" outlineLevel="0" collapsed="false">
      <c r="A465" s="2" t="s">
        <v>604</v>
      </c>
      <c r="B465" s="2" t="n">
        <v>1</v>
      </c>
      <c r="C465" s="2" t="n">
        <v>2022</v>
      </c>
      <c r="D465" s="2" t="n">
        <v>2022</v>
      </c>
      <c r="E465" s="2" t="n">
        <f aca="false">SUMIFS(Player_Season!$E$2:$E$1869,Player_Season!$B$2:$B$1869,A465)</f>
        <v>4</v>
      </c>
      <c r="F465" s="2" t="n">
        <f aca="false">SUMIFS(Player_Season!$F$2:$F$1869,Player_Season!$B$2:$B$1869,A465)</f>
        <v>0</v>
      </c>
      <c r="G465" s="2" t="n">
        <f aca="false">IF(E465&gt;0,F465/E465,"")</f>
        <v>0</v>
      </c>
      <c r="H465" s="2" t="s">
        <v>413</v>
      </c>
    </row>
    <row r="466" customFormat="false" ht="15" hidden="false" customHeight="false" outlineLevel="0" collapsed="false">
      <c r="A466" s="2" t="s">
        <v>447</v>
      </c>
      <c r="B466" s="2" t="n">
        <v>3</v>
      </c>
      <c r="C466" s="2" t="n">
        <v>2019</v>
      </c>
      <c r="D466" s="2" t="n">
        <v>2021</v>
      </c>
      <c r="E466" s="2" t="n">
        <f aca="false">SUMIFS(Player_Season!$E$2:$E$1869,Player_Season!$B$2:$B$1869,A466)</f>
        <v>0</v>
      </c>
      <c r="F466" s="2" t="n">
        <f aca="false">SUMIFS(Player_Season!$F$2:$F$1869,Player_Season!$B$2:$B$1869,A466)</f>
        <v>0</v>
      </c>
      <c r="G466" s="2" t="str">
        <f aca="false">IF(E466&gt;0,F466/E466,"")</f>
        <v/>
      </c>
      <c r="H466" s="2" t="s">
        <v>413</v>
      </c>
    </row>
    <row r="467" customFormat="false" ht="15" hidden="false" customHeight="false" outlineLevel="0" collapsed="false">
      <c r="A467" s="2" t="s">
        <v>597</v>
      </c>
      <c r="B467" s="2" t="n">
        <v>1</v>
      </c>
      <c r="C467" s="2" t="n">
        <v>2022</v>
      </c>
      <c r="D467" s="2" t="n">
        <v>2022</v>
      </c>
      <c r="E467" s="2" t="n">
        <f aca="false">SUMIFS(Player_Season!$E$2:$E$1869,Player_Season!$B$2:$B$1869,A467)</f>
        <v>0</v>
      </c>
      <c r="F467" s="2" t="n">
        <f aca="false">SUMIFS(Player_Season!$F$2:$F$1869,Player_Season!$B$2:$B$1869,A467)</f>
        <v>0</v>
      </c>
      <c r="G467" s="2" t="str">
        <f aca="false">IF(E467&gt;0,F467/E467,"")</f>
        <v/>
      </c>
      <c r="H467" s="2" t="s">
        <v>29</v>
      </c>
    </row>
    <row r="468" customFormat="false" ht="15" hidden="false" customHeight="false" outlineLevel="0" collapsed="false">
      <c r="A468" s="2" t="s">
        <v>589</v>
      </c>
      <c r="B468" s="2" t="n">
        <v>1</v>
      </c>
      <c r="C468" s="2" t="n">
        <v>2022</v>
      </c>
      <c r="D468" s="2" t="n">
        <v>2022</v>
      </c>
      <c r="E468" s="2" t="n">
        <f aca="false">SUMIFS(Player_Season!$E$2:$E$1869,Player_Season!$B$2:$B$1869,A468)</f>
        <v>0</v>
      </c>
      <c r="F468" s="2" t="n">
        <f aca="false">SUMIFS(Player_Season!$F$2:$F$1869,Player_Season!$B$2:$B$1869,A468)</f>
        <v>0</v>
      </c>
      <c r="G468" s="2" t="str">
        <f aca="false">IF(E468&gt;0,F468/E468,"")</f>
        <v/>
      </c>
      <c r="H468" s="2" t="s">
        <v>413</v>
      </c>
    </row>
    <row r="469" customFormat="false" ht="15" hidden="false" customHeight="false" outlineLevel="0" collapsed="false">
      <c r="A469" s="2" t="s">
        <v>221</v>
      </c>
      <c r="B469" s="2" t="n">
        <v>6</v>
      </c>
      <c r="C469" s="2" t="n">
        <v>2021</v>
      </c>
      <c r="D469" s="2" t="n">
        <v>2026</v>
      </c>
      <c r="E469" s="2" t="n">
        <f aca="false">SUMIFS(Player_Season!$E$2:$E$1869,Player_Season!$B$2:$B$1869,A469)</f>
        <v>48</v>
      </c>
      <c r="F469" s="2" t="n">
        <f aca="false">SUMIFS(Player_Season!$F$2:$F$1869,Player_Season!$B$2:$B$1869,A469)</f>
        <v>0</v>
      </c>
      <c r="G469" s="2" t="n">
        <f aca="false">IF(E469&gt;0,F469/E469,"")</f>
        <v>0</v>
      </c>
      <c r="H469" s="2" t="s">
        <v>117</v>
      </c>
    </row>
    <row r="470" customFormat="false" ht="15" hidden="false" customHeight="false" outlineLevel="0" collapsed="false">
      <c r="A470" s="2" t="s">
        <v>592</v>
      </c>
      <c r="B470" s="2" t="n">
        <v>1</v>
      </c>
      <c r="C470" s="2" t="n">
        <v>2022</v>
      </c>
      <c r="D470" s="2" t="n">
        <v>2022</v>
      </c>
      <c r="E470" s="2" t="n">
        <f aca="false">SUMIFS(Player_Season!$E$2:$E$1869,Player_Season!$B$2:$B$1869,A470)</f>
        <v>0</v>
      </c>
      <c r="F470" s="2" t="n">
        <f aca="false">SUMIFS(Player_Season!$F$2:$F$1869,Player_Season!$B$2:$B$1869,A470)</f>
        <v>0</v>
      </c>
      <c r="G470" s="2" t="str">
        <f aca="false">IF(E470&gt;0,F470/E470,"")</f>
        <v/>
      </c>
      <c r="H470" s="2" t="s">
        <v>117</v>
      </c>
    </row>
    <row r="471" customFormat="false" ht="15" hidden="false" customHeight="false" outlineLevel="0" collapsed="false">
      <c r="A471" s="2" t="s">
        <v>642</v>
      </c>
      <c r="B471" s="2" t="n">
        <v>1</v>
      </c>
      <c r="C471" s="2" t="n">
        <v>2025</v>
      </c>
      <c r="D471" s="2" t="n">
        <v>2025</v>
      </c>
      <c r="E471" s="2" t="n">
        <f aca="false">SUMIFS(Player_Season!$E$2:$E$1869,Player_Season!$B$2:$B$1869,A471)</f>
        <v>0</v>
      </c>
      <c r="F471" s="2" t="n">
        <f aca="false">SUMIFS(Player_Season!$F$2:$F$1869,Player_Season!$B$2:$B$1869,A471)</f>
        <v>0</v>
      </c>
      <c r="G471" s="2" t="str">
        <f aca="false">IF(E471&gt;0,F471/E471,"")</f>
        <v/>
      </c>
      <c r="H471" s="2" t="s">
        <v>413</v>
      </c>
    </row>
    <row r="472" customFormat="false" ht="15" hidden="false" customHeight="false" outlineLevel="0" collapsed="false">
      <c r="A472" s="2" t="s">
        <v>643</v>
      </c>
      <c r="B472" s="2" t="n">
        <v>2</v>
      </c>
      <c r="C472" s="2" t="n">
        <v>2025</v>
      </c>
      <c r="D472" s="2" t="n">
        <v>2026</v>
      </c>
      <c r="E472" s="2" t="n">
        <f aca="false">SUMIFS(Player_Season!$E$2:$E$1869,Player_Season!$B$2:$B$1869,A472)</f>
        <v>3</v>
      </c>
      <c r="F472" s="2" t="n">
        <f aca="false">SUMIFS(Player_Season!$F$2:$F$1869,Player_Season!$B$2:$B$1869,A472)</f>
        <v>0</v>
      </c>
      <c r="G472" s="2" t="n">
        <f aca="false">IF(E472&gt;0,F472/E472,"")</f>
        <v>0</v>
      </c>
      <c r="H472" s="2" t="s">
        <v>409</v>
      </c>
    </row>
    <row r="473" customFormat="false" ht="15" hidden="false" customHeight="false" outlineLevel="0" collapsed="false">
      <c r="A473" s="2" t="s">
        <v>661</v>
      </c>
      <c r="B473" s="2" t="n">
        <v>1</v>
      </c>
      <c r="C473" s="2" t="n">
        <v>2026</v>
      </c>
      <c r="D473" s="2" t="n">
        <v>2026</v>
      </c>
      <c r="E473" s="2" t="n">
        <f aca="false">SUMIFS(Player_Season!$E$2:$E$1869,Player_Season!$B$2:$B$1869,A473)</f>
        <v>0</v>
      </c>
      <c r="F473" s="2" t="n">
        <f aca="false">SUMIFS(Player_Season!$F$2:$F$1869,Player_Season!$B$2:$B$1869,A473)</f>
        <v>0</v>
      </c>
      <c r="G473" s="2" t="str">
        <f aca="false">IF(E473&gt;0,F473/E473,"")</f>
        <v/>
      </c>
      <c r="H473" s="2" t="s">
        <v>117</v>
      </c>
    </row>
    <row r="474" customFormat="false" ht="15" hidden="false" customHeight="false" outlineLevel="0" collapsed="false">
      <c r="A474" s="2" t="s">
        <v>608</v>
      </c>
      <c r="B474" s="2" t="n">
        <v>2</v>
      </c>
      <c r="C474" s="2" t="n">
        <v>2023</v>
      </c>
      <c r="D474" s="2" t="n">
        <v>2024</v>
      </c>
      <c r="E474" s="2" t="n">
        <f aca="false">SUMIFS(Player_Season!$E$2:$E$1869,Player_Season!$B$2:$B$1869,A474)</f>
        <v>0</v>
      </c>
      <c r="F474" s="2" t="n">
        <f aca="false">SUMIFS(Player_Season!$F$2:$F$1869,Player_Season!$B$2:$B$1869,A474)</f>
        <v>0</v>
      </c>
      <c r="G474" s="2" t="str">
        <f aca="false">IF(E474&gt;0,F474/E474,"")</f>
        <v/>
      </c>
      <c r="H474" s="2" t="s">
        <v>413</v>
      </c>
    </row>
    <row r="475" customFormat="false" ht="15" hidden="false" customHeight="false" outlineLevel="0" collapsed="false">
      <c r="A475" s="2" t="s">
        <v>649</v>
      </c>
      <c r="B475" s="2" t="n">
        <v>1</v>
      </c>
      <c r="C475" s="2" t="n">
        <v>2025</v>
      </c>
      <c r="D475" s="2" t="n">
        <v>2025</v>
      </c>
      <c r="E475" s="2" t="n">
        <f aca="false">SUMIFS(Player_Season!$E$2:$E$1869,Player_Season!$B$2:$B$1869,A475)</f>
        <v>0</v>
      </c>
      <c r="F475" s="2" t="n">
        <f aca="false">SUMIFS(Player_Season!$F$2:$F$1869,Player_Season!$B$2:$B$1869,A475)</f>
        <v>0</v>
      </c>
      <c r="G475" s="2" t="str">
        <f aca="false">IF(E475&gt;0,F475/E475,"")</f>
        <v/>
      </c>
      <c r="H475" s="2" t="s">
        <v>409</v>
      </c>
    </row>
    <row r="476" customFormat="false" ht="15" hidden="false" customHeight="false" outlineLevel="0" collapsed="false">
      <c r="A476" s="2" t="s">
        <v>381</v>
      </c>
      <c r="B476" s="2" t="n">
        <v>2</v>
      </c>
      <c r="C476" s="2" t="n">
        <v>2024</v>
      </c>
      <c r="D476" s="2" t="n">
        <v>2026</v>
      </c>
      <c r="E476" s="2" t="n">
        <f aca="false">SUMIFS(Player_Season!$E$2:$E$1869,Player_Season!$B$2:$B$1869,A476)</f>
        <v>2</v>
      </c>
      <c r="F476" s="2" t="n">
        <f aca="false">SUMIFS(Player_Season!$F$2:$F$1869,Player_Season!$B$2:$B$1869,A476)</f>
        <v>0</v>
      </c>
      <c r="G476" s="2" t="n">
        <f aca="false">IF(E476&gt;0,F476/E476,"")</f>
        <v>0</v>
      </c>
      <c r="H476" s="2" t="s">
        <v>117</v>
      </c>
    </row>
    <row r="477" customFormat="false" ht="15" hidden="false" customHeight="false" outlineLevel="0" collapsed="false">
      <c r="A477" s="2" t="s">
        <v>533</v>
      </c>
      <c r="B477" s="2" t="n">
        <v>1</v>
      </c>
      <c r="C477" s="2" t="n">
        <v>2020</v>
      </c>
      <c r="D477" s="2" t="n">
        <v>2020</v>
      </c>
      <c r="E477" s="2" t="n">
        <f aca="false">SUMIFS(Player_Season!$E$2:$E$1869,Player_Season!$B$2:$B$1869,A477)</f>
        <v>7</v>
      </c>
      <c r="F477" s="2" t="n">
        <f aca="false">SUMIFS(Player_Season!$F$2:$F$1869,Player_Season!$B$2:$B$1869,A477)</f>
        <v>0</v>
      </c>
      <c r="G477" s="2" t="n">
        <f aca="false">IF(E477&gt;0,F477/E477,"")</f>
        <v>0</v>
      </c>
      <c r="H477" s="2" t="s">
        <v>117</v>
      </c>
    </row>
    <row r="478" customFormat="false" ht="15" hidden="false" customHeight="false" outlineLevel="0" collapsed="false">
      <c r="A478" s="2" t="s">
        <v>367</v>
      </c>
      <c r="B478" s="2" t="n">
        <v>1</v>
      </c>
      <c r="C478" s="2" t="n">
        <v>2022</v>
      </c>
      <c r="D478" s="2" t="n">
        <v>2022</v>
      </c>
      <c r="E478" s="2" t="n">
        <f aca="false">SUMIFS(Player_Season!$E$2:$E$1869,Player_Season!$B$2:$B$1869,A478)</f>
        <v>3</v>
      </c>
      <c r="F478" s="2" t="n">
        <f aca="false">SUMIFS(Player_Season!$F$2:$F$1869,Player_Season!$B$2:$B$1869,A478)</f>
        <v>0</v>
      </c>
      <c r="G478" s="2" t="n">
        <f aca="false">IF(E478&gt;0,F478/E478,"")</f>
        <v>0</v>
      </c>
      <c r="H478" s="2" t="s">
        <v>117</v>
      </c>
    </row>
    <row r="479" customFormat="false" ht="15" hidden="false" customHeight="false" outlineLevel="0" collapsed="false">
      <c r="A479" s="2" t="s">
        <v>617</v>
      </c>
      <c r="B479" s="2" t="n">
        <v>2</v>
      </c>
      <c r="C479" s="2" t="n">
        <v>2023</v>
      </c>
      <c r="D479" s="2" t="n">
        <v>2024</v>
      </c>
      <c r="E479" s="2" t="n">
        <f aca="false">SUMIFS(Player_Season!$E$2:$E$1869,Player_Season!$B$2:$B$1869,A479)</f>
        <v>0</v>
      </c>
      <c r="F479" s="2" t="n">
        <f aca="false">SUMIFS(Player_Season!$F$2:$F$1869,Player_Season!$B$2:$B$1869,A479)</f>
        <v>0</v>
      </c>
      <c r="G479" s="2" t="str">
        <f aca="false">IF(E479&gt;0,F479/E479,"")</f>
        <v/>
      </c>
      <c r="H479" s="2" t="s">
        <v>117</v>
      </c>
    </row>
    <row r="480" customFormat="false" ht="15" hidden="false" customHeight="false" outlineLevel="0" collapsed="false">
      <c r="A480" s="2" t="s">
        <v>389</v>
      </c>
      <c r="B480" s="2" t="n">
        <v>1</v>
      </c>
      <c r="C480" s="2" t="n">
        <v>2026</v>
      </c>
      <c r="D480" s="2" t="n">
        <v>2026</v>
      </c>
      <c r="E480" s="2" t="n">
        <f aca="false">SUMIFS(Player_Season!$E$2:$E$1869,Player_Season!$B$2:$B$1869,A480)</f>
        <v>2</v>
      </c>
      <c r="F480" s="2" t="n">
        <f aca="false">SUMIFS(Player_Season!$F$2:$F$1869,Player_Season!$B$2:$B$1869,A480)</f>
        <v>0</v>
      </c>
      <c r="G480" s="2" t="n">
        <f aca="false">IF(E480&gt;0,F480/E480,"")</f>
        <v>0</v>
      </c>
      <c r="H480" s="2" t="s">
        <v>83</v>
      </c>
    </row>
    <row r="481" customFormat="false" ht="15" hidden="false" customHeight="false" outlineLevel="0" collapsed="false">
      <c r="A481" s="2" t="s">
        <v>631</v>
      </c>
      <c r="B481" s="2" t="n">
        <v>1</v>
      </c>
      <c r="C481" s="2" t="n">
        <v>2024</v>
      </c>
      <c r="D481" s="2" t="n">
        <v>2024</v>
      </c>
      <c r="E481" s="2" t="n">
        <f aca="false">SUMIFS(Player_Season!$E$2:$E$1869,Player_Season!$B$2:$B$1869,A481)</f>
        <v>0</v>
      </c>
      <c r="F481" s="2" t="n">
        <f aca="false">SUMIFS(Player_Season!$F$2:$F$1869,Player_Season!$B$2:$B$1869,A481)</f>
        <v>0</v>
      </c>
      <c r="G481" s="2" t="str">
        <f aca="false">IF(E481&gt;0,F481/E481,"")</f>
        <v/>
      </c>
      <c r="H481" s="2" t="s">
        <v>24</v>
      </c>
    </row>
    <row r="482" customFormat="false" ht="15" hidden="false" customHeight="false" outlineLevel="0" collapsed="false">
      <c r="A482" s="2" t="s">
        <v>443</v>
      </c>
      <c r="B482" s="2" t="n">
        <v>3</v>
      </c>
      <c r="C482" s="2" t="n">
        <v>2019</v>
      </c>
      <c r="D482" s="2" t="n">
        <v>2021</v>
      </c>
      <c r="E482" s="2" t="n">
        <f aca="false">SUMIFS(Player_Season!$E$2:$E$1869,Player_Season!$B$2:$B$1869,A482)</f>
        <v>10</v>
      </c>
      <c r="F482" s="2" t="n">
        <f aca="false">SUMIFS(Player_Season!$F$2:$F$1869,Player_Season!$B$2:$B$1869,A482)</f>
        <v>0</v>
      </c>
      <c r="G482" s="2" t="n">
        <f aca="false">IF(E482&gt;0,F482/E482,"")</f>
        <v>0</v>
      </c>
      <c r="H482" s="2" t="s">
        <v>117</v>
      </c>
    </row>
    <row r="483" customFormat="false" ht="15" hidden="false" customHeight="false" outlineLevel="0" collapsed="false">
      <c r="A483" s="2" t="s">
        <v>601</v>
      </c>
      <c r="B483" s="2" t="n">
        <v>2</v>
      </c>
      <c r="C483" s="2" t="n">
        <v>2022</v>
      </c>
      <c r="D483" s="2" t="n">
        <v>2023</v>
      </c>
      <c r="E483" s="2" t="n">
        <f aca="false">SUMIFS(Player_Season!$E$2:$E$1869,Player_Season!$B$2:$B$1869,A483)</f>
        <v>0</v>
      </c>
      <c r="F483" s="2" t="n">
        <f aca="false">SUMIFS(Player_Season!$F$2:$F$1869,Player_Season!$B$2:$B$1869,A483)</f>
        <v>0</v>
      </c>
      <c r="G483" s="2" t="str">
        <f aca="false">IF(E483&gt;0,F483/E483,"")</f>
        <v/>
      </c>
      <c r="H483" s="2" t="s">
        <v>413</v>
      </c>
    </row>
    <row r="484" customFormat="false" ht="15" hidden="false" customHeight="false" outlineLevel="0" collapsed="false">
      <c r="A484" s="2" t="s">
        <v>658</v>
      </c>
      <c r="B484" s="2" t="n">
        <v>1</v>
      </c>
      <c r="C484" s="2" t="n">
        <v>2026</v>
      </c>
      <c r="D484" s="2" t="n">
        <v>2026</v>
      </c>
      <c r="E484" s="2" t="n">
        <f aca="false">SUMIFS(Player_Season!$E$2:$E$1869,Player_Season!$B$2:$B$1869,A484)</f>
        <v>0</v>
      </c>
      <c r="F484" s="2" t="n">
        <f aca="false">SUMIFS(Player_Season!$F$2:$F$1869,Player_Season!$B$2:$B$1869,A484)</f>
        <v>0</v>
      </c>
      <c r="G484" s="2" t="str">
        <f aca="false">IF(E484&gt;0,F484/E484,"")</f>
        <v/>
      </c>
      <c r="H484" s="2" t="s">
        <v>413</v>
      </c>
    </row>
    <row r="485" customFormat="false" ht="15" hidden="false" customHeight="false" outlineLevel="0" collapsed="false">
      <c r="A485" s="2" t="s">
        <v>585</v>
      </c>
      <c r="B485" s="2" t="n">
        <v>1</v>
      </c>
      <c r="C485" s="2" t="n">
        <v>2022</v>
      </c>
      <c r="D485" s="2" t="n">
        <v>2022</v>
      </c>
      <c r="E485" s="2" t="n">
        <f aca="false">SUMIFS(Player_Season!$E$2:$E$1869,Player_Season!$B$2:$B$1869,A485)</f>
        <v>0</v>
      </c>
      <c r="F485" s="2" t="n">
        <f aca="false">SUMIFS(Player_Season!$F$2:$F$1869,Player_Season!$B$2:$B$1869,A485)</f>
        <v>0</v>
      </c>
      <c r="G485" s="2" t="str">
        <f aca="false">IF(E485&gt;0,F485/E485,"")</f>
        <v/>
      </c>
      <c r="H485" s="2" t="s">
        <v>29</v>
      </c>
    </row>
    <row r="486" customFormat="false" ht="15" hidden="false" customHeight="false" outlineLevel="0" collapsed="false">
      <c r="A486" s="2" t="s">
        <v>495</v>
      </c>
      <c r="B486" s="2" t="n">
        <v>1</v>
      </c>
      <c r="C486" s="2" t="n">
        <v>2019</v>
      </c>
      <c r="D486" s="2" t="n">
        <v>2019</v>
      </c>
      <c r="E486" s="2" t="n">
        <f aca="false">SUMIFS(Player_Season!$E$2:$E$1869,Player_Season!$B$2:$B$1869,A486)</f>
        <v>0</v>
      </c>
      <c r="F486" s="2" t="n">
        <f aca="false">SUMIFS(Player_Season!$F$2:$F$1869,Player_Season!$B$2:$B$1869,A486)</f>
        <v>0</v>
      </c>
      <c r="G486" s="2" t="str">
        <f aca="false">IF(E486&gt;0,F486/E486,"")</f>
        <v/>
      </c>
      <c r="H486" s="2" t="s">
        <v>29</v>
      </c>
    </row>
    <row r="487" customFormat="false" ht="15" hidden="false" customHeight="false" outlineLevel="0" collapsed="false">
      <c r="A487" s="2" t="s">
        <v>654</v>
      </c>
      <c r="B487" s="2" t="n">
        <v>1</v>
      </c>
      <c r="C487" s="2" t="n">
        <v>2026</v>
      </c>
      <c r="D487" s="2" t="n">
        <v>2026</v>
      </c>
      <c r="E487" s="2" t="n">
        <f aca="false">SUMIFS(Player_Season!$E$2:$E$1869,Player_Season!$B$2:$B$1869,A487)</f>
        <v>0</v>
      </c>
      <c r="F487" s="2" t="n">
        <f aca="false">SUMIFS(Player_Season!$F$2:$F$1869,Player_Season!$B$2:$B$1869,A487)</f>
        <v>0</v>
      </c>
      <c r="G487" s="2" t="str">
        <f aca="false">IF(E487&gt;0,F487/E487,"")</f>
        <v/>
      </c>
      <c r="H487" s="2" t="s">
        <v>24</v>
      </c>
    </row>
    <row r="488" customFormat="false" ht="15" hidden="false" customHeight="false" outlineLevel="0" collapsed="false">
      <c r="A488" s="2" t="s">
        <v>465</v>
      </c>
      <c r="B488" s="2" t="n">
        <v>1</v>
      </c>
      <c r="C488" s="2" t="n">
        <v>2019</v>
      </c>
      <c r="D488" s="2" t="n">
        <v>2019</v>
      </c>
      <c r="E488" s="2" t="n">
        <f aca="false">SUMIFS(Player_Season!$E$2:$E$1869,Player_Season!$B$2:$B$1869,A488)</f>
        <v>4</v>
      </c>
      <c r="F488" s="2" t="n">
        <f aca="false">SUMIFS(Player_Season!$F$2:$F$1869,Player_Season!$B$2:$B$1869,A488)</f>
        <v>0</v>
      </c>
      <c r="G488" s="2" t="n">
        <f aca="false">IF(E488&gt;0,F488/E488,"")</f>
        <v>0</v>
      </c>
      <c r="H488" s="2" t="s">
        <v>117</v>
      </c>
    </row>
    <row r="489" customFormat="false" ht="15" hidden="false" customHeight="false" outlineLevel="0" collapsed="false">
      <c r="A489" s="2" t="s">
        <v>656</v>
      </c>
      <c r="B489" s="2" t="n">
        <v>1</v>
      </c>
      <c r="C489" s="2" t="n">
        <v>2026</v>
      </c>
      <c r="D489" s="2" t="n">
        <v>2026</v>
      </c>
      <c r="E489" s="2" t="n">
        <f aca="false">SUMIFS(Player_Season!$E$2:$E$1869,Player_Season!$B$2:$B$1869,A489)</f>
        <v>0</v>
      </c>
      <c r="F489" s="2" t="n">
        <f aca="false">SUMIFS(Player_Season!$F$2:$F$1869,Player_Season!$B$2:$B$1869,A489)</f>
        <v>0</v>
      </c>
      <c r="G489" s="2" t="str">
        <f aca="false">IF(E489&gt;0,F489/E489,"")</f>
        <v/>
      </c>
      <c r="H489" s="2" t="s">
        <v>409</v>
      </c>
    </row>
    <row r="490" customFormat="false" ht="15" hidden="false" customHeight="false" outlineLevel="0" collapsed="false">
      <c r="A490" s="2" t="s">
        <v>421</v>
      </c>
      <c r="B490" s="2" t="n">
        <v>1</v>
      </c>
      <c r="C490" s="2" t="n">
        <v>2019</v>
      </c>
      <c r="D490" s="2" t="n">
        <v>2019</v>
      </c>
      <c r="E490" s="2" t="n">
        <f aca="false">SUMIFS(Player_Season!$E$2:$E$1869,Player_Season!$B$2:$B$1869,A490)</f>
        <v>1</v>
      </c>
      <c r="F490" s="2" t="n">
        <f aca="false">SUMIFS(Player_Season!$F$2:$F$1869,Player_Season!$B$2:$B$1869,A490)</f>
        <v>0</v>
      </c>
      <c r="G490" s="2" t="n">
        <f aca="false">IF(E490&gt;0,F490/E490,"")</f>
        <v>0</v>
      </c>
      <c r="H490" s="2" t="s">
        <v>29</v>
      </c>
    </row>
    <row r="491" customFormat="false" ht="15" hidden="false" customHeight="false" outlineLevel="0" collapsed="false">
      <c r="A491" s="2" t="s">
        <v>512</v>
      </c>
      <c r="B491" s="2" t="n">
        <v>1</v>
      </c>
      <c r="C491" s="2" t="n">
        <v>2019</v>
      </c>
      <c r="D491" s="2" t="n">
        <v>2019</v>
      </c>
      <c r="E491" s="2" t="n">
        <f aca="false">SUMIFS(Player_Season!$E$2:$E$1869,Player_Season!$B$2:$B$1869,A491)</f>
        <v>1</v>
      </c>
      <c r="F491" s="2" t="n">
        <f aca="false">SUMIFS(Player_Season!$F$2:$F$1869,Player_Season!$B$2:$B$1869,A491)</f>
        <v>0</v>
      </c>
      <c r="G491" s="2" t="n">
        <f aca="false">IF(E491&gt;0,F491/E491,"")</f>
        <v>0</v>
      </c>
      <c r="H491" s="2" t="s">
        <v>117</v>
      </c>
    </row>
    <row r="492" customFormat="false" ht="15" hidden="false" customHeight="false" outlineLevel="0" collapsed="false">
      <c r="A492" s="2" t="s">
        <v>519</v>
      </c>
      <c r="B492" s="2" t="n">
        <v>2</v>
      </c>
      <c r="C492" s="2" t="n">
        <v>2020</v>
      </c>
      <c r="D492" s="2" t="n">
        <v>2021</v>
      </c>
      <c r="E492" s="2" t="n">
        <f aca="false">SUMIFS(Player_Season!$E$2:$E$1869,Player_Season!$B$2:$B$1869,A492)</f>
        <v>4</v>
      </c>
      <c r="F492" s="2" t="n">
        <f aca="false">SUMIFS(Player_Season!$F$2:$F$1869,Player_Season!$B$2:$B$1869,A492)</f>
        <v>0</v>
      </c>
      <c r="G492" s="2" t="n">
        <f aca="false">IF(E492&gt;0,F492/E492,"")</f>
        <v>0</v>
      </c>
      <c r="H492" s="2" t="s">
        <v>409</v>
      </c>
    </row>
    <row r="493" customFormat="false" ht="15" hidden="false" customHeight="false" outlineLevel="0" collapsed="false">
      <c r="A493" s="2" t="s">
        <v>365</v>
      </c>
      <c r="B493" s="2" t="n">
        <v>1</v>
      </c>
      <c r="C493" s="2" t="n">
        <v>2026</v>
      </c>
      <c r="D493" s="2" t="n">
        <v>2026</v>
      </c>
      <c r="E493" s="2" t="n">
        <f aca="false">SUMIFS(Player_Season!$E$2:$E$1869,Player_Season!$B$2:$B$1869,A493)</f>
        <v>2</v>
      </c>
      <c r="F493" s="2" t="n">
        <f aca="false">SUMIFS(Player_Season!$F$2:$F$1869,Player_Season!$B$2:$B$1869,A493)</f>
        <v>0</v>
      </c>
      <c r="G493" s="2" t="n">
        <f aca="false">IF(E493&gt;0,F493/E493,"")</f>
        <v>0</v>
      </c>
      <c r="H493" s="2" t="s">
        <v>83</v>
      </c>
    </row>
    <row r="494" customFormat="false" ht="15" hidden="false" customHeight="false" outlineLevel="0" collapsed="false">
      <c r="A494" s="2" t="s">
        <v>596</v>
      </c>
      <c r="B494" s="2" t="n">
        <v>1</v>
      </c>
      <c r="C494" s="2" t="n">
        <v>2022</v>
      </c>
      <c r="D494" s="2" t="n">
        <v>2022</v>
      </c>
      <c r="E494" s="2" t="n">
        <f aca="false">SUMIFS(Player_Season!$E$2:$E$1869,Player_Season!$B$2:$B$1869,A494)</f>
        <v>0</v>
      </c>
      <c r="F494" s="2" t="n">
        <f aca="false">SUMIFS(Player_Season!$F$2:$F$1869,Player_Season!$B$2:$B$1869,A494)</f>
        <v>0</v>
      </c>
      <c r="G494" s="2" t="str">
        <f aca="false">IF(E494&gt;0,F494/E494,"")</f>
        <v/>
      </c>
      <c r="H494" s="2" t="s">
        <v>24</v>
      </c>
    </row>
    <row r="495" customFormat="false" ht="15" hidden="false" customHeight="false" outlineLevel="0" collapsed="false">
      <c r="A495" s="2" t="s">
        <v>552</v>
      </c>
      <c r="B495" s="2" t="n">
        <v>2</v>
      </c>
      <c r="C495" s="2" t="n">
        <v>2021</v>
      </c>
      <c r="D495" s="2" t="n">
        <v>2022</v>
      </c>
      <c r="E495" s="2" t="n">
        <f aca="false">SUMIFS(Player_Season!$E$2:$E$1869,Player_Season!$B$2:$B$1869,A495)</f>
        <v>5</v>
      </c>
      <c r="F495" s="2" t="n">
        <f aca="false">SUMIFS(Player_Season!$F$2:$F$1869,Player_Season!$B$2:$B$1869,A495)</f>
        <v>0</v>
      </c>
      <c r="G495" s="2" t="n">
        <f aca="false">IF(E495&gt;0,F495/E495,"")</f>
        <v>0</v>
      </c>
      <c r="H495" s="2" t="s">
        <v>29</v>
      </c>
    </row>
    <row r="496" customFormat="false" ht="15" hidden="false" customHeight="false" outlineLevel="0" collapsed="false">
      <c r="A496" s="2" t="s">
        <v>547</v>
      </c>
      <c r="B496" s="2" t="n">
        <v>1</v>
      </c>
      <c r="C496" s="2" t="n">
        <v>2021</v>
      </c>
      <c r="D496" s="2" t="n">
        <v>2021</v>
      </c>
      <c r="E496" s="2" t="n">
        <f aca="false">SUMIFS(Player_Season!$E$2:$E$1869,Player_Season!$B$2:$B$1869,A496)</f>
        <v>0</v>
      </c>
      <c r="F496" s="2" t="n">
        <f aca="false">SUMIFS(Player_Season!$F$2:$F$1869,Player_Season!$B$2:$B$1869,A496)</f>
        <v>0</v>
      </c>
      <c r="G496" s="2" t="str">
        <f aca="false">IF(E496&gt;0,F496/E496,"")</f>
        <v/>
      </c>
      <c r="H496" s="2" t="s">
        <v>29</v>
      </c>
    </row>
    <row r="497" customFormat="false" ht="15" hidden="false" customHeight="false" outlineLevel="0" collapsed="false">
      <c r="A497" s="2" t="s">
        <v>544</v>
      </c>
      <c r="B497" s="2" t="n">
        <v>1</v>
      </c>
      <c r="C497" s="2" t="n">
        <v>2021</v>
      </c>
      <c r="D497" s="2" t="n">
        <v>2021</v>
      </c>
      <c r="E497" s="2" t="n">
        <f aca="false">SUMIFS(Player_Season!$E$2:$E$1869,Player_Season!$B$2:$B$1869,A497)</f>
        <v>0</v>
      </c>
      <c r="F497" s="2" t="n">
        <f aca="false">SUMIFS(Player_Season!$F$2:$F$1869,Player_Season!$B$2:$B$1869,A497)</f>
        <v>0</v>
      </c>
      <c r="G497" s="2" t="str">
        <f aca="false">IF(E497&gt;0,F497/E497,"")</f>
        <v/>
      </c>
      <c r="H497" s="2" t="s">
        <v>413</v>
      </c>
    </row>
    <row r="498" customFormat="false" ht="15" hidden="false" customHeight="false" outlineLevel="0" collapsed="false">
      <c r="A498" s="2" t="s">
        <v>602</v>
      </c>
      <c r="B498" s="2" t="n">
        <v>1</v>
      </c>
      <c r="C498" s="2" t="n">
        <v>2022</v>
      </c>
      <c r="D498" s="2" t="n">
        <v>2022</v>
      </c>
      <c r="E498" s="2" t="n">
        <f aca="false">SUMIFS(Player_Season!$E$2:$E$1869,Player_Season!$B$2:$B$1869,A498)</f>
        <v>0</v>
      </c>
      <c r="F498" s="2" t="n">
        <f aca="false">SUMIFS(Player_Season!$F$2:$F$1869,Player_Season!$B$2:$B$1869,A498)</f>
        <v>0</v>
      </c>
      <c r="G498" s="2" t="str">
        <f aca="false">IF(E498&gt;0,F498/E498,"")</f>
        <v/>
      </c>
      <c r="H498" s="2" t="s">
        <v>117</v>
      </c>
    </row>
    <row r="499" customFormat="false" ht="15" hidden="false" customHeight="false" outlineLevel="0" collapsed="false">
      <c r="A499" s="2" t="s">
        <v>466</v>
      </c>
      <c r="B499" s="2" t="n">
        <v>1</v>
      </c>
      <c r="C499" s="2" t="n">
        <v>2019</v>
      </c>
      <c r="D499" s="2" t="n">
        <v>2019</v>
      </c>
      <c r="E499" s="2" t="n">
        <f aca="false">SUMIFS(Player_Season!$E$2:$E$1869,Player_Season!$B$2:$B$1869,A499)</f>
        <v>3</v>
      </c>
      <c r="F499" s="2" t="n">
        <f aca="false">SUMIFS(Player_Season!$F$2:$F$1869,Player_Season!$B$2:$B$1869,A499)</f>
        <v>0</v>
      </c>
      <c r="G499" s="2" t="n">
        <f aca="false">IF(E499&gt;0,F499/E499,"")</f>
        <v>0</v>
      </c>
      <c r="H499" s="2" t="s">
        <v>117</v>
      </c>
    </row>
    <row r="500" customFormat="false" ht="15" hidden="false" customHeight="false" outlineLevel="0" collapsed="false">
      <c r="A500" s="2" t="s">
        <v>606</v>
      </c>
      <c r="B500" s="2" t="n">
        <v>1</v>
      </c>
      <c r="C500" s="2" t="n">
        <v>2023</v>
      </c>
      <c r="D500" s="2" t="n">
        <v>2023</v>
      </c>
      <c r="E500" s="2" t="n">
        <f aca="false">SUMIFS(Player_Season!$E$2:$E$1869,Player_Season!$B$2:$B$1869,A500)</f>
        <v>0</v>
      </c>
      <c r="F500" s="2" t="n">
        <f aca="false">SUMIFS(Player_Season!$F$2:$F$1869,Player_Season!$B$2:$B$1869,A500)</f>
        <v>0</v>
      </c>
      <c r="G500" s="2" t="str">
        <f aca="false">IF(E500&gt;0,F500/E500,"")</f>
        <v/>
      </c>
      <c r="H500" s="2" t="s">
        <v>117</v>
      </c>
    </row>
    <row r="501" customFormat="false" ht="15" hidden="false" customHeight="false" outlineLevel="0" collapsed="false">
      <c r="A501" s="2" t="s">
        <v>382</v>
      </c>
      <c r="B501" s="2" t="n">
        <v>1</v>
      </c>
      <c r="C501" s="2" t="n">
        <v>2023</v>
      </c>
      <c r="D501" s="2" t="n">
        <v>2023</v>
      </c>
      <c r="E501" s="2" t="n">
        <f aca="false">SUMIFS(Player_Season!$E$2:$E$1869,Player_Season!$B$2:$B$1869,A501)</f>
        <v>1</v>
      </c>
      <c r="F501" s="2" t="n">
        <f aca="false">SUMIFS(Player_Season!$F$2:$F$1869,Player_Season!$B$2:$B$1869,A501)</f>
        <v>0</v>
      </c>
      <c r="G501" s="2" t="n">
        <f aca="false">IF(E501&gt;0,F501/E501,"")</f>
        <v>0</v>
      </c>
      <c r="H501" s="2" t="s">
        <v>83</v>
      </c>
    </row>
    <row r="502" customFormat="false" ht="15" hidden="false" customHeight="false" outlineLevel="0" collapsed="false">
      <c r="A502" s="2" t="s">
        <v>427</v>
      </c>
      <c r="B502" s="2" t="n">
        <v>3</v>
      </c>
      <c r="C502" s="2" t="n">
        <v>2019</v>
      </c>
      <c r="D502" s="2" t="n">
        <v>2024</v>
      </c>
      <c r="E502" s="2" t="n">
        <f aca="false">SUMIFS(Player_Season!$E$2:$E$1869,Player_Season!$B$2:$B$1869,A502)</f>
        <v>0</v>
      </c>
      <c r="F502" s="2" t="n">
        <f aca="false">SUMIFS(Player_Season!$F$2:$F$1869,Player_Season!$B$2:$B$1869,A502)</f>
        <v>0</v>
      </c>
      <c r="G502" s="2" t="str">
        <f aca="false">IF(E502&gt;0,F502/E502,"")</f>
        <v/>
      </c>
      <c r="H502" s="2" t="s">
        <v>29</v>
      </c>
    </row>
    <row r="503" customFormat="false" ht="15" hidden="false" customHeight="false" outlineLevel="0" collapsed="false">
      <c r="A503" s="2" t="s">
        <v>370</v>
      </c>
      <c r="B503" s="2" t="n">
        <v>1</v>
      </c>
      <c r="C503" s="2" t="n">
        <v>2026</v>
      </c>
      <c r="D503" s="2" t="n">
        <v>2026</v>
      </c>
      <c r="E503" s="2" t="n">
        <f aca="false">SUMIFS(Player_Season!$E$2:$E$1869,Player_Season!$B$2:$B$1869,A503)</f>
        <v>2</v>
      </c>
      <c r="F503" s="2" t="n">
        <f aca="false">SUMIFS(Player_Season!$F$2:$F$1869,Player_Season!$B$2:$B$1869,A503)</f>
        <v>0</v>
      </c>
      <c r="G503" s="2" t="n">
        <f aca="false">IF(E503&gt;0,F503/E503,"")</f>
        <v>0</v>
      </c>
      <c r="H503" s="2" t="s">
        <v>115</v>
      </c>
    </row>
    <row r="504" customFormat="false" ht="15" hidden="false" customHeight="false" outlineLevel="0" collapsed="false">
      <c r="A504" s="2" t="s">
        <v>455</v>
      </c>
      <c r="B504" s="2" t="n">
        <v>2</v>
      </c>
      <c r="C504" s="2" t="n">
        <v>2019</v>
      </c>
      <c r="D504" s="2" t="n">
        <v>2021</v>
      </c>
      <c r="E504" s="2" t="n">
        <f aca="false">SUMIFS(Player_Season!$E$2:$E$1869,Player_Season!$B$2:$B$1869,A504)</f>
        <v>7</v>
      </c>
      <c r="F504" s="2" t="n">
        <f aca="false">SUMIFS(Player_Season!$F$2:$F$1869,Player_Season!$B$2:$B$1869,A504)</f>
        <v>0</v>
      </c>
      <c r="G504" s="2" t="n">
        <f aca="false">IF(E504&gt;0,F504/E504,"")</f>
        <v>0</v>
      </c>
      <c r="H504" s="2" t="s">
        <v>117</v>
      </c>
    </row>
    <row r="505" customFormat="false" ht="15" hidden="false" customHeight="false" outlineLevel="0" collapsed="false">
      <c r="A505" s="2" t="s">
        <v>646</v>
      </c>
      <c r="B505" s="2" t="n">
        <v>2</v>
      </c>
      <c r="C505" s="2" t="n">
        <v>2025</v>
      </c>
      <c r="D505" s="2" t="n">
        <v>2026</v>
      </c>
      <c r="E505" s="2" t="n">
        <f aca="false">SUMIFS(Player_Season!$E$2:$E$1869,Player_Season!$B$2:$B$1869,A505)</f>
        <v>0</v>
      </c>
      <c r="F505" s="2" t="n">
        <f aca="false">SUMIFS(Player_Season!$F$2:$F$1869,Player_Season!$B$2:$B$1869,A505)</f>
        <v>0</v>
      </c>
      <c r="G505" s="2" t="str">
        <f aca="false">IF(E505&gt;0,F505/E505,"")</f>
        <v/>
      </c>
      <c r="H505" s="2" t="s">
        <v>413</v>
      </c>
    </row>
    <row r="506" customFormat="false" ht="15" hidden="false" customHeight="false" outlineLevel="0" collapsed="false">
      <c r="A506" s="2" t="s">
        <v>330</v>
      </c>
      <c r="B506" s="2" t="n">
        <v>2</v>
      </c>
      <c r="C506" s="2" t="n">
        <v>2022</v>
      </c>
      <c r="D506" s="2" t="n">
        <v>2023</v>
      </c>
      <c r="E506" s="2" t="n">
        <f aca="false">SUMIFS(Player_Season!$E$2:$E$1869,Player_Season!$B$2:$B$1869,A506)</f>
        <v>7</v>
      </c>
      <c r="F506" s="2" t="n">
        <f aca="false">SUMIFS(Player_Season!$F$2:$F$1869,Player_Season!$B$2:$B$1869,A506)</f>
        <v>0</v>
      </c>
      <c r="G506" s="2" t="n">
        <f aca="false">IF(E506&gt;0,F506/E506,"")</f>
        <v>0</v>
      </c>
      <c r="H506" s="2" t="s">
        <v>117</v>
      </c>
    </row>
    <row r="507" customFormat="false" ht="15" hidden="false" customHeight="false" outlineLevel="0" collapsed="false">
      <c r="A507" s="2" t="s">
        <v>548</v>
      </c>
      <c r="B507" s="2" t="n">
        <v>1</v>
      </c>
      <c r="C507" s="2" t="n">
        <v>2021</v>
      </c>
      <c r="D507" s="2" t="n">
        <v>2021</v>
      </c>
      <c r="E507" s="2" t="n">
        <f aca="false">SUMIFS(Player_Season!$E$2:$E$1869,Player_Season!$B$2:$B$1869,A507)</f>
        <v>0</v>
      </c>
      <c r="F507" s="2" t="n">
        <f aca="false">SUMIFS(Player_Season!$F$2:$F$1869,Player_Season!$B$2:$B$1869,A507)</f>
        <v>0</v>
      </c>
      <c r="G507" s="2" t="str">
        <f aca="false">IF(E507&gt;0,F507/E507,"")</f>
        <v/>
      </c>
      <c r="H507" s="2" t="s">
        <v>83</v>
      </c>
    </row>
    <row r="508" customFormat="false" ht="15" hidden="false" customHeight="false" outlineLevel="0" collapsed="false">
      <c r="A508" s="2" t="s">
        <v>468</v>
      </c>
      <c r="B508" s="2" t="n">
        <v>1</v>
      </c>
      <c r="C508" s="2" t="n">
        <v>2019</v>
      </c>
      <c r="D508" s="2" t="n">
        <v>2019</v>
      </c>
      <c r="E508" s="2" t="n">
        <f aca="false">SUMIFS(Player_Season!$E$2:$E$1869,Player_Season!$B$2:$B$1869,A508)</f>
        <v>1</v>
      </c>
      <c r="F508" s="2" t="n">
        <f aca="false">SUMIFS(Player_Season!$F$2:$F$1869,Player_Season!$B$2:$B$1869,A508)</f>
        <v>0</v>
      </c>
      <c r="G508" s="2" t="n">
        <f aca="false">IF(E508&gt;0,F508/E508,"")</f>
        <v>0</v>
      </c>
      <c r="H508" s="2" t="s">
        <v>115</v>
      </c>
    </row>
    <row r="509" customFormat="false" ht="15" hidden="false" customHeight="false" outlineLevel="0" collapsed="false">
      <c r="A509" s="2" t="s">
        <v>605</v>
      </c>
      <c r="B509" s="2" t="n">
        <v>1</v>
      </c>
      <c r="C509" s="2" t="n">
        <v>2023</v>
      </c>
      <c r="D509" s="2" t="n">
        <v>2023</v>
      </c>
      <c r="E509" s="2" t="n">
        <f aca="false">SUMIFS(Player_Season!$E$2:$E$1869,Player_Season!$B$2:$B$1869,A509)</f>
        <v>0</v>
      </c>
      <c r="F509" s="2" t="n">
        <f aca="false">SUMIFS(Player_Season!$F$2:$F$1869,Player_Season!$B$2:$B$1869,A509)</f>
        <v>0</v>
      </c>
      <c r="G509" s="2" t="str">
        <f aca="false">IF(E509&gt;0,F509/E509,"")</f>
        <v/>
      </c>
      <c r="H509" s="2" t="s">
        <v>409</v>
      </c>
    </row>
    <row r="510" customFormat="false" ht="15" hidden="false" customHeight="false" outlineLevel="0" collapsed="false">
      <c r="A510" s="2" t="s">
        <v>464</v>
      </c>
      <c r="B510" s="2" t="n">
        <v>1</v>
      </c>
      <c r="C510" s="2" t="n">
        <v>2019</v>
      </c>
      <c r="D510" s="2" t="n">
        <v>2019</v>
      </c>
      <c r="E510" s="2" t="n">
        <f aca="false">SUMIFS(Player_Season!$E$2:$E$1869,Player_Season!$B$2:$B$1869,A510)</f>
        <v>1</v>
      </c>
      <c r="F510" s="2" t="n">
        <f aca="false">SUMIFS(Player_Season!$F$2:$F$1869,Player_Season!$B$2:$B$1869,A510)</f>
        <v>0</v>
      </c>
      <c r="G510" s="2" t="n">
        <f aca="false">IF(E510&gt;0,F510/E510,"")</f>
        <v>0</v>
      </c>
      <c r="H510" s="2" t="s">
        <v>409</v>
      </c>
    </row>
    <row r="511" customFormat="false" ht="15" hidden="false" customHeight="false" outlineLevel="0" collapsed="false">
      <c r="A511" s="2" t="s">
        <v>436</v>
      </c>
      <c r="B511" s="2" t="n">
        <v>2</v>
      </c>
      <c r="C511" s="2" t="n">
        <v>2019</v>
      </c>
      <c r="D511" s="2" t="n">
        <v>2020</v>
      </c>
      <c r="E511" s="2" t="n">
        <f aca="false">SUMIFS(Player_Season!$E$2:$E$1869,Player_Season!$B$2:$B$1869,A511)</f>
        <v>1</v>
      </c>
      <c r="F511" s="2" t="n">
        <f aca="false">SUMIFS(Player_Season!$F$2:$F$1869,Player_Season!$B$2:$B$1869,A511)</f>
        <v>0</v>
      </c>
      <c r="G511" s="2" t="n">
        <f aca="false">IF(E511&gt;0,F511/E511,"")</f>
        <v>0</v>
      </c>
      <c r="H511" s="2" t="s">
        <v>24</v>
      </c>
    </row>
    <row r="512" customFormat="false" ht="15" hidden="false" customHeight="false" outlineLevel="0" collapsed="false">
      <c r="A512" s="2" t="s">
        <v>629</v>
      </c>
      <c r="B512" s="2" t="n">
        <v>2</v>
      </c>
      <c r="C512" s="2" t="n">
        <v>2024</v>
      </c>
      <c r="D512" s="2" t="n">
        <v>2025</v>
      </c>
      <c r="E512" s="2" t="n">
        <f aca="false">SUMIFS(Player_Season!$E$2:$E$1869,Player_Season!$B$2:$B$1869,A512)</f>
        <v>0</v>
      </c>
      <c r="F512" s="2" t="n">
        <f aca="false">SUMIFS(Player_Season!$F$2:$F$1869,Player_Season!$B$2:$B$1869,A512)</f>
        <v>0</v>
      </c>
      <c r="G512" s="2" t="str">
        <f aca="false">IF(E512&gt;0,F512/E512,"")</f>
        <v/>
      </c>
      <c r="H512" s="2" t="s">
        <v>24</v>
      </c>
    </row>
    <row r="513" customFormat="false" ht="15" hidden="false" customHeight="false" outlineLevel="0" collapsed="false">
      <c r="A513" s="2" t="s">
        <v>428</v>
      </c>
      <c r="B513" s="2" t="n">
        <v>5</v>
      </c>
      <c r="C513" s="2" t="n">
        <v>2019</v>
      </c>
      <c r="D513" s="2" t="n">
        <v>2023</v>
      </c>
      <c r="E513" s="2" t="n">
        <f aca="false">SUMIFS(Player_Season!$E$2:$E$1869,Player_Season!$B$2:$B$1869,A513)</f>
        <v>39</v>
      </c>
      <c r="F513" s="2" t="n">
        <f aca="false">SUMIFS(Player_Season!$F$2:$F$1869,Player_Season!$B$2:$B$1869,A513)</f>
        <v>0</v>
      </c>
      <c r="G513" s="2" t="n">
        <f aca="false">IF(E513&gt;0,F513/E513,"")</f>
        <v>0</v>
      </c>
      <c r="H513" s="2" t="s">
        <v>409</v>
      </c>
    </row>
    <row r="514" customFormat="false" ht="15" hidden="false" customHeight="false" outlineLevel="0" collapsed="false">
      <c r="A514" s="2" t="s">
        <v>362</v>
      </c>
      <c r="B514" s="2" t="n">
        <v>2</v>
      </c>
      <c r="C514" s="2" t="n">
        <v>2024</v>
      </c>
      <c r="D514" s="2" t="n">
        <v>2025</v>
      </c>
      <c r="E514" s="2" t="n">
        <f aca="false">SUMIFS(Player_Season!$E$2:$E$1869,Player_Season!$B$2:$B$1869,A514)</f>
        <v>4</v>
      </c>
      <c r="F514" s="2" t="n">
        <f aca="false">SUMIFS(Player_Season!$F$2:$F$1869,Player_Season!$B$2:$B$1869,A514)</f>
        <v>0</v>
      </c>
      <c r="G514" s="2" t="n">
        <f aca="false">IF(E514&gt;0,F514/E514,"")</f>
        <v>0</v>
      </c>
      <c r="H514" s="2" t="s">
        <v>117</v>
      </c>
    </row>
    <row r="515" customFormat="false" ht="15" hidden="false" customHeight="false" outlineLevel="0" collapsed="false">
      <c r="A515" s="2" t="s">
        <v>588</v>
      </c>
      <c r="B515" s="2" t="n">
        <v>3</v>
      </c>
      <c r="C515" s="2" t="n">
        <v>2022</v>
      </c>
      <c r="D515" s="2" t="n">
        <v>2024</v>
      </c>
      <c r="E515" s="2" t="n">
        <f aca="false">SUMIFS(Player_Season!$E$2:$E$1869,Player_Season!$B$2:$B$1869,A515)</f>
        <v>0</v>
      </c>
      <c r="F515" s="2" t="n">
        <f aca="false">SUMIFS(Player_Season!$F$2:$F$1869,Player_Season!$B$2:$B$1869,A515)</f>
        <v>0</v>
      </c>
      <c r="G515" s="2" t="str">
        <f aca="false">IF(E515&gt;0,F515/E515,"")</f>
        <v/>
      </c>
      <c r="H515" s="2" t="s">
        <v>83</v>
      </c>
    </row>
    <row r="516" customFormat="false" ht="15" hidden="false" customHeight="false" outlineLevel="0" collapsed="false">
      <c r="A516" s="2" t="s">
        <v>624</v>
      </c>
      <c r="B516" s="2" t="n">
        <v>1</v>
      </c>
      <c r="C516" s="2" t="n">
        <v>2024</v>
      </c>
      <c r="D516" s="2" t="n">
        <v>2024</v>
      </c>
      <c r="E516" s="2" t="n">
        <f aca="false">SUMIFS(Player_Season!$E$2:$E$1869,Player_Season!$B$2:$B$1869,A516)</f>
        <v>0</v>
      </c>
      <c r="F516" s="2" t="n">
        <f aca="false">SUMIFS(Player_Season!$F$2:$F$1869,Player_Season!$B$2:$B$1869,A516)</f>
        <v>0</v>
      </c>
      <c r="G516" s="2" t="str">
        <f aca="false">IF(E516&gt;0,F516/E516,"")</f>
        <v/>
      </c>
      <c r="H516" s="2" t="s">
        <v>29</v>
      </c>
    </row>
    <row r="517" customFormat="false" ht="15" hidden="false" customHeight="false" outlineLevel="0" collapsed="false">
      <c r="A517" s="2" t="s">
        <v>650</v>
      </c>
      <c r="B517" s="2" t="n">
        <v>2</v>
      </c>
      <c r="C517" s="2" t="n">
        <v>2025</v>
      </c>
      <c r="D517" s="2" t="n">
        <v>2026</v>
      </c>
      <c r="E517" s="2" t="n">
        <f aca="false">SUMIFS(Player_Season!$E$2:$E$1869,Player_Season!$B$2:$B$1869,A517)</f>
        <v>0</v>
      </c>
      <c r="F517" s="2" t="n">
        <f aca="false">SUMIFS(Player_Season!$F$2:$F$1869,Player_Season!$B$2:$B$1869,A517)</f>
        <v>0</v>
      </c>
      <c r="G517" s="2" t="str">
        <f aca="false">IF(E517&gt;0,F517/E517,"")</f>
        <v/>
      </c>
      <c r="H517" s="2" t="s">
        <v>83</v>
      </c>
    </row>
    <row r="518" customFormat="false" ht="15" hidden="false" customHeight="false" outlineLevel="0" collapsed="false">
      <c r="A518" s="2" t="s">
        <v>529</v>
      </c>
      <c r="B518" s="2" t="n">
        <v>2</v>
      </c>
      <c r="C518" s="2" t="n">
        <v>2020</v>
      </c>
      <c r="D518" s="2" t="n">
        <v>2021</v>
      </c>
      <c r="E518" s="2" t="n">
        <f aca="false">SUMIFS(Player_Season!$E$2:$E$1869,Player_Season!$B$2:$B$1869,A518)</f>
        <v>0</v>
      </c>
      <c r="F518" s="2" t="n">
        <f aca="false">SUMIFS(Player_Season!$F$2:$F$1869,Player_Season!$B$2:$B$1869,A518)</f>
        <v>0</v>
      </c>
      <c r="G518" s="2" t="str">
        <f aca="false">IF(E518&gt;0,F518/E518,"")</f>
        <v/>
      </c>
      <c r="H518" s="2" t="s">
        <v>29</v>
      </c>
    </row>
    <row r="519" customFormat="false" ht="15" hidden="false" customHeight="false" outlineLevel="0" collapsed="false">
      <c r="A519" s="2" t="s">
        <v>628</v>
      </c>
      <c r="B519" s="2" t="n">
        <v>3</v>
      </c>
      <c r="C519" s="2" t="n">
        <v>2024</v>
      </c>
      <c r="D519" s="2" t="n">
        <v>2026</v>
      </c>
      <c r="E519" s="2" t="n">
        <f aca="false">SUMIFS(Player_Season!$E$2:$E$1869,Player_Season!$B$2:$B$1869,A519)</f>
        <v>1</v>
      </c>
      <c r="F519" s="2" t="n">
        <f aca="false">SUMIFS(Player_Season!$F$2:$F$1869,Player_Season!$B$2:$B$1869,A519)</f>
        <v>0</v>
      </c>
      <c r="G519" s="2" t="n">
        <f aca="false">IF(E519&gt;0,F519/E519,"")</f>
        <v>0</v>
      </c>
      <c r="H519" s="2" t="s">
        <v>409</v>
      </c>
    </row>
    <row r="520" customFormat="false" ht="15" hidden="false" customHeight="false" outlineLevel="0" collapsed="false">
      <c r="A520" s="2" t="s">
        <v>575</v>
      </c>
      <c r="B520" s="2" t="n">
        <v>1</v>
      </c>
      <c r="C520" s="2" t="n">
        <v>2021</v>
      </c>
      <c r="D520" s="2" t="n">
        <v>2021</v>
      </c>
      <c r="E520" s="2" t="n">
        <f aca="false">SUMIFS(Player_Season!$E$2:$E$1869,Player_Season!$B$2:$B$1869,A520)</f>
        <v>0</v>
      </c>
      <c r="F520" s="2" t="n">
        <f aca="false">SUMIFS(Player_Season!$F$2:$F$1869,Player_Season!$B$2:$B$1869,A520)</f>
        <v>0</v>
      </c>
      <c r="G520" s="2" t="str">
        <f aca="false">IF(E520&gt;0,F520/E520,"")</f>
        <v/>
      </c>
      <c r="H520" s="2" t="s">
        <v>117</v>
      </c>
    </row>
    <row r="521" customFormat="false" ht="15" hidden="false" customHeight="false" outlineLevel="0" collapsed="false">
      <c r="A521" s="2" t="s">
        <v>429</v>
      </c>
      <c r="B521" s="2" t="n">
        <v>3</v>
      </c>
      <c r="C521" s="2" t="n">
        <v>2019</v>
      </c>
      <c r="D521" s="2" t="n">
        <v>2021</v>
      </c>
      <c r="E521" s="2" t="n">
        <f aca="false">SUMIFS(Player_Season!$E$2:$E$1869,Player_Season!$B$2:$B$1869,A521)</f>
        <v>3</v>
      </c>
      <c r="F521" s="2" t="n">
        <f aca="false">SUMIFS(Player_Season!$F$2:$F$1869,Player_Season!$B$2:$B$1869,A521)</f>
        <v>0</v>
      </c>
      <c r="G521" s="2" t="n">
        <f aca="false">IF(E521&gt;0,F521/E521,"")</f>
        <v>0</v>
      </c>
      <c r="H521" s="2" t="s">
        <v>117</v>
      </c>
    </row>
    <row r="522" customFormat="false" ht="15" hidden="false" customHeight="false" outlineLevel="0" collapsed="false">
      <c r="A522" s="2" t="s">
        <v>556</v>
      </c>
      <c r="B522" s="2" t="n">
        <v>1</v>
      </c>
      <c r="C522" s="2" t="n">
        <v>2021</v>
      </c>
      <c r="D522" s="2" t="n">
        <v>2021</v>
      </c>
      <c r="E522" s="2" t="n">
        <f aca="false">SUMIFS(Player_Season!$E$2:$E$1869,Player_Season!$B$2:$B$1869,A522)</f>
        <v>0</v>
      </c>
      <c r="F522" s="2" t="n">
        <f aca="false">SUMIFS(Player_Season!$F$2:$F$1869,Player_Season!$B$2:$B$1869,A522)</f>
        <v>0</v>
      </c>
      <c r="G522" s="2" t="str">
        <f aca="false">IF(E522&gt;0,F522/E522,"")</f>
        <v/>
      </c>
      <c r="H522" s="2" t="s">
        <v>117</v>
      </c>
    </row>
    <row r="523" customFormat="false" ht="15" hidden="false" customHeight="false" outlineLevel="0" collapsed="false">
      <c r="A523" s="2" t="s">
        <v>613</v>
      </c>
      <c r="B523" s="2" t="n">
        <v>1</v>
      </c>
      <c r="C523" s="2" t="n">
        <v>2023</v>
      </c>
      <c r="D523" s="2" t="n">
        <v>2023</v>
      </c>
      <c r="E523" s="2" t="n">
        <f aca="false">SUMIFS(Player_Season!$E$2:$E$1869,Player_Season!$B$2:$B$1869,A523)</f>
        <v>2</v>
      </c>
      <c r="F523" s="2" t="n">
        <f aca="false">SUMIFS(Player_Season!$F$2:$F$1869,Player_Season!$B$2:$B$1869,A523)</f>
        <v>0</v>
      </c>
      <c r="G523" s="2" t="n">
        <f aca="false">IF(E523&gt;0,F523/E523,"")</f>
        <v>0</v>
      </c>
      <c r="H523" s="2" t="s">
        <v>409</v>
      </c>
    </row>
    <row r="524" customFormat="false" ht="15" hidden="false" customHeight="false" outlineLevel="0" collapsed="false">
      <c r="A524" s="2" t="s">
        <v>647</v>
      </c>
      <c r="B524" s="2" t="n">
        <v>1</v>
      </c>
      <c r="C524" s="2" t="n">
        <v>2025</v>
      </c>
      <c r="D524" s="2" t="n">
        <v>2025</v>
      </c>
      <c r="E524" s="2" t="n">
        <f aca="false">SUMIFS(Player_Season!$E$2:$E$1869,Player_Season!$B$2:$B$1869,A524)</f>
        <v>2</v>
      </c>
      <c r="F524" s="2" t="n">
        <f aca="false">SUMIFS(Player_Season!$F$2:$F$1869,Player_Season!$B$2:$B$1869,A524)</f>
        <v>0</v>
      </c>
      <c r="G524" s="2" t="n">
        <f aca="false">IF(E524&gt;0,F524/E524,"")</f>
        <v>0</v>
      </c>
      <c r="H524" s="2" t="s">
        <v>409</v>
      </c>
    </row>
    <row r="525" customFormat="false" ht="15" hidden="false" customHeight="false" outlineLevel="0" collapsed="false">
      <c r="A525" s="2" t="s">
        <v>626</v>
      </c>
      <c r="B525" s="2" t="n">
        <v>1</v>
      </c>
      <c r="C525" s="2" t="n">
        <v>2024</v>
      </c>
      <c r="D525" s="2" t="n">
        <v>2024</v>
      </c>
      <c r="E525" s="2" t="n">
        <f aca="false">SUMIFS(Player_Season!$E$2:$E$1869,Player_Season!$B$2:$B$1869,A525)</f>
        <v>0</v>
      </c>
      <c r="F525" s="2" t="n">
        <f aca="false">SUMIFS(Player_Season!$F$2:$F$1869,Player_Season!$B$2:$B$1869,A525)</f>
        <v>0</v>
      </c>
      <c r="G525" s="2" t="str">
        <f aca="false">IF(E525&gt;0,F525/E525,"")</f>
        <v/>
      </c>
      <c r="H525" s="2" t="s">
        <v>83</v>
      </c>
    </row>
    <row r="526" customFormat="false" ht="15" hidden="false" customHeight="false" outlineLevel="0" collapsed="false">
      <c r="A526" s="2" t="s">
        <v>612</v>
      </c>
      <c r="B526" s="2" t="n">
        <v>1</v>
      </c>
      <c r="C526" s="2" t="n">
        <v>2023</v>
      </c>
      <c r="D526" s="2" t="n">
        <v>2023</v>
      </c>
      <c r="E526" s="2" t="n">
        <f aca="false">SUMIFS(Player_Season!$E$2:$E$1869,Player_Season!$B$2:$B$1869,A526)</f>
        <v>0</v>
      </c>
      <c r="F526" s="2" t="n">
        <f aca="false">SUMIFS(Player_Season!$F$2:$F$1869,Player_Season!$B$2:$B$1869,A526)</f>
        <v>0</v>
      </c>
      <c r="G526" s="2" t="str">
        <f aca="false">IF(E526&gt;0,F526/E526,"")</f>
        <v/>
      </c>
      <c r="H526" s="2" t="s">
        <v>29</v>
      </c>
    </row>
    <row r="527" customFormat="false" ht="15" hidden="false" customHeight="false" outlineLevel="0" collapsed="false">
      <c r="A527" s="2" t="s">
        <v>609</v>
      </c>
      <c r="B527" s="2" t="n">
        <v>1</v>
      </c>
      <c r="C527" s="2" t="n">
        <v>2023</v>
      </c>
      <c r="D527" s="2" t="n">
        <v>2023</v>
      </c>
      <c r="E527" s="2" t="n">
        <f aca="false">SUMIFS(Player_Season!$E$2:$E$1869,Player_Season!$B$2:$B$1869,A527)</f>
        <v>0</v>
      </c>
      <c r="F527" s="2" t="n">
        <f aca="false">SUMIFS(Player_Season!$F$2:$F$1869,Player_Season!$B$2:$B$1869,A527)</f>
        <v>0</v>
      </c>
      <c r="G527" s="2" t="str">
        <f aca="false">IF(E527&gt;0,F527/E527,"")</f>
        <v/>
      </c>
      <c r="H527" s="2" t="s">
        <v>117</v>
      </c>
    </row>
    <row r="528" customFormat="false" ht="15" hidden="false" customHeight="false" outlineLevel="0" collapsed="false">
      <c r="A528" s="2" t="s">
        <v>390</v>
      </c>
      <c r="B528" s="2" t="n">
        <v>1</v>
      </c>
      <c r="C528" s="2" t="n">
        <v>2022</v>
      </c>
      <c r="D528" s="2" t="n">
        <v>2022</v>
      </c>
      <c r="E528" s="2" t="n">
        <f aca="false">SUMIFS(Player_Season!$E$2:$E$1869,Player_Season!$B$2:$B$1869,A528)</f>
        <v>2</v>
      </c>
      <c r="F528" s="2" t="n">
        <f aca="false">SUMIFS(Player_Season!$F$2:$F$1869,Player_Season!$B$2:$B$1869,A528)</f>
        <v>0</v>
      </c>
      <c r="G528" s="2" t="n">
        <f aca="false">IF(E528&gt;0,F528/E528,"")</f>
        <v>0</v>
      </c>
      <c r="H528" s="2" t="s">
        <v>29</v>
      </c>
    </row>
    <row r="529" customFormat="false" ht="15" hidden="false" customHeight="false" outlineLevel="0" collapsed="false">
      <c r="A529" s="2" t="s">
        <v>577</v>
      </c>
      <c r="B529" s="2" t="n">
        <v>1</v>
      </c>
      <c r="C529" s="2" t="n">
        <v>2021</v>
      </c>
      <c r="D529" s="2" t="n">
        <v>2021</v>
      </c>
      <c r="E529" s="2" t="n">
        <f aca="false">SUMIFS(Player_Season!$E$2:$E$1869,Player_Season!$B$2:$B$1869,A529)</f>
        <v>0</v>
      </c>
      <c r="F529" s="2" t="n">
        <f aca="false">SUMIFS(Player_Season!$F$2:$F$1869,Player_Season!$B$2:$B$1869,A529)</f>
        <v>0</v>
      </c>
      <c r="G529" s="2" t="str">
        <f aca="false">IF(E529&gt;0,F529/E529,"")</f>
        <v/>
      </c>
      <c r="H529" s="2" t="s">
        <v>24</v>
      </c>
    </row>
    <row r="530" customFormat="false" ht="15" hidden="false" customHeight="false" outlineLevel="0" collapsed="false">
      <c r="A530" s="2" t="s">
        <v>657</v>
      </c>
      <c r="B530" s="2" t="n">
        <v>1</v>
      </c>
      <c r="C530" s="2" t="n">
        <v>2026</v>
      </c>
      <c r="D530" s="2" t="n">
        <v>2026</v>
      </c>
      <c r="E530" s="2" t="n">
        <f aca="false">SUMIFS(Player_Season!$E$2:$E$1869,Player_Season!$B$2:$B$1869,A530)</f>
        <v>1</v>
      </c>
      <c r="F530" s="2" t="n">
        <f aca="false">SUMIFS(Player_Season!$F$2:$F$1869,Player_Season!$B$2:$B$1869,A530)</f>
        <v>0</v>
      </c>
      <c r="G530" s="2" t="n">
        <f aca="false">IF(E530&gt;0,F530/E530,"")</f>
        <v>0</v>
      </c>
      <c r="H530" s="2" t="s">
        <v>413</v>
      </c>
    </row>
    <row r="531" customFormat="false" ht="15" hidden="false" customHeight="false" outlineLevel="0" collapsed="false">
      <c r="A531" s="2" t="s">
        <v>506</v>
      </c>
      <c r="B531" s="2" t="n">
        <v>1</v>
      </c>
      <c r="C531" s="2" t="n">
        <v>2019</v>
      </c>
      <c r="D531" s="2" t="n">
        <v>2019</v>
      </c>
      <c r="E531" s="2" t="n">
        <f aca="false">SUMIFS(Player_Season!$E$2:$E$1869,Player_Season!$B$2:$B$1869,A531)</f>
        <v>3</v>
      </c>
      <c r="F531" s="2" t="n">
        <f aca="false">SUMIFS(Player_Season!$F$2:$F$1869,Player_Season!$B$2:$B$1869,A531)</f>
        <v>0</v>
      </c>
      <c r="G531" s="2" t="n">
        <f aca="false">IF(E531&gt;0,F531/E531,"")</f>
        <v>0</v>
      </c>
      <c r="H531" s="2" t="s">
        <v>29</v>
      </c>
    </row>
    <row r="532" customFormat="false" ht="15" hidden="false" customHeight="false" outlineLevel="0" collapsed="false">
      <c r="A532" s="2" t="s">
        <v>607</v>
      </c>
      <c r="B532" s="2" t="n">
        <v>1</v>
      </c>
      <c r="C532" s="2" t="n">
        <v>2023</v>
      </c>
      <c r="D532" s="2" t="n">
        <v>2023</v>
      </c>
      <c r="E532" s="2" t="n">
        <f aca="false">SUMIFS(Player_Season!$E$2:$E$1869,Player_Season!$B$2:$B$1869,A532)</f>
        <v>0</v>
      </c>
      <c r="F532" s="2" t="n">
        <f aca="false">SUMIFS(Player_Season!$F$2:$F$1869,Player_Season!$B$2:$B$1869,A532)</f>
        <v>0</v>
      </c>
      <c r="G532" s="2" t="str">
        <f aca="false">IF(E532&gt;0,F532/E532,"")</f>
        <v/>
      </c>
      <c r="H532" s="2" t="s">
        <v>117</v>
      </c>
    </row>
    <row r="533" customFormat="false" ht="15" hidden="false" customHeight="false" outlineLevel="0" collapsed="false">
      <c r="A533" s="2" t="s">
        <v>566</v>
      </c>
      <c r="B533" s="2" t="n">
        <v>1</v>
      </c>
      <c r="C533" s="2" t="n">
        <v>2021</v>
      </c>
      <c r="D533" s="2" t="n">
        <v>2021</v>
      </c>
      <c r="E533" s="2" t="n">
        <f aca="false">SUMIFS(Player_Season!$E$2:$E$1869,Player_Season!$B$2:$B$1869,A533)</f>
        <v>1</v>
      </c>
      <c r="F533" s="2" t="n">
        <f aca="false">SUMIFS(Player_Season!$F$2:$F$1869,Player_Season!$B$2:$B$1869,A533)</f>
        <v>0</v>
      </c>
      <c r="G533" s="2" t="n">
        <f aca="false">IF(E533&gt;0,F533/E533,"")</f>
        <v>0</v>
      </c>
      <c r="H533" s="2" t="s">
        <v>29</v>
      </c>
    </row>
    <row r="534" customFormat="false" ht="15" hidden="false" customHeight="false" outlineLevel="0" collapsed="false">
      <c r="A534" s="2" t="s">
        <v>584</v>
      </c>
      <c r="B534" s="2" t="n">
        <v>6</v>
      </c>
      <c r="C534" s="2" t="n">
        <v>2021</v>
      </c>
      <c r="D534" s="2" t="n">
        <v>2026</v>
      </c>
      <c r="E534" s="2" t="n">
        <f aca="false">SUMIFS(Player_Season!$E$2:$E$1869,Player_Season!$B$2:$B$1869,A534)</f>
        <v>12</v>
      </c>
      <c r="F534" s="2" t="n">
        <f aca="false">SUMIFS(Player_Season!$F$2:$F$1869,Player_Season!$B$2:$B$1869,A534)</f>
        <v>0</v>
      </c>
      <c r="G534" s="2" t="n">
        <f aca="false">IF(E534&gt;0,F534/E534,"")</f>
        <v>0</v>
      </c>
      <c r="H534" s="2" t="s">
        <v>409</v>
      </c>
    </row>
    <row r="535" customFormat="false" ht="15" hidden="false" customHeight="false" outlineLevel="0" collapsed="false">
      <c r="A535" s="2" t="s">
        <v>573</v>
      </c>
      <c r="B535" s="2" t="n">
        <v>1</v>
      </c>
      <c r="C535" s="2" t="n">
        <v>2021</v>
      </c>
      <c r="D535" s="2" t="n">
        <v>2021</v>
      </c>
      <c r="E535" s="2" t="n">
        <f aca="false">SUMIFS(Player_Season!$E$2:$E$1869,Player_Season!$B$2:$B$1869,A535)</f>
        <v>0</v>
      </c>
      <c r="F535" s="2" t="n">
        <f aca="false">SUMIFS(Player_Season!$F$2:$F$1869,Player_Season!$B$2:$B$1869,A535)</f>
        <v>0</v>
      </c>
      <c r="G535" s="2" t="str">
        <f aca="false">IF(E535&gt;0,F535/E535,"")</f>
        <v/>
      </c>
      <c r="H535" s="2" t="s">
        <v>413</v>
      </c>
    </row>
    <row r="536" customFormat="false" ht="15" hidden="false" customHeight="false" outlineLevel="0" collapsed="false">
      <c r="A536" s="2" t="s">
        <v>635</v>
      </c>
      <c r="B536" s="2" t="n">
        <v>1</v>
      </c>
      <c r="C536" s="2" t="n">
        <v>2025</v>
      </c>
      <c r="D536" s="2" t="n">
        <v>2025</v>
      </c>
      <c r="E536" s="2" t="n">
        <f aca="false">SUMIFS(Player_Season!$E$2:$E$1869,Player_Season!$B$2:$B$1869,A536)</f>
        <v>0</v>
      </c>
      <c r="F536" s="2" t="n">
        <f aca="false">SUMIFS(Player_Season!$F$2:$F$1869,Player_Season!$B$2:$B$1869,A536)</f>
        <v>0</v>
      </c>
      <c r="G536" s="2" t="str">
        <f aca="false">IF(E536&gt;0,F536/E536,"")</f>
        <v/>
      </c>
      <c r="H536" s="2" t="s">
        <v>117</v>
      </c>
    </row>
    <row r="537" customFormat="false" ht="15" hidden="false" customHeight="false" outlineLevel="0" collapsed="false">
      <c r="A537" s="2" t="s">
        <v>525</v>
      </c>
      <c r="B537" s="2" t="n">
        <v>2</v>
      </c>
      <c r="C537" s="2" t="n">
        <v>2020</v>
      </c>
      <c r="D537" s="2" t="n">
        <v>2021</v>
      </c>
      <c r="E537" s="2" t="n">
        <f aca="false">SUMIFS(Player_Season!$E$2:$E$1869,Player_Season!$B$2:$B$1869,A537)</f>
        <v>5</v>
      </c>
      <c r="F537" s="2" t="n">
        <f aca="false">SUMIFS(Player_Season!$F$2:$F$1869,Player_Season!$B$2:$B$1869,A537)</f>
        <v>0</v>
      </c>
      <c r="G537" s="2" t="n">
        <f aca="false">IF(E537&gt;0,F537/E537,"")</f>
        <v>0</v>
      </c>
      <c r="H537" s="2" t="s">
        <v>117</v>
      </c>
    </row>
    <row r="538" customFormat="false" ht="15" hidden="false" customHeight="false" outlineLevel="0" collapsed="false">
      <c r="A538" s="2" t="s">
        <v>618</v>
      </c>
      <c r="B538" s="2" t="n">
        <v>3</v>
      </c>
      <c r="C538" s="2" t="n">
        <v>2023</v>
      </c>
      <c r="D538" s="2" t="n">
        <v>2025</v>
      </c>
      <c r="E538" s="2" t="n">
        <f aca="false">SUMIFS(Player_Season!$E$2:$E$1869,Player_Season!$B$2:$B$1869,A538)</f>
        <v>0</v>
      </c>
      <c r="F538" s="2" t="n">
        <f aca="false">SUMIFS(Player_Season!$F$2:$F$1869,Player_Season!$B$2:$B$1869,A538)</f>
        <v>0</v>
      </c>
      <c r="G538" s="2" t="str">
        <f aca="false">IF(E538&gt;0,F538/E538,"")</f>
        <v/>
      </c>
      <c r="H538" s="2" t="s">
        <v>117</v>
      </c>
    </row>
    <row r="539" customFormat="false" ht="15" hidden="false" customHeight="false" outlineLevel="0" collapsed="false">
      <c r="A539" s="2" t="s">
        <v>638</v>
      </c>
      <c r="B539" s="2" t="n">
        <v>2</v>
      </c>
      <c r="C539" s="2" t="n">
        <v>2025</v>
      </c>
      <c r="D539" s="2" t="n">
        <v>2026</v>
      </c>
      <c r="E539" s="2" t="n">
        <f aca="false">SUMIFS(Player_Season!$E$2:$E$1869,Player_Season!$B$2:$B$1869,A539)</f>
        <v>0</v>
      </c>
      <c r="F539" s="2" t="n">
        <f aca="false">SUMIFS(Player_Season!$F$2:$F$1869,Player_Season!$B$2:$B$1869,A539)</f>
        <v>0</v>
      </c>
      <c r="G539" s="2" t="str">
        <f aca="false">IF(E539&gt;0,F539/E539,"")</f>
        <v/>
      </c>
      <c r="H539" s="2" t="s">
        <v>83</v>
      </c>
    </row>
    <row r="540" customFormat="false" ht="15" hidden="false" customHeight="false" outlineLevel="0" collapsed="false">
      <c r="A540" s="2" t="s">
        <v>388</v>
      </c>
      <c r="B540" s="2" t="n">
        <v>3</v>
      </c>
      <c r="C540" s="2" t="n">
        <v>2024</v>
      </c>
      <c r="D540" s="2" t="n">
        <v>2026</v>
      </c>
      <c r="E540" s="2" t="n">
        <f aca="false">SUMIFS(Player_Season!$E$2:$E$1869,Player_Season!$B$2:$B$1869,A540)</f>
        <v>2</v>
      </c>
      <c r="F540" s="2" t="n">
        <f aca="false">SUMIFS(Player_Season!$F$2:$F$1869,Player_Season!$B$2:$B$1869,A540)</f>
        <v>0</v>
      </c>
      <c r="G540" s="2" t="n">
        <f aca="false">IF(E540&gt;0,F540/E540,"")</f>
        <v>0</v>
      </c>
      <c r="H540" s="2" t="s">
        <v>117</v>
      </c>
    </row>
    <row r="541" customFormat="false" ht="15" hidden="false" customHeight="false" outlineLevel="0" collapsed="false">
      <c r="A541" s="2" t="s">
        <v>320</v>
      </c>
      <c r="B541" s="2" t="n">
        <v>3</v>
      </c>
      <c r="C541" s="2" t="n">
        <v>2024</v>
      </c>
      <c r="D541" s="2" t="n">
        <v>2026</v>
      </c>
      <c r="E541" s="2" t="n">
        <f aca="false">SUMIFS(Player_Season!$E$2:$E$1869,Player_Season!$B$2:$B$1869,A541)</f>
        <v>10</v>
      </c>
      <c r="F541" s="2" t="n">
        <f aca="false">SUMIFS(Player_Season!$F$2:$F$1869,Player_Season!$B$2:$B$1869,A541)</f>
        <v>0</v>
      </c>
      <c r="G541" s="2" t="n">
        <f aca="false">IF(E541&gt;0,F541/E541,"")</f>
        <v>0</v>
      </c>
      <c r="H541" s="2" t="s">
        <v>117</v>
      </c>
    </row>
    <row r="542" customFormat="false" ht="15" hidden="false" customHeight="false" outlineLevel="0" collapsed="false">
      <c r="A542" s="2" t="s">
        <v>630</v>
      </c>
      <c r="B542" s="2" t="n">
        <v>1</v>
      </c>
      <c r="C542" s="2" t="n">
        <v>2024</v>
      </c>
      <c r="D542" s="2" t="n">
        <v>2024</v>
      </c>
      <c r="E542" s="2" t="n">
        <f aca="false">SUMIFS(Player_Season!$E$2:$E$1869,Player_Season!$B$2:$B$1869,A542)</f>
        <v>0</v>
      </c>
      <c r="F542" s="2" t="n">
        <f aca="false">SUMIFS(Player_Season!$F$2:$F$1869,Player_Season!$B$2:$B$1869,A542)</f>
        <v>0</v>
      </c>
      <c r="G542" s="2" t="str">
        <f aca="false">IF(E542&gt;0,F542/E542,"")</f>
        <v/>
      </c>
      <c r="H542" s="2" t="s">
        <v>29</v>
      </c>
    </row>
    <row r="543" customFormat="false" ht="15" hidden="false" customHeight="false" outlineLevel="0" collapsed="false">
      <c r="A543" s="2" t="s">
        <v>598</v>
      </c>
      <c r="B543" s="2" t="n">
        <v>2</v>
      </c>
      <c r="C543" s="2" t="n">
        <v>2022</v>
      </c>
      <c r="D543" s="2" t="n">
        <v>2023</v>
      </c>
      <c r="E543" s="2" t="n">
        <f aca="false">SUMIFS(Player_Season!$E$2:$E$1869,Player_Season!$B$2:$B$1869,A543)</f>
        <v>1</v>
      </c>
      <c r="F543" s="2" t="n">
        <f aca="false">SUMIFS(Player_Season!$F$2:$F$1869,Player_Season!$B$2:$B$1869,A543)</f>
        <v>0</v>
      </c>
      <c r="G543" s="2" t="n">
        <f aca="false">IF(E543&gt;0,F543/E543,"")</f>
        <v>0</v>
      </c>
      <c r="H543" s="2" t="s">
        <v>413</v>
      </c>
    </row>
    <row r="544" customFormat="false" ht="15" hidden="false" customHeight="false" outlineLevel="0" collapsed="false">
      <c r="A544" s="2" t="s">
        <v>614</v>
      </c>
      <c r="B544" s="2" t="n">
        <v>2</v>
      </c>
      <c r="C544" s="2" t="n">
        <v>2023</v>
      </c>
      <c r="D544" s="2" t="n">
        <v>2024</v>
      </c>
      <c r="E544" s="2" t="n">
        <f aca="false">SUMIFS(Player_Season!$E$2:$E$1869,Player_Season!$B$2:$B$1869,A544)</f>
        <v>3</v>
      </c>
      <c r="F544" s="2" t="n">
        <f aca="false">SUMIFS(Player_Season!$F$2:$F$1869,Player_Season!$B$2:$B$1869,A544)</f>
        <v>0</v>
      </c>
      <c r="G544" s="2" t="n">
        <f aca="false">IF(E544&gt;0,F544/E544,"")</f>
        <v>0</v>
      </c>
      <c r="H544" s="2" t="s">
        <v>413</v>
      </c>
    </row>
    <row r="545" customFormat="false" ht="15" hidden="false" customHeight="false" outlineLevel="0" collapsed="false">
      <c r="A545" s="2" t="s">
        <v>354</v>
      </c>
      <c r="B545" s="2" t="n">
        <v>2</v>
      </c>
      <c r="C545" s="2" t="n">
        <v>2025</v>
      </c>
      <c r="D545" s="2" t="n">
        <v>2026</v>
      </c>
      <c r="E545" s="2" t="n">
        <f aca="false">SUMIFS(Player_Season!$E$2:$E$1869,Player_Season!$B$2:$B$1869,A545)</f>
        <v>2</v>
      </c>
      <c r="F545" s="2" t="n">
        <f aca="false">SUMIFS(Player_Season!$F$2:$F$1869,Player_Season!$B$2:$B$1869,A545)</f>
        <v>0</v>
      </c>
      <c r="G545" s="2" t="n">
        <f aca="false">IF(E545&gt;0,F545/E545,"")</f>
        <v>0</v>
      </c>
      <c r="H545" s="2" t="s">
        <v>29</v>
      </c>
    </row>
    <row r="546" customFormat="false" ht="15" hidden="false" customHeight="false" outlineLevel="0" collapsed="false">
      <c r="A546" s="2" t="s">
        <v>363</v>
      </c>
      <c r="B546" s="2" t="n">
        <v>1</v>
      </c>
      <c r="C546" s="2" t="n">
        <v>2025</v>
      </c>
      <c r="D546" s="2" t="n">
        <v>2025</v>
      </c>
      <c r="E546" s="2" t="n">
        <f aca="false">SUMIFS(Player_Season!$E$2:$E$1869,Player_Season!$B$2:$B$1869,A546)</f>
        <v>2</v>
      </c>
      <c r="F546" s="2" t="n">
        <f aca="false">SUMIFS(Player_Season!$F$2:$F$1869,Player_Season!$B$2:$B$1869,A546)</f>
        <v>0</v>
      </c>
      <c r="G546" s="2" t="n">
        <f aca="false">IF(E546&gt;0,F546/E546,"")</f>
        <v>0</v>
      </c>
      <c r="H546" s="2" t="s">
        <v>83</v>
      </c>
    </row>
    <row r="547" customFormat="false" ht="15" hidden="false" customHeight="false" outlineLevel="0" collapsed="false">
      <c r="A547" s="2" t="s">
        <v>581</v>
      </c>
      <c r="B547" s="2" t="n">
        <v>1</v>
      </c>
      <c r="C547" s="2" t="n">
        <v>2021</v>
      </c>
      <c r="D547" s="2" t="n">
        <v>2021</v>
      </c>
      <c r="E547" s="2" t="n">
        <f aca="false">SUMIFS(Player_Season!$E$2:$E$1869,Player_Season!$B$2:$B$1869,A547)</f>
        <v>2</v>
      </c>
      <c r="F547" s="2" t="n">
        <f aca="false">SUMIFS(Player_Season!$F$2:$F$1869,Player_Season!$B$2:$B$1869,A547)</f>
        <v>0</v>
      </c>
      <c r="G547" s="2" t="n">
        <f aca="false">IF(E547&gt;0,F547/E547,"")</f>
        <v>0</v>
      </c>
      <c r="H547" s="2" t="s">
        <v>117</v>
      </c>
    </row>
    <row r="548" customFormat="false" ht="15" hidden="false" customHeight="false" outlineLevel="0" collapsed="false">
      <c r="A548" s="2" t="s">
        <v>385</v>
      </c>
      <c r="B548" s="2" t="n">
        <v>1</v>
      </c>
      <c r="C548" s="2" t="n">
        <v>2026</v>
      </c>
      <c r="D548" s="2" t="n">
        <v>2026</v>
      </c>
      <c r="E548" s="2" t="n">
        <f aca="false">SUMIFS(Player_Season!$E$2:$E$1869,Player_Season!$B$2:$B$1869,A548)</f>
        <v>2</v>
      </c>
      <c r="F548" s="2" t="n">
        <f aca="false">SUMIFS(Player_Season!$F$2:$F$1869,Player_Season!$B$2:$B$1869,A548)</f>
        <v>0</v>
      </c>
      <c r="G548" s="2" t="n">
        <f aca="false">IF(E548&gt;0,F548/E548,"")</f>
        <v>0</v>
      </c>
      <c r="H548" s="2" t="s">
        <v>83</v>
      </c>
    </row>
    <row r="549" customFormat="false" ht="15" hidden="false" customHeight="false" outlineLevel="0" collapsed="false">
      <c r="A549" s="2" t="s">
        <v>542</v>
      </c>
      <c r="B549" s="2" t="n">
        <v>1</v>
      </c>
      <c r="C549" s="2" t="n">
        <v>2021</v>
      </c>
      <c r="D549" s="2" t="n">
        <v>2021</v>
      </c>
      <c r="E549" s="2" t="n">
        <f aca="false">SUMIFS(Player_Season!$E$2:$E$1869,Player_Season!$B$2:$B$1869,A549)</f>
        <v>0</v>
      </c>
      <c r="F549" s="2" t="n">
        <f aca="false">SUMIFS(Player_Season!$F$2:$F$1869,Player_Season!$B$2:$B$1869,A549)</f>
        <v>0</v>
      </c>
      <c r="G549" s="2" t="str">
        <f aca="false">IF(E549&gt;0,F549/E549,"")</f>
        <v/>
      </c>
      <c r="H549" s="2" t="s">
        <v>83</v>
      </c>
    </row>
    <row r="550" customFormat="false" ht="15" hidden="false" customHeight="false" outlineLevel="0" collapsed="false">
      <c r="A550" s="2" t="s">
        <v>648</v>
      </c>
      <c r="B550" s="2" t="n">
        <v>2</v>
      </c>
      <c r="C550" s="2" t="n">
        <v>2025</v>
      </c>
      <c r="D550" s="2" t="n">
        <v>2026</v>
      </c>
      <c r="E550" s="2" t="n">
        <f aca="false">SUMIFS(Player_Season!$E$2:$E$1869,Player_Season!$B$2:$B$1869,A550)</f>
        <v>0</v>
      </c>
      <c r="F550" s="2" t="n">
        <f aca="false">SUMIFS(Player_Season!$F$2:$F$1869,Player_Season!$B$2:$B$1869,A550)</f>
        <v>0</v>
      </c>
      <c r="G550" s="2" t="str">
        <f aca="false">IF(E550&gt;0,F550/E550,"")</f>
        <v/>
      </c>
      <c r="H550" s="2" t="s">
        <v>29</v>
      </c>
    </row>
    <row r="551" customFormat="false" ht="15" hidden="false" customHeight="false" outlineLevel="0" collapsed="false">
      <c r="A551" s="2" t="s">
        <v>513</v>
      </c>
      <c r="B551" s="2" t="n">
        <v>2</v>
      </c>
      <c r="C551" s="2" t="n">
        <v>2019</v>
      </c>
      <c r="D551" s="2" t="n">
        <v>2020</v>
      </c>
      <c r="E551" s="2" t="n">
        <f aca="false">SUMIFS(Player_Season!$E$2:$E$1869,Player_Season!$B$2:$B$1869,A551)</f>
        <v>7</v>
      </c>
      <c r="F551" s="2" t="n">
        <f aca="false">SUMIFS(Player_Season!$F$2:$F$1869,Player_Season!$B$2:$B$1869,A551)</f>
        <v>0</v>
      </c>
      <c r="G551" s="2" t="n">
        <f aca="false">IF(E551&gt;0,F551/E551,"")</f>
        <v>0</v>
      </c>
      <c r="H551" s="2" t="s">
        <v>409</v>
      </c>
    </row>
    <row r="552" customFormat="false" ht="15" hidden="false" customHeight="false" outlineLevel="0" collapsed="false">
      <c r="A552" s="2" t="s">
        <v>520</v>
      </c>
      <c r="B552" s="2" t="n">
        <v>5</v>
      </c>
      <c r="C552" s="2" t="n">
        <v>2020</v>
      </c>
      <c r="D552" s="2" t="n">
        <v>2024</v>
      </c>
      <c r="E552" s="2" t="n">
        <f aca="false">SUMIFS(Player_Season!$E$2:$E$1869,Player_Season!$B$2:$B$1869,A552)</f>
        <v>11</v>
      </c>
      <c r="F552" s="2" t="n">
        <f aca="false">SUMIFS(Player_Season!$F$2:$F$1869,Player_Season!$B$2:$B$1869,A552)</f>
        <v>0</v>
      </c>
      <c r="G552" s="2" t="n">
        <f aca="false">IF(E552&gt;0,F552/E552,"")</f>
        <v>0</v>
      </c>
      <c r="H552" s="2" t="s">
        <v>115</v>
      </c>
    </row>
    <row r="553" customFormat="false" ht="15" hidden="false" customHeight="false" outlineLevel="0" collapsed="false">
      <c r="A553" s="2" t="s">
        <v>590</v>
      </c>
      <c r="B553" s="2" t="n">
        <v>2</v>
      </c>
      <c r="C553" s="2" t="n">
        <v>2022</v>
      </c>
      <c r="D553" s="2" t="n">
        <v>2023</v>
      </c>
      <c r="E553" s="2" t="n">
        <f aca="false">SUMIFS(Player_Season!$E$2:$E$1869,Player_Season!$B$2:$B$1869,A553)</f>
        <v>0</v>
      </c>
      <c r="F553" s="2" t="n">
        <f aca="false">SUMIFS(Player_Season!$F$2:$F$1869,Player_Season!$B$2:$B$1869,A553)</f>
        <v>0</v>
      </c>
      <c r="G553" s="2" t="str">
        <f aca="false">IF(E553&gt;0,F553/E553,"")</f>
        <v/>
      </c>
      <c r="H553" s="2" t="s">
        <v>117</v>
      </c>
    </row>
    <row r="554" customFormat="false" ht="15" hidden="false" customHeight="false" outlineLevel="0" collapsed="false">
      <c r="A554" s="2" t="s">
        <v>637</v>
      </c>
      <c r="B554" s="2" t="n">
        <v>2</v>
      </c>
      <c r="C554" s="2" t="n">
        <v>2025</v>
      </c>
      <c r="D554" s="2" t="n">
        <v>2026</v>
      </c>
      <c r="E554" s="2" t="n">
        <f aca="false">SUMIFS(Player_Season!$E$2:$E$1869,Player_Season!$B$2:$B$1869,A554)</f>
        <v>0</v>
      </c>
      <c r="F554" s="2" t="n">
        <f aca="false">SUMIFS(Player_Season!$F$2:$F$1869,Player_Season!$B$2:$B$1869,A554)</f>
        <v>0</v>
      </c>
      <c r="G554" s="2" t="str">
        <f aca="false">IF(E554&gt;0,F554/E554,"")</f>
        <v/>
      </c>
      <c r="H554" s="2" t="s">
        <v>29</v>
      </c>
    </row>
    <row r="555" customFormat="false" ht="15" hidden="false" customHeight="false" outlineLevel="0" collapsed="false">
      <c r="A555" s="2" t="s">
        <v>553</v>
      </c>
      <c r="B555" s="2" t="n">
        <v>1</v>
      </c>
      <c r="C555" s="2" t="n">
        <v>2021</v>
      </c>
      <c r="D555" s="2" t="n">
        <v>2021</v>
      </c>
      <c r="E555" s="2" t="n">
        <f aca="false">SUMIFS(Player_Season!$E$2:$E$1869,Player_Season!$B$2:$B$1869,A555)</f>
        <v>1</v>
      </c>
      <c r="F555" s="2" t="n">
        <f aca="false">SUMIFS(Player_Season!$F$2:$F$1869,Player_Season!$B$2:$B$1869,A555)</f>
        <v>0</v>
      </c>
      <c r="G555" s="2" t="n">
        <f aca="false">IF(E555&gt;0,F555/E555,"")</f>
        <v>0</v>
      </c>
      <c r="H555" s="2" t="s">
        <v>413</v>
      </c>
    </row>
    <row r="556" customFormat="false" ht="15" hidden="false" customHeight="false" outlineLevel="0" collapsed="false">
      <c r="A556" s="2" t="s">
        <v>430</v>
      </c>
      <c r="B556" s="2" t="n">
        <v>3</v>
      </c>
      <c r="C556" s="2" t="n">
        <v>2019</v>
      </c>
      <c r="D556" s="2" t="n">
        <v>2021</v>
      </c>
      <c r="E556" s="2" t="n">
        <f aca="false">SUMIFS(Player_Season!$E$2:$E$1869,Player_Season!$B$2:$B$1869,A556)</f>
        <v>12</v>
      </c>
      <c r="F556" s="2" t="n">
        <f aca="false">SUMIFS(Player_Season!$F$2:$F$1869,Player_Season!$B$2:$B$1869,A556)</f>
        <v>0</v>
      </c>
      <c r="G556" s="2" t="n">
        <f aca="false">IF(E556&gt;0,F556/E556,"")</f>
        <v>0</v>
      </c>
      <c r="H556" s="2" t="s">
        <v>117</v>
      </c>
    </row>
    <row r="557" customFormat="false" ht="15" hidden="false" customHeight="false" outlineLevel="0" collapsed="false">
      <c r="A557" s="2" t="s">
        <v>550</v>
      </c>
      <c r="B557" s="2" t="n">
        <v>1</v>
      </c>
      <c r="C557" s="2" t="n">
        <v>2021</v>
      </c>
      <c r="D557" s="2" t="n">
        <v>2021</v>
      </c>
      <c r="E557" s="2" t="n">
        <f aca="false">SUMIFS(Player_Season!$E$2:$E$1869,Player_Season!$B$2:$B$1869,A557)</f>
        <v>0</v>
      </c>
      <c r="F557" s="2" t="n">
        <f aca="false">SUMIFS(Player_Season!$F$2:$F$1869,Player_Season!$B$2:$B$1869,A557)</f>
        <v>0</v>
      </c>
      <c r="G557" s="2" t="str">
        <f aca="false">IF(E557&gt;0,F557/E557,"")</f>
        <v/>
      </c>
      <c r="H557" s="2" t="s">
        <v>29</v>
      </c>
    </row>
    <row r="558" customFormat="false" ht="15" hidden="false" customHeight="false" outlineLevel="0" collapsed="false">
      <c r="A558" s="2" t="s">
        <v>426</v>
      </c>
      <c r="B558" s="2" t="n">
        <v>3</v>
      </c>
      <c r="C558" s="2" t="n">
        <v>2019</v>
      </c>
      <c r="D558" s="2" t="n">
        <v>2021</v>
      </c>
      <c r="E558" s="2" t="n">
        <f aca="false">SUMIFS(Player_Season!$E$2:$E$1869,Player_Season!$B$2:$B$1869,A558)</f>
        <v>12</v>
      </c>
      <c r="F558" s="2" t="n">
        <f aca="false">SUMIFS(Player_Season!$F$2:$F$1869,Player_Season!$B$2:$B$1869,A558)</f>
        <v>0</v>
      </c>
      <c r="G558" s="2" t="n">
        <f aca="false">IF(E558&gt;0,F558/E558,"")</f>
        <v>0</v>
      </c>
      <c r="H558" s="2" t="s">
        <v>117</v>
      </c>
    </row>
    <row r="559" customFormat="false" ht="15" hidden="false" customHeight="false" outlineLevel="0" collapsed="false">
      <c r="A559" s="2" t="s">
        <v>384</v>
      </c>
      <c r="B559" s="2" t="n">
        <v>1</v>
      </c>
      <c r="C559" s="2" t="n">
        <v>2026</v>
      </c>
      <c r="D559" s="2" t="n">
        <v>2026</v>
      </c>
      <c r="E559" s="2" t="n">
        <f aca="false">SUMIFS(Player_Season!$E$2:$E$1869,Player_Season!$B$2:$B$1869,A559)</f>
        <v>1</v>
      </c>
      <c r="F559" s="2" t="n">
        <f aca="false">SUMIFS(Player_Season!$F$2:$F$1869,Player_Season!$B$2:$B$1869,A559)</f>
        <v>0</v>
      </c>
      <c r="G559" s="2" t="n">
        <f aca="false">IF(E559&gt;0,F559/E559,"")</f>
        <v>0</v>
      </c>
      <c r="H559" s="2" t="s">
        <v>83</v>
      </c>
    </row>
    <row r="560" customFormat="false" ht="15" hidden="false" customHeight="false" outlineLevel="0" collapsed="false">
      <c r="A560" s="2" t="s">
        <v>537</v>
      </c>
      <c r="B560" s="2" t="n">
        <v>3</v>
      </c>
      <c r="C560" s="2" t="n">
        <v>2020</v>
      </c>
      <c r="D560" s="2" t="n">
        <v>2023</v>
      </c>
      <c r="E560" s="2" t="n">
        <f aca="false">SUMIFS(Player_Season!$E$2:$E$1869,Player_Season!$B$2:$B$1869,A560)</f>
        <v>8</v>
      </c>
      <c r="F560" s="2" t="n">
        <f aca="false">SUMIFS(Player_Season!$F$2:$F$1869,Player_Season!$B$2:$B$1869,A560)</f>
        <v>0</v>
      </c>
      <c r="G560" s="2" t="n">
        <f aca="false">IF(E560&gt;0,F560/E560,"")</f>
        <v>0</v>
      </c>
      <c r="H560" s="2" t="s">
        <v>413</v>
      </c>
    </row>
    <row r="561" customFormat="false" ht="15" hidden="false" customHeight="false" outlineLevel="0" collapsed="false">
      <c r="A561" s="2" t="s">
        <v>579</v>
      </c>
      <c r="B561" s="2" t="n">
        <v>1</v>
      </c>
      <c r="C561" s="2" t="n">
        <v>2021</v>
      </c>
      <c r="D561" s="2" t="n">
        <v>2021</v>
      </c>
      <c r="E561" s="2" t="n">
        <f aca="false">SUMIFS(Player_Season!$E$2:$E$1869,Player_Season!$B$2:$B$1869,A561)</f>
        <v>0</v>
      </c>
      <c r="F561" s="2" t="n">
        <f aca="false">SUMIFS(Player_Season!$F$2:$F$1869,Player_Season!$B$2:$B$1869,A561)</f>
        <v>0</v>
      </c>
      <c r="G561" s="2" t="str">
        <f aca="false">IF(E561&gt;0,F561/E561,"")</f>
        <v/>
      </c>
      <c r="H561" s="2" t="s">
        <v>24</v>
      </c>
    </row>
    <row r="562" customFormat="false" ht="15" hidden="false" customHeight="false" outlineLevel="0" collapsed="false">
      <c r="A562" s="2" t="s">
        <v>559</v>
      </c>
      <c r="B562" s="2" t="n">
        <v>1</v>
      </c>
      <c r="C562" s="2" t="n">
        <v>2021</v>
      </c>
      <c r="D562" s="2" t="n">
        <v>2021</v>
      </c>
      <c r="E562" s="2" t="n">
        <f aca="false">SUMIFS(Player_Season!$E$2:$E$1869,Player_Season!$B$2:$B$1869,A562)</f>
        <v>5</v>
      </c>
      <c r="F562" s="2" t="n">
        <f aca="false">SUMIFS(Player_Season!$F$2:$F$1869,Player_Season!$B$2:$B$1869,A562)</f>
        <v>0</v>
      </c>
      <c r="G562" s="2" t="n">
        <f aca="false">IF(E562&gt;0,F562/E562,"")</f>
        <v>0</v>
      </c>
      <c r="H562" s="2"/>
    </row>
    <row r="563" customFormat="false" ht="15" hidden="false" customHeight="false" outlineLevel="0" collapsed="false">
      <c r="A563" s="2" t="s">
        <v>368</v>
      </c>
      <c r="B563" s="2" t="n">
        <v>1</v>
      </c>
      <c r="C563" s="2" t="n">
        <v>2026</v>
      </c>
      <c r="D563" s="2" t="n">
        <v>2026</v>
      </c>
      <c r="E563" s="2" t="n">
        <f aca="false">SUMIFS(Player_Season!$E$2:$E$1869,Player_Season!$B$2:$B$1869,A563)</f>
        <v>6</v>
      </c>
      <c r="F563" s="2" t="n">
        <f aca="false">SUMIFS(Player_Season!$F$2:$F$1869,Player_Season!$B$2:$B$1869,A563)</f>
        <v>0</v>
      </c>
      <c r="G563" s="2" t="n">
        <f aca="false">IF(E563&gt;0,F563/E563,"")</f>
        <v>0</v>
      </c>
      <c r="H563" s="2" t="s">
        <v>115</v>
      </c>
    </row>
    <row r="564" customFormat="false" ht="15" hidden="false" customHeight="false" outlineLevel="0" collapsed="false">
      <c r="A564" s="2" t="s">
        <v>655</v>
      </c>
      <c r="B564" s="2" t="n">
        <v>1</v>
      </c>
      <c r="C564" s="2" t="n">
        <v>2026</v>
      </c>
      <c r="D564" s="2" t="n">
        <v>2026</v>
      </c>
      <c r="E564" s="2" t="n">
        <f aca="false">SUMIFS(Player_Season!$E$2:$E$1869,Player_Season!$B$2:$B$1869,A564)</f>
        <v>0</v>
      </c>
      <c r="F564" s="2" t="n">
        <f aca="false">SUMIFS(Player_Season!$F$2:$F$1869,Player_Season!$B$2:$B$1869,A564)</f>
        <v>0</v>
      </c>
      <c r="G564" s="2" t="str">
        <f aca="false">IF(E564&gt;0,F564/E564,"")</f>
        <v/>
      </c>
      <c r="H564" s="2" t="s">
        <v>24</v>
      </c>
    </row>
    <row r="565" customFormat="false" ht="15" hidden="false" customHeight="false" outlineLevel="0" collapsed="false">
      <c r="A565" s="2" t="s">
        <v>392</v>
      </c>
      <c r="B565" s="2" t="n">
        <v>1</v>
      </c>
      <c r="C565" s="2" t="n">
        <v>2024</v>
      </c>
      <c r="D565" s="2" t="n">
        <v>2024</v>
      </c>
      <c r="E565" s="2" t="n">
        <f aca="false">SUMIFS(Player_Season!$E$2:$E$1869,Player_Season!$B$2:$B$1869,A565)</f>
        <v>1</v>
      </c>
      <c r="F565" s="2" t="n">
        <f aca="false">SUMIFS(Player_Season!$F$2:$F$1869,Player_Season!$B$2:$B$1869,A565)</f>
        <v>0</v>
      </c>
      <c r="G565" s="2" t="n">
        <f aca="false">IF(E565&gt;0,F565/E565,"")</f>
        <v>0</v>
      </c>
      <c r="H565" s="2" t="s">
        <v>83</v>
      </c>
    </row>
    <row r="566" customFormat="false" ht="15" hidden="false" customHeight="false" outlineLevel="0" collapsed="false">
      <c r="A566" s="2" t="s">
        <v>546</v>
      </c>
      <c r="B566" s="2" t="n">
        <v>4</v>
      </c>
      <c r="C566" s="2" t="n">
        <v>2021</v>
      </c>
      <c r="D566" s="2" t="n">
        <v>2024</v>
      </c>
      <c r="E566" s="2" t="n">
        <f aca="false">SUMIFS(Player_Season!$E$2:$E$1869,Player_Season!$B$2:$B$1869,A566)</f>
        <v>2</v>
      </c>
      <c r="F566" s="2" t="n">
        <f aca="false">SUMIFS(Player_Season!$F$2:$F$1869,Player_Season!$B$2:$B$1869,A566)</f>
        <v>0</v>
      </c>
      <c r="G566" s="2" t="n">
        <f aca="false">IF(E566&gt;0,F566/E566,"")</f>
        <v>0</v>
      </c>
      <c r="H566" s="2" t="s">
        <v>83</v>
      </c>
    </row>
    <row r="567" customFormat="false" ht="15" hidden="false" customHeight="false" outlineLevel="0" collapsed="false">
      <c r="A567" s="2" t="s">
        <v>652</v>
      </c>
      <c r="B567" s="2" t="n">
        <v>1</v>
      </c>
      <c r="C567" s="2" t="n">
        <v>2026</v>
      </c>
      <c r="D567" s="2" t="n">
        <v>2026</v>
      </c>
      <c r="E567" s="2" t="n">
        <f aca="false">SUMIFS(Player_Season!$E$2:$E$1869,Player_Season!$B$2:$B$1869,A567)</f>
        <v>0</v>
      </c>
      <c r="F567" s="2" t="n">
        <f aca="false">SUMIFS(Player_Season!$F$2:$F$1869,Player_Season!$B$2:$B$1869,A567)</f>
        <v>0</v>
      </c>
      <c r="G567" s="2" t="str">
        <f aca="false">IF(E567&gt;0,F567/E567,"")</f>
        <v/>
      </c>
      <c r="H567" s="2" t="s">
        <v>24</v>
      </c>
    </row>
    <row r="568" customFormat="false" ht="15" hidden="false" customHeight="false" outlineLevel="0" collapsed="false">
      <c r="A568" s="2" t="s">
        <v>653</v>
      </c>
      <c r="B568" s="2" t="n">
        <v>1</v>
      </c>
      <c r="C568" s="2" t="n">
        <v>2026</v>
      </c>
      <c r="D568" s="2" t="n">
        <v>2026</v>
      </c>
      <c r="E568" s="2" t="n">
        <f aca="false">SUMIFS(Player_Season!$E$2:$E$1869,Player_Season!$B$2:$B$1869,A568)</f>
        <v>4</v>
      </c>
      <c r="F568" s="2" t="n">
        <f aca="false">SUMIFS(Player_Season!$F$2:$F$1869,Player_Season!$B$2:$B$1869,A568)</f>
        <v>0</v>
      </c>
      <c r="G568" s="2" t="n">
        <f aca="false">IF(E568&gt;0,F568/E568,"")</f>
        <v>0</v>
      </c>
      <c r="H568" s="2" t="s">
        <v>409</v>
      </c>
    </row>
    <row r="569" customFormat="false" ht="15" hidden="false" customHeight="false" outlineLevel="0" collapsed="false">
      <c r="A569" s="2" t="s">
        <v>383</v>
      </c>
      <c r="B569" s="2" t="n">
        <v>2</v>
      </c>
      <c r="C569" s="2" t="n">
        <v>2024</v>
      </c>
      <c r="D569" s="2" t="n">
        <v>2025</v>
      </c>
      <c r="E569" s="2" t="n">
        <f aca="false">SUMIFS(Player_Season!$E$2:$E$1869,Player_Season!$B$2:$B$1869,A569)</f>
        <v>1</v>
      </c>
      <c r="F569" s="2" t="n">
        <f aca="false">SUMIFS(Player_Season!$F$2:$F$1869,Player_Season!$B$2:$B$1869,A569)</f>
        <v>0</v>
      </c>
      <c r="G569" s="2" t="n">
        <f aca="false">IF(E569&gt;0,F569/E569,"")</f>
        <v>0</v>
      </c>
      <c r="H569" s="2" t="s">
        <v>83</v>
      </c>
    </row>
    <row r="570" customFormat="false" ht="15" hidden="false" customHeight="false" outlineLevel="0" collapsed="false">
      <c r="A570" s="2" t="s">
        <v>254</v>
      </c>
      <c r="B570" s="2" t="n">
        <v>2</v>
      </c>
      <c r="C570" s="2" t="n">
        <v>2025</v>
      </c>
      <c r="D570" s="2" t="n">
        <v>2026</v>
      </c>
      <c r="E570" s="2" t="n">
        <f aca="false">SUMIFS(Player_Season!$E$2:$E$1869,Player_Season!$B$2:$B$1869,A570)</f>
        <v>20</v>
      </c>
      <c r="F570" s="2" t="n">
        <f aca="false">SUMIFS(Player_Season!$F$2:$F$1869,Player_Season!$B$2:$B$1869,A570)</f>
        <v>0</v>
      </c>
      <c r="G570" s="2" t="n">
        <f aca="false">IF(E570&gt;0,F570/E570,"")</f>
        <v>0</v>
      </c>
      <c r="H570" s="2" t="s">
        <v>83</v>
      </c>
    </row>
    <row r="571" customFormat="false" ht="15" hidden="false" customHeight="false" outlineLevel="0" collapsed="false">
      <c r="A571" s="2" t="s">
        <v>551</v>
      </c>
      <c r="B571" s="2" t="n">
        <v>1</v>
      </c>
      <c r="C571" s="2" t="n">
        <v>2021</v>
      </c>
      <c r="D571" s="2" t="n">
        <v>2021</v>
      </c>
      <c r="E571" s="2" t="n">
        <f aca="false">SUMIFS(Player_Season!$E$2:$E$1869,Player_Season!$B$2:$B$1869,A571)</f>
        <v>0</v>
      </c>
      <c r="F571" s="2" t="n">
        <f aca="false">SUMIFS(Player_Season!$F$2:$F$1869,Player_Season!$B$2:$B$1869,A571)</f>
        <v>0</v>
      </c>
      <c r="G571" s="2" t="str">
        <f aca="false">IF(E571&gt;0,F571/E571,"")</f>
        <v/>
      </c>
      <c r="H571" s="2" t="s">
        <v>413</v>
      </c>
    </row>
    <row r="572" customFormat="false" ht="15" hidden="false" customHeight="false" outlineLevel="0" collapsed="false">
      <c r="A572" s="2" t="s">
        <v>424</v>
      </c>
      <c r="B572" s="2" t="n">
        <v>3</v>
      </c>
      <c r="C572" s="2" t="n">
        <v>2019</v>
      </c>
      <c r="D572" s="2" t="n">
        <v>2021</v>
      </c>
      <c r="E572" s="2" t="n">
        <f aca="false">SUMIFS(Player_Season!$E$2:$E$1869,Player_Season!$B$2:$B$1869,A572)</f>
        <v>8</v>
      </c>
      <c r="F572" s="2" t="n">
        <f aca="false">SUMIFS(Player_Season!$F$2:$F$1869,Player_Season!$B$2:$B$1869,A572)</f>
        <v>0</v>
      </c>
      <c r="G572" s="2" t="n">
        <f aca="false">IF(E572&gt;0,F572/E572,"")</f>
        <v>0</v>
      </c>
      <c r="H572" s="2" t="s">
        <v>409</v>
      </c>
    </row>
    <row r="573" customFormat="false" ht="15" hidden="false" customHeight="false" outlineLevel="0" collapsed="false">
      <c r="A573" s="2" t="s">
        <v>615</v>
      </c>
      <c r="B573" s="2" t="n">
        <v>1</v>
      </c>
      <c r="C573" s="2" t="n">
        <v>2023</v>
      </c>
      <c r="D573" s="2" t="n">
        <v>2023</v>
      </c>
      <c r="E573" s="2" t="n">
        <f aca="false">SUMIFS(Player_Season!$E$2:$E$1869,Player_Season!$B$2:$B$1869,A573)</f>
        <v>0</v>
      </c>
      <c r="F573" s="2" t="n">
        <f aca="false">SUMIFS(Player_Season!$F$2:$F$1869,Player_Season!$B$2:$B$1869,A573)</f>
        <v>0</v>
      </c>
      <c r="G573" s="2" t="str">
        <f aca="false">IF(E573&gt;0,F573/E573,"")</f>
        <v/>
      </c>
      <c r="H573" s="2" t="s">
        <v>409</v>
      </c>
    </row>
    <row r="574" customFormat="false" ht="15" hidden="false" customHeight="false" outlineLevel="0" collapsed="false">
      <c r="A574" s="2" t="s">
        <v>484</v>
      </c>
      <c r="B574" s="2" t="n">
        <v>1</v>
      </c>
      <c r="C574" s="2" t="n">
        <v>2019</v>
      </c>
      <c r="D574" s="2" t="n">
        <v>2019</v>
      </c>
      <c r="E574" s="2" t="n">
        <f aca="false">SUMIFS(Player_Season!$E$2:$E$1869,Player_Season!$B$2:$B$1869,A574)</f>
        <v>1</v>
      </c>
      <c r="F574" s="2" t="n">
        <f aca="false">SUMIFS(Player_Season!$F$2:$F$1869,Player_Season!$B$2:$B$1869,A574)</f>
        <v>0</v>
      </c>
      <c r="G574" s="2" t="n">
        <f aca="false">IF(E574&gt;0,F574/E574,"")</f>
        <v>0</v>
      </c>
      <c r="H574" s="2" t="s">
        <v>29</v>
      </c>
    </row>
    <row r="575" customFormat="false" ht="15" hidden="false" customHeight="false" outlineLevel="0" collapsed="false">
      <c r="A575" s="2" t="s">
        <v>439</v>
      </c>
      <c r="B575" s="2" t="n">
        <v>1</v>
      </c>
      <c r="C575" s="2" t="n">
        <v>2019</v>
      </c>
      <c r="D575" s="2" t="n">
        <v>2019</v>
      </c>
      <c r="E575" s="2" t="n">
        <f aca="false">SUMIFS(Player_Season!$E$2:$E$1869,Player_Season!$B$2:$B$1869,A575)</f>
        <v>5</v>
      </c>
      <c r="F575" s="2" t="n">
        <f aca="false">SUMIFS(Player_Season!$F$2:$F$1869,Player_Season!$B$2:$B$1869,A575)</f>
        <v>0</v>
      </c>
      <c r="G575" s="2" t="n">
        <f aca="false">IF(E575&gt;0,F575/E575,"")</f>
        <v>0</v>
      </c>
      <c r="H575" s="2" t="s">
        <v>117</v>
      </c>
    </row>
    <row r="576" customFormat="false" ht="15" hidden="false" customHeight="false" outlineLevel="0" collapsed="false">
      <c r="A576" s="2" t="s">
        <v>600</v>
      </c>
      <c r="B576" s="2" t="n">
        <v>1</v>
      </c>
      <c r="C576" s="2" t="n">
        <v>2022</v>
      </c>
      <c r="D576" s="2" t="n">
        <v>2022</v>
      </c>
      <c r="E576" s="2" t="n">
        <f aca="false">SUMIFS(Player_Season!$E$2:$E$1869,Player_Season!$B$2:$B$1869,A576)</f>
        <v>0</v>
      </c>
      <c r="F576" s="2" t="n">
        <f aca="false">SUMIFS(Player_Season!$F$2:$F$1869,Player_Season!$B$2:$B$1869,A576)</f>
        <v>0</v>
      </c>
      <c r="G576" s="2" t="str">
        <f aca="false">IF(E576&gt;0,F576/E576,"")</f>
        <v/>
      </c>
      <c r="H576" s="2" t="s">
        <v>413</v>
      </c>
    </row>
    <row r="577" customFormat="false" ht="15" hidden="false" customHeight="false" outlineLevel="0" collapsed="false">
      <c r="A577" s="2" t="s">
        <v>483</v>
      </c>
      <c r="B577" s="2" t="n">
        <v>2</v>
      </c>
      <c r="C577" s="2" t="n">
        <v>2019</v>
      </c>
      <c r="D577" s="2" t="n">
        <v>2022</v>
      </c>
      <c r="E577" s="2" t="n">
        <f aca="false">SUMIFS(Player_Season!$E$2:$E$1869,Player_Season!$B$2:$B$1869,A577)</f>
        <v>1</v>
      </c>
      <c r="F577" s="2" t="n">
        <f aca="false">SUMIFS(Player_Season!$F$2:$F$1869,Player_Season!$B$2:$B$1869,A577)</f>
        <v>0</v>
      </c>
      <c r="G577" s="2" t="n">
        <f aca="false">IF(E577&gt;0,F577/E577,"")</f>
        <v>0</v>
      </c>
      <c r="H577" s="2" t="s">
        <v>24</v>
      </c>
    </row>
    <row r="578" customFormat="false" ht="15" hidden="false" customHeight="false" outlineLevel="0" collapsed="false">
      <c r="A578" s="2" t="s">
        <v>639</v>
      </c>
      <c r="B578" s="2" t="n">
        <v>1</v>
      </c>
      <c r="C578" s="2" t="n">
        <v>2025</v>
      </c>
      <c r="D578" s="2" t="n">
        <v>2025</v>
      </c>
      <c r="E578" s="2" t="n">
        <f aca="false">SUMIFS(Player_Season!$E$2:$E$1869,Player_Season!$B$2:$B$1869,A578)</f>
        <v>0</v>
      </c>
      <c r="F578" s="2" t="n">
        <f aca="false">SUMIFS(Player_Season!$F$2:$F$1869,Player_Season!$B$2:$B$1869,A578)</f>
        <v>0</v>
      </c>
      <c r="G578" s="2" t="str">
        <f aca="false">IF(E578&gt;0,F578/E578,"")</f>
        <v/>
      </c>
      <c r="H578" s="2" t="s">
        <v>117</v>
      </c>
    </row>
    <row r="579" customFormat="false" ht="15" hidden="false" customHeight="false" outlineLevel="0" collapsed="false">
      <c r="A579" s="2" t="s">
        <v>599</v>
      </c>
      <c r="B579" s="2" t="n">
        <v>2</v>
      </c>
      <c r="C579" s="2" t="n">
        <v>2022</v>
      </c>
      <c r="D579" s="2" t="n">
        <v>2023</v>
      </c>
      <c r="E579" s="2" t="n">
        <f aca="false">SUMIFS(Player_Season!$E$2:$E$1869,Player_Season!$B$2:$B$1869,A579)</f>
        <v>0</v>
      </c>
      <c r="F579" s="2" t="n">
        <f aca="false">SUMIFS(Player_Season!$F$2:$F$1869,Player_Season!$B$2:$B$1869,A579)</f>
        <v>0</v>
      </c>
      <c r="G579" s="2" t="str">
        <f aca="false">IF(E579&gt;0,F579/E579,"")</f>
        <v/>
      </c>
      <c r="H579" s="2" t="s">
        <v>24</v>
      </c>
    </row>
    <row r="580" customFormat="false" ht="15" hidden="false" customHeight="false" outlineLevel="0" collapsed="false">
      <c r="A580" s="2" t="s">
        <v>380</v>
      </c>
      <c r="B580" s="2" t="n">
        <v>8</v>
      </c>
      <c r="C580" s="2" t="n">
        <v>2019</v>
      </c>
      <c r="D580" s="2" t="n">
        <v>2026</v>
      </c>
      <c r="E580" s="2" t="n">
        <f aca="false">SUMIFS(Player_Season!$E$2:$E$1869,Player_Season!$B$2:$B$1869,A580)</f>
        <v>18</v>
      </c>
      <c r="F580" s="2" t="n">
        <f aca="false">SUMIFS(Player_Season!$F$2:$F$1869,Player_Season!$B$2:$B$1869,A580)</f>
        <v>0</v>
      </c>
      <c r="G580" s="2" t="n">
        <f aca="false">IF(E580&gt;0,F580/E580,"")</f>
        <v>0</v>
      </c>
      <c r="H580" s="2" t="s">
        <v>117</v>
      </c>
    </row>
    <row r="581" customFormat="false" ht="15" hidden="false" customHeight="false" outlineLevel="0" collapsed="false">
      <c r="A581" s="2" t="s">
        <v>620</v>
      </c>
      <c r="B581" s="2" t="n">
        <v>1</v>
      </c>
      <c r="C581" s="2" t="n">
        <v>2023</v>
      </c>
      <c r="D581" s="2" t="n">
        <v>2023</v>
      </c>
      <c r="E581" s="2" t="n">
        <f aca="false">SUMIFS(Player_Season!$E$2:$E$1869,Player_Season!$B$2:$B$1869,A581)</f>
        <v>0</v>
      </c>
      <c r="F581" s="2" t="n">
        <f aca="false">SUMIFS(Player_Season!$F$2:$F$1869,Player_Season!$B$2:$B$1869,A581)</f>
        <v>0</v>
      </c>
      <c r="G581" s="2" t="str">
        <f aca="false">IF(E581&gt;0,F581/E581,"")</f>
        <v/>
      </c>
      <c r="H581" s="2" t="s">
        <v>24</v>
      </c>
    </row>
    <row r="582" customFormat="false" ht="15" hidden="false" customHeight="false" outlineLevel="0" collapsed="false">
      <c r="A582" s="2" t="s">
        <v>572</v>
      </c>
      <c r="B582" s="2" t="n">
        <v>1</v>
      </c>
      <c r="C582" s="2" t="n">
        <v>2021</v>
      </c>
      <c r="D582" s="2" t="n">
        <v>2021</v>
      </c>
      <c r="E582" s="2" t="n">
        <f aca="false">SUMIFS(Player_Season!$E$2:$E$1869,Player_Season!$B$2:$B$1869,A582)</f>
        <v>0</v>
      </c>
      <c r="F582" s="2" t="n">
        <f aca="false">SUMIFS(Player_Season!$F$2:$F$1869,Player_Season!$B$2:$B$1869,A582)</f>
        <v>0</v>
      </c>
      <c r="G582" s="2" t="str">
        <f aca="false">IF(E582&gt;0,F582/E582,"")</f>
        <v/>
      </c>
      <c r="H582" s="2" t="s">
        <v>117</v>
      </c>
    </row>
    <row r="583" customFormat="false" ht="15" hidden="false" customHeight="false" outlineLevel="0" collapsed="false">
      <c r="A583" s="2" t="s">
        <v>586</v>
      </c>
      <c r="B583" s="2" t="n">
        <v>1</v>
      </c>
      <c r="C583" s="2" t="n">
        <v>2022</v>
      </c>
      <c r="D583" s="2" t="n">
        <v>2022</v>
      </c>
      <c r="E583" s="2" t="n">
        <f aca="false">SUMIFS(Player_Season!$E$2:$E$1869,Player_Season!$B$2:$B$1869,A583)</f>
        <v>0</v>
      </c>
      <c r="F583" s="2" t="n">
        <f aca="false">SUMIFS(Player_Season!$F$2:$F$1869,Player_Season!$B$2:$B$1869,A583)</f>
        <v>0</v>
      </c>
      <c r="G583" s="2" t="str">
        <f aca="false">IF(E583&gt;0,F583/E583,"")</f>
        <v/>
      </c>
      <c r="H583" s="2" t="s">
        <v>29</v>
      </c>
    </row>
    <row r="584" customFormat="false" ht="15" hidden="false" customHeight="false" outlineLevel="0" collapsed="false">
      <c r="A584" s="2" t="s">
        <v>536</v>
      </c>
      <c r="B584" s="2" t="n">
        <v>2</v>
      </c>
      <c r="C584" s="2" t="n">
        <v>2020</v>
      </c>
      <c r="D584" s="2" t="n">
        <v>2021</v>
      </c>
      <c r="E584" s="2" t="n">
        <f aca="false">SUMIFS(Player_Season!$E$2:$E$1869,Player_Season!$B$2:$B$1869,A584)</f>
        <v>6</v>
      </c>
      <c r="F584" s="2" t="n">
        <f aca="false">SUMIFS(Player_Season!$F$2:$F$1869,Player_Season!$B$2:$B$1869,A584)</f>
        <v>0</v>
      </c>
      <c r="G584" s="2" t="n">
        <f aca="false">IF(E584&gt;0,F584/E584,"")</f>
        <v>0</v>
      </c>
      <c r="H584" s="2" t="s">
        <v>117</v>
      </c>
    </row>
    <row r="585" customFormat="false" ht="15" hidden="false" customHeight="false" outlineLevel="0" collapsed="false">
      <c r="A585" s="2" t="s">
        <v>621</v>
      </c>
      <c r="B585" s="2" t="n">
        <v>1</v>
      </c>
      <c r="C585" s="2" t="n">
        <v>2023</v>
      </c>
      <c r="D585" s="2" t="n">
        <v>2023</v>
      </c>
      <c r="E585" s="2" t="n">
        <f aca="false">SUMIFS(Player_Season!$E$2:$E$1869,Player_Season!$B$2:$B$1869,A585)</f>
        <v>0</v>
      </c>
      <c r="F585" s="2" t="n">
        <f aca="false">SUMIFS(Player_Season!$F$2:$F$1869,Player_Season!$B$2:$B$1869,A585)</f>
        <v>0</v>
      </c>
      <c r="G585" s="2" t="str">
        <f aca="false">IF(E585&gt;0,F585/E585,"")</f>
        <v/>
      </c>
      <c r="H585" s="2" t="s">
        <v>24</v>
      </c>
    </row>
    <row r="586" customFormat="false" ht="15" hidden="false" customHeight="false" outlineLevel="0" collapsed="false">
      <c r="A586" s="2" t="s">
        <v>476</v>
      </c>
      <c r="B586" s="2" t="n">
        <v>3</v>
      </c>
      <c r="C586" s="2" t="n">
        <v>2019</v>
      </c>
      <c r="D586" s="2" t="n">
        <v>2022</v>
      </c>
      <c r="E586" s="2" t="n">
        <f aca="false">SUMIFS(Player_Season!$E$2:$E$1869,Player_Season!$B$2:$B$1869,A586)</f>
        <v>11</v>
      </c>
      <c r="F586" s="2" t="n">
        <f aca="false">SUMIFS(Player_Season!$F$2:$F$1869,Player_Season!$B$2:$B$1869,A586)</f>
        <v>0</v>
      </c>
      <c r="G586" s="2" t="n">
        <f aca="false">IF(E586&gt;0,F586/E586,"")</f>
        <v>0</v>
      </c>
      <c r="H586" s="2" t="s">
        <v>117</v>
      </c>
    </row>
    <row r="587" customFormat="false" ht="15" hidden="false" customHeight="false" outlineLevel="0" collapsed="false">
      <c r="A587" s="2" t="s">
        <v>564</v>
      </c>
      <c r="B587" s="2" t="n">
        <v>1</v>
      </c>
      <c r="C587" s="2" t="n">
        <v>2021</v>
      </c>
      <c r="D587" s="2" t="n">
        <v>2021</v>
      </c>
      <c r="E587" s="2" t="n">
        <f aca="false">SUMIFS(Player_Season!$E$2:$E$1869,Player_Season!$B$2:$B$1869,A587)</f>
        <v>0</v>
      </c>
      <c r="F587" s="2" t="n">
        <f aca="false">SUMIFS(Player_Season!$F$2:$F$1869,Player_Season!$B$2:$B$1869,A587)</f>
        <v>0</v>
      </c>
      <c r="G587" s="2" t="str">
        <f aca="false">IF(E587&gt;0,F587/E587,"")</f>
        <v/>
      </c>
      <c r="H587" s="2" t="s">
        <v>115</v>
      </c>
    </row>
    <row r="588" customFormat="false" ht="15" hidden="false" customHeight="false" outlineLevel="0" collapsed="false">
      <c r="A588" s="2" t="s">
        <v>634</v>
      </c>
      <c r="B588" s="2" t="n">
        <v>1</v>
      </c>
      <c r="C588" s="2" t="n">
        <v>2024</v>
      </c>
      <c r="D588" s="2" t="n">
        <v>2024</v>
      </c>
      <c r="E588" s="2" t="n">
        <f aca="false">SUMIFS(Player_Season!$E$2:$E$1869,Player_Season!$B$2:$B$1869,A588)</f>
        <v>0</v>
      </c>
      <c r="F588" s="2" t="n">
        <f aca="false">SUMIFS(Player_Season!$F$2:$F$1869,Player_Season!$B$2:$B$1869,A588)</f>
        <v>0</v>
      </c>
      <c r="G588" s="2" t="str">
        <f aca="false">IF(E588&gt;0,F588/E588,"")</f>
        <v/>
      </c>
      <c r="H588" s="2" t="s">
        <v>83</v>
      </c>
    </row>
    <row r="589" customFormat="false" ht="15" hidden="false" customHeight="false" outlineLevel="0" collapsed="false">
      <c r="A589" s="2" t="s">
        <v>187</v>
      </c>
      <c r="B589" s="2" t="n">
        <v>3</v>
      </c>
      <c r="C589" s="2" t="n">
        <v>2024</v>
      </c>
      <c r="D589" s="2" t="n">
        <v>2026</v>
      </c>
      <c r="E589" s="2" t="n">
        <f aca="false">SUMIFS(Player_Season!$E$2:$E$1869,Player_Season!$B$2:$B$1869,A589)</f>
        <v>31</v>
      </c>
      <c r="F589" s="2" t="n">
        <f aca="false">SUMIFS(Player_Season!$F$2:$F$1869,Player_Season!$B$2:$B$1869,A589)</f>
        <v>0</v>
      </c>
      <c r="G589" s="2" t="n">
        <f aca="false">IF(E589&gt;0,F589/E589,"")</f>
        <v>0</v>
      </c>
      <c r="H589" s="2" t="s">
        <v>117</v>
      </c>
    </row>
    <row r="590" customFormat="false" ht="15" hidden="false" customHeight="false" outlineLevel="0" collapsed="false">
      <c r="A590" s="2" t="s">
        <v>555</v>
      </c>
      <c r="B590" s="2" t="n">
        <v>1</v>
      </c>
      <c r="C590" s="2" t="n">
        <v>2021</v>
      </c>
      <c r="D590" s="2" t="n">
        <v>2021</v>
      </c>
      <c r="E590" s="2" t="n">
        <f aca="false">SUMIFS(Player_Season!$E$2:$E$1869,Player_Season!$B$2:$B$1869,A590)</f>
        <v>1</v>
      </c>
      <c r="F590" s="2" t="n">
        <f aca="false">SUMIFS(Player_Season!$F$2:$F$1869,Player_Season!$B$2:$B$1869,A590)</f>
        <v>0</v>
      </c>
      <c r="G590" s="2" t="n">
        <f aca="false">IF(E590&gt;0,F590/E590,"")</f>
        <v>0</v>
      </c>
      <c r="H590" s="2" t="s">
        <v>29</v>
      </c>
    </row>
    <row r="591" customFormat="false" ht="15" hidden="false" customHeight="false" outlineLevel="0" collapsed="false">
      <c r="A591" s="2" t="s">
        <v>568</v>
      </c>
      <c r="B591" s="2" t="n">
        <v>1</v>
      </c>
      <c r="C591" s="2" t="n">
        <v>2021</v>
      </c>
      <c r="D591" s="2" t="n">
        <v>2021</v>
      </c>
      <c r="E591" s="2" t="n">
        <f aca="false">SUMIFS(Player_Season!$E$2:$E$1869,Player_Season!$B$2:$B$1869,A591)</f>
        <v>0</v>
      </c>
      <c r="F591" s="2" t="n">
        <f aca="false">SUMIFS(Player_Season!$F$2:$F$1869,Player_Season!$B$2:$B$1869,A591)</f>
        <v>0</v>
      </c>
      <c r="G591" s="2" t="str">
        <f aca="false">IF(E591&gt;0,F591/E591,"")</f>
        <v/>
      </c>
      <c r="H591" s="2" t="s">
        <v>413</v>
      </c>
    </row>
    <row r="592" customFormat="false" ht="15" hidden="false" customHeight="false" outlineLevel="0" collapsed="false">
      <c r="A592" s="2" t="s">
        <v>534</v>
      </c>
      <c r="B592" s="2" t="n">
        <v>2</v>
      </c>
      <c r="C592" s="2" t="n">
        <v>2020</v>
      </c>
      <c r="D592" s="2" t="n">
        <v>2021</v>
      </c>
      <c r="E592" s="2" t="n">
        <f aca="false">SUMIFS(Player_Season!$E$2:$E$1869,Player_Season!$B$2:$B$1869,A592)</f>
        <v>0</v>
      </c>
      <c r="F592" s="2" t="n">
        <f aca="false">SUMIFS(Player_Season!$F$2:$F$1869,Player_Season!$B$2:$B$1869,A592)</f>
        <v>0</v>
      </c>
      <c r="G592" s="2" t="str">
        <f aca="false">IF(E592&gt;0,F592/E592,"")</f>
        <v/>
      </c>
      <c r="H592" s="2" t="s">
        <v>117</v>
      </c>
    </row>
    <row r="593" customFormat="false" ht="15" hidden="false" customHeight="false" outlineLevel="0" collapsed="false">
      <c r="A593" s="2" t="s">
        <v>391</v>
      </c>
      <c r="B593" s="2" t="n">
        <v>1</v>
      </c>
      <c r="C593" s="2" t="n">
        <v>2026</v>
      </c>
      <c r="D593" s="2" t="n">
        <v>2026</v>
      </c>
      <c r="E593" s="2" t="n">
        <f aca="false">SUMIFS(Player_Season!$E$2:$E$1869,Player_Season!$B$2:$B$1869,A593)</f>
        <v>4</v>
      </c>
      <c r="F593" s="2" t="n">
        <f aca="false">SUMIFS(Player_Season!$F$2:$F$1869,Player_Season!$B$2:$B$1869,A593)</f>
        <v>0</v>
      </c>
      <c r="G593" s="2" t="n">
        <f aca="false">IF(E593&gt;0,F593/E593,"")</f>
        <v>0</v>
      </c>
      <c r="H593" s="2" t="s">
        <v>115</v>
      </c>
    </row>
    <row r="594" customFormat="false" ht="15" hidden="false" customHeight="false" outlineLevel="0" collapsed="false">
      <c r="A594" s="2" t="s">
        <v>372</v>
      </c>
      <c r="B594" s="2" t="n">
        <v>3</v>
      </c>
      <c r="C594" s="2" t="n">
        <v>2022</v>
      </c>
      <c r="D594" s="2" t="n">
        <v>2024</v>
      </c>
      <c r="E594" s="2" t="n">
        <f aca="false">SUMIFS(Player_Season!$E$2:$E$1869,Player_Season!$B$2:$B$1869,A594)</f>
        <v>3</v>
      </c>
      <c r="F594" s="2" t="n">
        <f aca="false">SUMIFS(Player_Season!$F$2:$F$1869,Player_Season!$B$2:$B$1869,A594)</f>
        <v>0</v>
      </c>
      <c r="G594" s="2" t="n">
        <f aca="false">IF(E594&gt;0,F594/E594,"")</f>
        <v>0</v>
      </c>
      <c r="H594" s="2" t="s">
        <v>115</v>
      </c>
    </row>
    <row r="595" customFormat="false" ht="15" hidden="false" customHeight="false" outlineLevel="0" collapsed="false">
      <c r="A595" s="2" t="s">
        <v>393</v>
      </c>
      <c r="B595" s="2" t="n">
        <v>1</v>
      </c>
      <c r="C595" s="2" t="n">
        <v>2024</v>
      </c>
      <c r="D595" s="2" t="n">
        <v>2024</v>
      </c>
      <c r="E595" s="2" t="n">
        <f aca="false">SUMIFS(Player_Season!$E$2:$E$1869,Player_Season!$B$2:$B$1869,A595)</f>
        <v>1</v>
      </c>
      <c r="F595" s="2" t="n">
        <f aca="false">SUMIFS(Player_Season!$F$2:$F$1869,Player_Season!$B$2:$B$1869,A595)</f>
        <v>0</v>
      </c>
      <c r="G595" s="2" t="n">
        <f aca="false">IF(E595&gt;0,F595/E595,"")</f>
        <v>0</v>
      </c>
      <c r="H595" s="2" t="s">
        <v>115</v>
      </c>
    </row>
    <row r="596" customFormat="false" ht="15" hidden="false" customHeight="false" outlineLevel="0" collapsed="false">
      <c r="A596" s="2" t="s">
        <v>565</v>
      </c>
      <c r="B596" s="2" t="n">
        <v>1</v>
      </c>
      <c r="C596" s="2" t="n">
        <v>2021</v>
      </c>
      <c r="D596" s="2" t="n">
        <v>2021</v>
      </c>
      <c r="E596" s="2" t="n">
        <f aca="false">SUMIFS(Player_Season!$E$2:$E$1869,Player_Season!$B$2:$B$1869,A596)</f>
        <v>0</v>
      </c>
      <c r="F596" s="2" t="n">
        <f aca="false">SUMIFS(Player_Season!$F$2:$F$1869,Player_Season!$B$2:$B$1869,A596)</f>
        <v>0</v>
      </c>
      <c r="G596" s="2" t="str">
        <f aca="false">IF(E596&gt;0,F596/E596,"")</f>
        <v/>
      </c>
      <c r="H596" s="2" t="s">
        <v>409</v>
      </c>
    </row>
    <row r="597" customFormat="false" ht="15" hidden="false" customHeight="false" outlineLevel="0" collapsed="false">
      <c r="A597" s="2" t="s">
        <v>623</v>
      </c>
      <c r="B597" s="2" t="n">
        <v>2</v>
      </c>
      <c r="C597" s="2" t="n">
        <v>2024</v>
      </c>
      <c r="D597" s="2" t="n">
        <v>2025</v>
      </c>
      <c r="E597" s="2" t="n">
        <f aca="false">SUMIFS(Player_Season!$E$2:$E$1869,Player_Season!$B$2:$B$1869,A597)</f>
        <v>0</v>
      </c>
      <c r="F597" s="2" t="n">
        <f aca="false">SUMIFS(Player_Season!$F$2:$F$1869,Player_Season!$B$2:$B$1869,A597)</f>
        <v>0</v>
      </c>
      <c r="G597" s="2" t="str">
        <f aca="false">IF(E597&gt;0,F597/E597,"")</f>
        <v/>
      </c>
      <c r="H597" s="2" t="s">
        <v>24</v>
      </c>
    </row>
    <row r="598" customFormat="false" ht="15" hidden="false" customHeight="false" outlineLevel="0" collapsed="false">
      <c r="A598" s="2" t="s">
        <v>386</v>
      </c>
      <c r="B598" s="2" t="n">
        <v>2</v>
      </c>
      <c r="C598" s="2" t="n">
        <v>2021</v>
      </c>
      <c r="D598" s="2" t="n">
        <v>2022</v>
      </c>
      <c r="E598" s="2" t="n">
        <f aca="false">SUMIFS(Player_Season!$E$2:$E$1869,Player_Season!$B$2:$B$1869,A598)</f>
        <v>2</v>
      </c>
      <c r="F598" s="2" t="n">
        <f aca="false">SUMIFS(Player_Season!$F$2:$F$1869,Player_Season!$B$2:$B$1869,A598)</f>
        <v>0</v>
      </c>
      <c r="G598" s="2" t="n">
        <f aca="false">IF(E598&gt;0,F598/E598,"")</f>
        <v>0</v>
      </c>
      <c r="H598" s="2" t="s">
        <v>117</v>
      </c>
    </row>
    <row r="599" customFormat="false" ht="15" hidden="false" customHeight="false" outlineLevel="0" collapsed="false">
      <c r="A599" s="2" t="s">
        <v>489</v>
      </c>
      <c r="B599" s="2" t="n">
        <v>2</v>
      </c>
      <c r="C599" s="2" t="n">
        <v>2019</v>
      </c>
      <c r="D599" s="2" t="n">
        <v>2020</v>
      </c>
      <c r="E599" s="2" t="n">
        <f aca="false">SUMIFS(Player_Season!$E$2:$E$1869,Player_Season!$B$2:$B$1869,A599)</f>
        <v>7</v>
      </c>
      <c r="F599" s="2" t="n">
        <f aca="false">SUMIFS(Player_Season!$F$2:$F$1869,Player_Season!$B$2:$B$1869,A599)</f>
        <v>0</v>
      </c>
      <c r="G599" s="2" t="n">
        <f aca="false">IF(E599&gt;0,F599/E599,"")</f>
        <v>0</v>
      </c>
      <c r="H599" s="2" t="s">
        <v>409</v>
      </c>
    </row>
    <row r="600" customFormat="false" ht="15" hidden="false" customHeight="false" outlineLevel="0" collapsed="false">
      <c r="A600" s="2" t="s">
        <v>651</v>
      </c>
      <c r="B600" s="2" t="n">
        <v>1</v>
      </c>
      <c r="C600" s="2" t="n">
        <v>2026</v>
      </c>
      <c r="D600" s="2" t="n">
        <v>2026</v>
      </c>
      <c r="E600" s="2" t="n">
        <f aca="false">SUMIFS(Player_Season!$E$2:$E$1869,Player_Season!$B$2:$B$1869,A600)</f>
        <v>7</v>
      </c>
      <c r="F600" s="2" t="n">
        <f aca="false">SUMIFS(Player_Season!$F$2:$F$1869,Player_Season!$B$2:$B$1869,A600)</f>
        <v>0</v>
      </c>
      <c r="G600" s="2" t="n">
        <f aca="false">IF(E600&gt;0,F600/E600,"")</f>
        <v>0</v>
      </c>
      <c r="H600" s="2" t="s">
        <v>409</v>
      </c>
    </row>
    <row r="601" customFormat="false" ht="15" hidden="false" customHeight="false" outlineLevel="0" collapsed="false">
      <c r="A601" s="2" t="s">
        <v>532</v>
      </c>
      <c r="B601" s="2" t="n">
        <v>2</v>
      </c>
      <c r="C601" s="2" t="n">
        <v>2020</v>
      </c>
      <c r="D601" s="2" t="n">
        <v>2021</v>
      </c>
      <c r="E601" s="2" t="n">
        <f aca="false">SUMIFS(Player_Season!$E$2:$E$1869,Player_Season!$B$2:$B$1869,A601)</f>
        <v>0</v>
      </c>
      <c r="F601" s="2" t="n">
        <f aca="false">SUMIFS(Player_Season!$F$2:$F$1869,Player_Season!$B$2:$B$1869,A601)</f>
        <v>0</v>
      </c>
      <c r="G601" s="2" t="str">
        <f aca="false">IF(E601&gt;0,F601/E601,"")</f>
        <v/>
      </c>
      <c r="H601" s="2" t="s">
        <v>117</v>
      </c>
    </row>
    <row r="602" customFormat="false" ht="15" hidden="false" customHeight="false" outlineLevel="0" collapsed="false">
      <c r="A602" s="2" t="s">
        <v>576</v>
      </c>
      <c r="B602" s="2" t="n">
        <v>4</v>
      </c>
      <c r="C602" s="2" t="n">
        <v>2021</v>
      </c>
      <c r="D602" s="2" t="n">
        <v>2024</v>
      </c>
      <c r="E602" s="2" t="n">
        <f aca="false">SUMIFS(Player_Season!$E$2:$E$1869,Player_Season!$B$2:$B$1869,A602)</f>
        <v>30</v>
      </c>
      <c r="F602" s="2" t="n">
        <f aca="false">SUMIFS(Player_Season!$F$2:$F$1869,Player_Season!$B$2:$B$1869,A602)</f>
        <v>0</v>
      </c>
      <c r="G602" s="2" t="n">
        <f aca="false">IF(E602&gt;0,F602/E602,"")</f>
        <v>0</v>
      </c>
      <c r="H602" s="2" t="s">
        <v>409</v>
      </c>
    </row>
    <row r="603" customFormat="false" ht="15" hidden="false" customHeight="false" outlineLevel="0" collapsed="false">
      <c r="A603" s="2" t="s">
        <v>448</v>
      </c>
      <c r="B603" s="2" t="n">
        <v>1</v>
      </c>
      <c r="C603" s="2" t="n">
        <v>2019</v>
      </c>
      <c r="D603" s="2" t="n">
        <v>2019</v>
      </c>
      <c r="E603" s="2" t="n">
        <f aca="false">SUMIFS(Player_Season!$E$2:$E$1869,Player_Season!$B$2:$B$1869,A603)</f>
        <v>2</v>
      </c>
      <c r="F603" s="2" t="n">
        <f aca="false">SUMIFS(Player_Season!$F$2:$F$1869,Player_Season!$B$2:$B$1869,A603)</f>
        <v>0</v>
      </c>
      <c r="G603" s="2" t="n">
        <f aca="false">IF(E603&gt;0,F603/E603,"")</f>
        <v>0</v>
      </c>
      <c r="H603" s="2" t="s">
        <v>413</v>
      </c>
    </row>
    <row r="604" customFormat="false" ht="15" hidden="false" customHeight="false" outlineLevel="0" collapsed="false">
      <c r="A604" s="2" t="s">
        <v>469</v>
      </c>
      <c r="B604" s="2" t="n">
        <v>2</v>
      </c>
      <c r="C604" s="2" t="n">
        <v>2019</v>
      </c>
      <c r="D604" s="2" t="n">
        <v>2020</v>
      </c>
      <c r="E604" s="2" t="n">
        <f aca="false">SUMIFS(Player_Season!$E$2:$E$1869,Player_Season!$B$2:$B$1869,A604)</f>
        <v>0</v>
      </c>
      <c r="F604" s="2" t="n">
        <f aca="false">SUMIFS(Player_Season!$F$2:$F$1869,Player_Season!$B$2:$B$1869,A604)</f>
        <v>0</v>
      </c>
      <c r="G604" s="2" t="str">
        <f aca="false">IF(E604&gt;0,F604/E604,"")</f>
        <v/>
      </c>
      <c r="H604" s="2" t="s">
        <v>29</v>
      </c>
    </row>
    <row r="605" customFormat="false" ht="15" hidden="false" customHeight="false" outlineLevel="0" collapsed="false">
      <c r="A605" s="2" t="s">
        <v>325</v>
      </c>
      <c r="B605" s="2" t="n">
        <v>3</v>
      </c>
      <c r="C605" s="2" t="n">
        <v>2022</v>
      </c>
      <c r="D605" s="2" t="n">
        <v>2024</v>
      </c>
      <c r="E605" s="2" t="n">
        <f aca="false">SUMIFS(Player_Season!$E$2:$E$1869,Player_Season!$B$2:$B$1869,A605)</f>
        <v>10</v>
      </c>
      <c r="F605" s="2" t="n">
        <f aca="false">SUMIFS(Player_Season!$F$2:$F$1869,Player_Season!$B$2:$B$1869,A605)</f>
        <v>0</v>
      </c>
      <c r="G605" s="2" t="n">
        <f aca="false">IF(E605&gt;0,F605/E605,"")</f>
        <v>0</v>
      </c>
      <c r="H605" s="2" t="s">
        <v>117</v>
      </c>
    </row>
    <row r="606" customFormat="false" ht="15" hidden="false" customHeight="false" outlineLevel="0" collapsed="false">
      <c r="A606" s="2" t="s">
        <v>478</v>
      </c>
      <c r="B606" s="2" t="n">
        <v>2</v>
      </c>
      <c r="C606" s="2" t="n">
        <v>2019</v>
      </c>
      <c r="D606" s="2" t="n">
        <v>2020</v>
      </c>
      <c r="E606" s="2" t="n">
        <f aca="false">SUMIFS(Player_Season!$E$2:$E$1869,Player_Season!$B$2:$B$1869,A606)</f>
        <v>8</v>
      </c>
      <c r="F606" s="2" t="n">
        <f aca="false">SUMIFS(Player_Season!$F$2:$F$1869,Player_Season!$B$2:$B$1869,A606)</f>
        <v>0</v>
      </c>
      <c r="G606" s="2" t="n">
        <f aca="false">IF(E606&gt;0,F606/E606,"")</f>
        <v>0</v>
      </c>
      <c r="H606" s="2" t="s">
        <v>409</v>
      </c>
    </row>
    <row r="607" customFormat="false" ht="15" hidden="false" customHeight="false" outlineLevel="0" collapsed="false">
      <c r="A607" s="2" t="s">
        <v>493</v>
      </c>
      <c r="B607" s="2" t="n">
        <v>2</v>
      </c>
      <c r="C607" s="2" t="n">
        <v>2019</v>
      </c>
      <c r="D607" s="2" t="n">
        <v>2020</v>
      </c>
      <c r="E607" s="2" t="n">
        <f aca="false">SUMIFS(Player_Season!$E$2:$E$1869,Player_Season!$B$2:$B$1869,A607)</f>
        <v>11</v>
      </c>
      <c r="F607" s="2" t="n">
        <f aca="false">SUMIFS(Player_Season!$F$2:$F$1869,Player_Season!$B$2:$B$1869,A607)</f>
        <v>0</v>
      </c>
      <c r="G607" s="2" t="n">
        <f aca="false">IF(E607&gt;0,F607/E607,"")</f>
        <v>0</v>
      </c>
      <c r="H607" s="2" t="s">
        <v>117</v>
      </c>
    </row>
    <row r="608" customFormat="false" ht="15" hidden="false" customHeight="false" outlineLevel="0" collapsed="false">
      <c r="A608" s="2" t="s">
        <v>570</v>
      </c>
      <c r="B608" s="2" t="n">
        <v>4</v>
      </c>
      <c r="C608" s="2" t="n">
        <v>2021</v>
      </c>
      <c r="D608" s="2" t="n">
        <v>2026</v>
      </c>
      <c r="E608" s="2" t="n">
        <f aca="false">SUMIFS(Player_Season!$E$2:$E$1869,Player_Season!$B$2:$B$1869,A608)</f>
        <v>5</v>
      </c>
      <c r="F608" s="2" t="n">
        <f aca="false">SUMIFS(Player_Season!$F$2:$F$1869,Player_Season!$B$2:$B$1869,A608)</f>
        <v>0</v>
      </c>
      <c r="G608" s="2" t="n">
        <f aca="false">IF(E608&gt;0,F608/E608,"")</f>
        <v>0</v>
      </c>
      <c r="H608" s="2" t="s">
        <v>409</v>
      </c>
    </row>
    <row r="609" customFormat="false" ht="15" hidden="false" customHeight="false" outlineLevel="0" collapsed="false">
      <c r="A609" s="2" t="s">
        <v>379</v>
      </c>
      <c r="B609" s="2" t="n">
        <v>1</v>
      </c>
      <c r="C609" s="2" t="n">
        <v>2026</v>
      </c>
      <c r="D609" s="2" t="n">
        <v>2026</v>
      </c>
      <c r="E609" s="2" t="n">
        <f aca="false">SUMIFS(Player_Season!$E$2:$E$1869,Player_Season!$B$2:$B$1869,A609)</f>
        <v>2</v>
      </c>
      <c r="F609" s="2" t="n">
        <f aca="false">SUMIFS(Player_Season!$F$2:$F$1869,Player_Season!$B$2:$B$1869,A609)</f>
        <v>0</v>
      </c>
      <c r="G609" s="2" t="n">
        <f aca="false">IF(E609&gt;0,F609/E609,"")</f>
        <v>0</v>
      </c>
      <c r="H609" s="2" t="s">
        <v>115</v>
      </c>
    </row>
    <row r="610" customFormat="false" ht="15" hidden="false" customHeight="false" outlineLevel="0" collapsed="false">
      <c r="A610" s="2" t="s">
        <v>557</v>
      </c>
      <c r="B610" s="2" t="n">
        <v>1</v>
      </c>
      <c r="C610" s="2" t="n">
        <v>2021</v>
      </c>
      <c r="D610" s="2" t="n">
        <v>2021</v>
      </c>
      <c r="E610" s="2" t="n">
        <f aca="false">SUMIFS(Player_Season!$E$2:$E$1869,Player_Season!$B$2:$B$1869,A610)</f>
        <v>0</v>
      </c>
      <c r="F610" s="2" t="n">
        <f aca="false">SUMIFS(Player_Season!$F$2:$F$1869,Player_Season!$B$2:$B$1869,A610)</f>
        <v>0</v>
      </c>
      <c r="G610" s="2" t="str">
        <f aca="false">IF(E610&gt;0,F610/E610,"")</f>
        <v/>
      </c>
      <c r="H610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10" t="s">
        <v>675</v>
      </c>
      <c r="B1" s="10" t="s">
        <v>676</v>
      </c>
      <c r="C1" s="10" t="s">
        <v>677</v>
      </c>
      <c r="D1" s="10" t="s">
        <v>678</v>
      </c>
      <c r="E1" s="10" t="s">
        <v>679</v>
      </c>
      <c r="F1" s="10" t="s">
        <v>680</v>
      </c>
      <c r="G1" s="10" t="s">
        <v>681</v>
      </c>
    </row>
    <row r="2" customFormat="false" ht="15" hidden="false" customHeight="false" outlineLevel="0" collapsed="false">
      <c r="A2" s="2" t="s">
        <v>682</v>
      </c>
      <c r="B2" s="2" t="s">
        <v>683</v>
      </c>
      <c r="C2" s="2" t="s">
        <v>684</v>
      </c>
      <c r="D2" s="2" t="n">
        <v>138</v>
      </c>
      <c r="E2" s="2" t="n">
        <v>7</v>
      </c>
      <c r="F2" s="2" t="s">
        <v>685</v>
      </c>
      <c r="G2" s="2" t="s">
        <v>686</v>
      </c>
    </row>
    <row r="3" customFormat="false" ht="15" hidden="false" customHeight="false" outlineLevel="0" collapsed="false">
      <c r="A3" s="2" t="s">
        <v>687</v>
      </c>
      <c r="B3" s="2" t="s">
        <v>688</v>
      </c>
      <c r="C3" s="2" t="s">
        <v>684</v>
      </c>
      <c r="D3" s="2" t="n">
        <v>112</v>
      </c>
      <c r="E3" s="2" t="n">
        <v>15</v>
      </c>
      <c r="F3" s="2" t="s">
        <v>685</v>
      </c>
      <c r="G3" s="2" t="s">
        <v>689</v>
      </c>
    </row>
    <row r="4" customFormat="false" ht="15" hidden="false" customHeight="false" outlineLevel="0" collapsed="false">
      <c r="A4" s="2" t="s">
        <v>687</v>
      </c>
      <c r="B4" s="2" t="s">
        <v>690</v>
      </c>
      <c r="C4" s="2" t="s">
        <v>691</v>
      </c>
      <c r="D4" s="2" t="n">
        <v>21</v>
      </c>
      <c r="E4" s="2"/>
      <c r="F4" s="2" t="s">
        <v>692</v>
      </c>
      <c r="G4" s="2" t="s">
        <v>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2026-10-25T20:15:37Z</dcterms:created>
  <dc:creator>openpyxl</dc:creator>
  <dc:description/>
  <dc:language>en-US</dc:language>
  <cp:lastModifiedBy/>
  <dcterms:modified xsi:type="dcterms:W3CDTF">2026-10-25T20:15:41Z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